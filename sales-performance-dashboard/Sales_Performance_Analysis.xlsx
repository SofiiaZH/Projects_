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" sheetId="1" r:id="rId5"/>
    <sheet state="visible" name="events" sheetId="2" r:id="rId6"/>
    <sheet state="visible" name="products" sheetId="3" r:id="rId7"/>
    <sheet state="visible" name="4.Metrics" sheetId="4" r:id="rId8"/>
    <sheet state="visible" name="5.Analysis of products" sheetId="5" r:id="rId9"/>
    <sheet state="visible" name="6.1 Geo_Countries" sheetId="6" r:id="rId10"/>
    <sheet state="visible" name="6.2 Geo_Regions" sheetId="7" r:id="rId11"/>
    <sheet state="visible" name="6.3 Geo_Subregions" sheetId="8" r:id="rId12"/>
    <sheet state="visible" name="7.Sales channel" sheetId="9" r:id="rId13"/>
    <sheet state="visible" name="8.Shipping Duration" sheetId="10" r:id="rId14"/>
    <sheet state="visible" name="9.1 Sales Dynamics by Year, Mon" sheetId="11" r:id="rId15"/>
    <sheet state="visible" name="9.2 Sales Dynamics by Year, Mon" sheetId="12" r:id="rId16"/>
    <sheet state="visible" name="10.Profit by weekday" sheetId="13" r:id="rId17"/>
    <sheet state="visible" name="11.Dashboard" sheetId="14" r:id="rId18"/>
    <sheet state="visible" name="12.ABC Analysis" sheetId="15" r:id="rId19"/>
    <sheet state="visible" name="13.ABC visualization " sheetId="16" r:id="rId20"/>
  </sheets>
  <definedNames>
    <definedName name="products">products!$1:$1000</definedName>
    <definedName name="product_id">events!$N$2:$N$1331</definedName>
    <definedName name="total_revenue">events!$U$2:$U$1331</definedName>
    <definedName name="countries">countries!$1:$1000</definedName>
    <definedName name="total_profit">events!$W$2:$W$1331</definedName>
    <definedName name="total_cost">events!$V$2:$V$1331</definedName>
    <definedName hidden="1" localSheetId="10" name="_xlnm._FilterDatabase">'9.1 Sales Dynamics by Year, Mon'!$B$1:$B$1853</definedName>
  </definedNames>
  <calcPr/>
  <pivotCaches>
    <pivotCache cacheId="0" r:id="rId2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tc={184f5159-05ef-460c-8ebf-4c0f3459dc30}</author>
    <author>tc={4f9f002d-8089-4839-a106-2fc67d892bcb}</author>
    <author>tc={5d88b537-635b-4e9d-9ae6-c58e6b479b7a}</author>
  </authors>
  <commentList>
    <comment authorId="0" xr:uid="{184f5159-05ef-460c-8ebf-4c0f3459dc30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дода
</t>
      </text>
    </comment>
    <comment authorId="1" xr:uid="{4f9f002d-8089-4839-a106-2fc67d892bcb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точкову діаграму потрібно будувати на неагрегованих даних
</t>
      </text>
    </comment>
    <comment authorId="2" xr:uid="{5d88b537-635b-4e9d-9ae6-c58e6b479b7a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додай ще графік медіана днів в розрізі регіонів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tc={8b54fbb2-40ff-4900-afe0-6ed92590c016}</author>
  </authors>
  <commentList>
    <comment authorId="0" xr:uid="{8b54fbb2-40ff-4900-afe0-6ed92590c016}" ref="E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місяці краще відображати словами
Reply:
	потрібно ще додати графік динаміки в розрізі категорій по рокам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tc={a046af35-c437-4475-9115-33c7fe91eeb0}</author>
  </authors>
  <commentList>
    <comment authorId="0" xr:uid="{a046af35-c437-4475-9115-33c7fe91eeb0}" ref="D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потрібно ще додати графік динаміки в розрізі регіонів по рокам
Reply:
	також потрібно додати 2 графіка в розрізі країн (бери 5-7) 
- по рокам 
- по місяцям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tc={8b8d022c-50a2-4ed8-aa20-f17d35c312cc}</author>
  </authors>
  <commentList>
    <comment authorId="0" xr:uid="{8b8d022c-50a2-4ed8-aa20-f17d35c312cc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потрібно ще провести абс аналіз по косту + додати аналогічну візуалізацію
</t>
      </text>
    </comment>
  </commentList>
</comments>
</file>

<file path=xl/sharedStrings.xml><?xml version="1.0" encoding="utf-8"?>
<sst xmlns="http://schemas.openxmlformats.org/spreadsheetml/2006/main" count="6451" uniqueCount="887">
  <si>
    <t>id</t>
  </si>
  <si>
    <t>Total number of orders</t>
  </si>
  <si>
    <t>alpha-3</t>
  </si>
  <si>
    <t>name</t>
  </si>
  <si>
    <t>alpha-2</t>
  </si>
  <si>
    <t>item_type</t>
  </si>
  <si>
    <t>region</t>
  </si>
  <si>
    <t>sub-region</t>
  </si>
  <si>
    <t>Order ID</t>
  </si>
  <si>
    <t>Order Date</t>
  </si>
  <si>
    <t>AFG</t>
  </si>
  <si>
    <t>Year of order</t>
  </si>
  <si>
    <t>Afghanistan</t>
  </si>
  <si>
    <t>Cereal</t>
  </si>
  <si>
    <t>Month of order</t>
  </si>
  <si>
    <t>AF</t>
  </si>
  <si>
    <t>Asia</t>
  </si>
  <si>
    <t>Weekday</t>
  </si>
  <si>
    <t>Household</t>
  </si>
  <si>
    <t>Southern Asia</t>
  </si>
  <si>
    <t>Number of weekday</t>
  </si>
  <si>
    <t>ALA</t>
  </si>
  <si>
    <t>Clothes</t>
  </si>
  <si>
    <t>Ship Date</t>
  </si>
  <si>
    <t>Åland Islands</t>
  </si>
  <si>
    <t>AX</t>
  </si>
  <si>
    <t xml:space="preserve">Shipping Duration </t>
  </si>
  <si>
    <t>Beverages</t>
  </si>
  <si>
    <t>Europe</t>
  </si>
  <si>
    <t>Northern Europe</t>
  </si>
  <si>
    <t>Order Priority</t>
  </si>
  <si>
    <t>Office Supplies</t>
  </si>
  <si>
    <t>Country Code</t>
  </si>
  <si>
    <t>Fruits</t>
  </si>
  <si>
    <t>Countries</t>
  </si>
  <si>
    <t>Total profit</t>
  </si>
  <si>
    <t>Vegetables</t>
  </si>
  <si>
    <t>Baby Food</t>
  </si>
  <si>
    <t>Product ID</t>
  </si>
  <si>
    <t>Meat</t>
  </si>
  <si>
    <t>Category</t>
  </si>
  <si>
    <t>ALB</t>
  </si>
  <si>
    <t>Cosmetics</t>
  </si>
  <si>
    <t>Albania</t>
  </si>
  <si>
    <t>Sales Channel</t>
  </si>
  <si>
    <t>AL</t>
  </si>
  <si>
    <t>Snacks</t>
  </si>
  <si>
    <t>Units Sold</t>
  </si>
  <si>
    <t>Southern Europe</t>
  </si>
  <si>
    <t>Unit Price</t>
  </si>
  <si>
    <t>Personal Care</t>
  </si>
  <si>
    <t>Unit Cost</t>
  </si>
  <si>
    <t>DZA</t>
  </si>
  <si>
    <t>Algeria</t>
  </si>
  <si>
    <t xml:space="preserve"> </t>
  </si>
  <si>
    <t>DZ</t>
  </si>
  <si>
    <t>Total number of contries</t>
  </si>
  <si>
    <t>Africa</t>
  </si>
  <si>
    <t>Northern Africa</t>
  </si>
  <si>
    <t>total revenue</t>
  </si>
  <si>
    <t>total cost</t>
  </si>
  <si>
    <t>ASM</t>
  </si>
  <si>
    <t>American Samoa</t>
  </si>
  <si>
    <t>AS</t>
  </si>
  <si>
    <t>total profit</t>
  </si>
  <si>
    <t>Oceania</t>
  </si>
  <si>
    <t>Polynesia</t>
  </si>
  <si>
    <t>AND</t>
  </si>
  <si>
    <t>Andorra</t>
  </si>
  <si>
    <t>AD</t>
  </si>
  <si>
    <t>AGO</t>
  </si>
  <si>
    <t>Angola</t>
  </si>
  <si>
    <t>AO</t>
  </si>
  <si>
    <t>Sub-Saharan Africa</t>
  </si>
  <si>
    <t>Total revenue</t>
  </si>
  <si>
    <t>AIA</t>
  </si>
  <si>
    <t>Anguilla</t>
  </si>
  <si>
    <t>AI</t>
  </si>
  <si>
    <t>Americas</t>
  </si>
  <si>
    <t>Latin America and the Caribbean</t>
  </si>
  <si>
    <t>ATA</t>
  </si>
  <si>
    <t>Antarctica</t>
  </si>
  <si>
    <t>AQ</t>
  </si>
  <si>
    <t>Antarctic</t>
  </si>
  <si>
    <t>ATG</t>
  </si>
  <si>
    <t>Antigua and Barbuda</t>
  </si>
  <si>
    <t>AG</t>
  </si>
  <si>
    <t>ARG</t>
  </si>
  <si>
    <t>Argentina</t>
  </si>
  <si>
    <t>AR</t>
  </si>
  <si>
    <t>ARM</t>
  </si>
  <si>
    <t>Armenia</t>
  </si>
  <si>
    <t>AM</t>
  </si>
  <si>
    <t>Western Asia</t>
  </si>
  <si>
    <t>ABW</t>
  </si>
  <si>
    <t>Aruba</t>
  </si>
  <si>
    <t>AW</t>
  </si>
  <si>
    <t>AUS</t>
  </si>
  <si>
    <t>Australia</t>
  </si>
  <si>
    <t>AU</t>
  </si>
  <si>
    <t>Australia and New Zealand</t>
  </si>
  <si>
    <t>AUT</t>
  </si>
  <si>
    <t>Austria</t>
  </si>
  <si>
    <t>AT</t>
  </si>
  <si>
    <t>Western Europe</t>
  </si>
  <si>
    <t>AZE</t>
  </si>
  <si>
    <t>Azerbaijan</t>
  </si>
  <si>
    <t>AZ</t>
  </si>
  <si>
    <t>BHS</t>
  </si>
  <si>
    <t>Bahamas</t>
  </si>
  <si>
    <t>BS</t>
  </si>
  <si>
    <t>BHR</t>
  </si>
  <si>
    <t>Bahrain</t>
  </si>
  <si>
    <t>BH</t>
  </si>
  <si>
    <t>BGD</t>
  </si>
  <si>
    <t>Bangladesh</t>
  </si>
  <si>
    <t>BD</t>
  </si>
  <si>
    <t>BRB</t>
  </si>
  <si>
    <t>Barbados</t>
  </si>
  <si>
    <t>BB</t>
  </si>
  <si>
    <t>BLR</t>
  </si>
  <si>
    <t>Belarus</t>
  </si>
  <si>
    <t>BY</t>
  </si>
  <si>
    <t>Eastern Europe</t>
  </si>
  <si>
    <t>BEL</t>
  </si>
  <si>
    <t>Belgium</t>
  </si>
  <si>
    <t>BE</t>
  </si>
  <si>
    <t>BLZ</t>
  </si>
  <si>
    <t>Belize</t>
  </si>
  <si>
    <t>BZ</t>
  </si>
  <si>
    <t>BEN</t>
  </si>
  <si>
    <t>Benin</t>
  </si>
  <si>
    <t>BJ</t>
  </si>
  <si>
    <t>BMU</t>
  </si>
  <si>
    <t>Bermuda</t>
  </si>
  <si>
    <t>BM</t>
  </si>
  <si>
    <t>Northern America</t>
  </si>
  <si>
    <t>BTN</t>
  </si>
  <si>
    <t>Bhutan</t>
  </si>
  <si>
    <t>BT</t>
  </si>
  <si>
    <t>BOL</t>
  </si>
  <si>
    <t>Bolivia (Plurinational State of)</t>
  </si>
  <si>
    <t>BO</t>
  </si>
  <si>
    <t>BES</t>
  </si>
  <si>
    <t>Bonaire, Sint Eustatius and Saba</t>
  </si>
  <si>
    <t>BQ</t>
  </si>
  <si>
    <t>BIH</t>
  </si>
  <si>
    <t>Bosnia and Herzegovina</t>
  </si>
  <si>
    <t>BA</t>
  </si>
  <si>
    <t>BWA</t>
  </si>
  <si>
    <t>Botswana</t>
  </si>
  <si>
    <t>BW</t>
  </si>
  <si>
    <t>BVT</t>
  </si>
  <si>
    <t>Bouvet Island</t>
  </si>
  <si>
    <t>BV</t>
  </si>
  <si>
    <t>BRA</t>
  </si>
  <si>
    <t>Brazil</t>
  </si>
  <si>
    <t>BR</t>
  </si>
  <si>
    <t>IOT</t>
  </si>
  <si>
    <t>British Indian Ocean Territory</t>
  </si>
  <si>
    <t>IO</t>
  </si>
  <si>
    <t>BRN</t>
  </si>
  <si>
    <t>Brunei Darussalam</t>
  </si>
  <si>
    <t>BN</t>
  </si>
  <si>
    <t>South-eastern Asia</t>
  </si>
  <si>
    <t>BGR</t>
  </si>
  <si>
    <t>Bulgaria</t>
  </si>
  <si>
    <t>BG</t>
  </si>
  <si>
    <t>BFA</t>
  </si>
  <si>
    <t>Burkina Faso</t>
  </si>
  <si>
    <t>BF</t>
  </si>
  <si>
    <t>BDI</t>
  </si>
  <si>
    <t>Burundi</t>
  </si>
  <si>
    <t>BI</t>
  </si>
  <si>
    <t>CPV</t>
  </si>
  <si>
    <t>Cabo Verde</t>
  </si>
  <si>
    <t>CV</t>
  </si>
  <si>
    <t>KHM</t>
  </si>
  <si>
    <t>Cambodia</t>
  </si>
  <si>
    <t>KH</t>
  </si>
  <si>
    <t>CMR</t>
  </si>
  <si>
    <t>Cameroon</t>
  </si>
  <si>
    <t>CM</t>
  </si>
  <si>
    <t>CAN</t>
  </si>
  <si>
    <t>Canada</t>
  </si>
  <si>
    <t>CA</t>
  </si>
  <si>
    <t>CYM</t>
  </si>
  <si>
    <t>Cayman Islands</t>
  </si>
  <si>
    <t>KY</t>
  </si>
  <si>
    <t>CAF</t>
  </si>
  <si>
    <t>Central African Republic</t>
  </si>
  <si>
    <t>CF</t>
  </si>
  <si>
    <t>TCD</t>
  </si>
  <si>
    <t>Chad</t>
  </si>
  <si>
    <t>TD</t>
  </si>
  <si>
    <t>CHL</t>
  </si>
  <si>
    <t>Chile</t>
  </si>
  <si>
    <t>CL</t>
  </si>
  <si>
    <t>CHN</t>
  </si>
  <si>
    <t>China</t>
  </si>
  <si>
    <t>CN</t>
  </si>
  <si>
    <t>Eastern Asia</t>
  </si>
  <si>
    <t>CXR</t>
  </si>
  <si>
    <t>Christmas Island</t>
  </si>
  <si>
    <t>CX</t>
  </si>
  <si>
    <t>CCK</t>
  </si>
  <si>
    <t>Cocos (Keeling) Islands</t>
  </si>
  <si>
    <t>CC</t>
  </si>
  <si>
    <t>COL</t>
  </si>
  <si>
    <t>Colombia</t>
  </si>
  <si>
    <t>CO</t>
  </si>
  <si>
    <t>COM</t>
  </si>
  <si>
    <t>Comoros</t>
  </si>
  <si>
    <t>KM</t>
  </si>
  <si>
    <t>COG</t>
  </si>
  <si>
    <t>Congo</t>
  </si>
  <si>
    <t>CG</t>
  </si>
  <si>
    <t>COD</t>
  </si>
  <si>
    <t>Congo, Democratic Republic of the</t>
  </si>
  <si>
    <t>CD</t>
  </si>
  <si>
    <t>COK</t>
  </si>
  <si>
    <t>Cook Islands</t>
  </si>
  <si>
    <t>CK</t>
  </si>
  <si>
    <t>CRI</t>
  </si>
  <si>
    <t>Costa Rica</t>
  </si>
  <si>
    <t>CR</t>
  </si>
  <si>
    <t>CIV</t>
  </si>
  <si>
    <t>Côte d'Ivoire</t>
  </si>
  <si>
    <t>CI</t>
  </si>
  <si>
    <t>HRV</t>
  </si>
  <si>
    <t>Croatia</t>
  </si>
  <si>
    <t>HR</t>
  </si>
  <si>
    <t>M</t>
  </si>
  <si>
    <t>NOR</t>
  </si>
  <si>
    <t>CUB</t>
  </si>
  <si>
    <t>Cuba</t>
  </si>
  <si>
    <t>CU</t>
  </si>
  <si>
    <t>CUW</t>
  </si>
  <si>
    <t>Curaçao</t>
  </si>
  <si>
    <t>CW</t>
  </si>
  <si>
    <t>CYP</t>
  </si>
  <si>
    <t>Cyprus</t>
  </si>
  <si>
    <t>CY</t>
  </si>
  <si>
    <t>CZE</t>
  </si>
  <si>
    <t>Czech Republic</t>
  </si>
  <si>
    <t>CZ</t>
  </si>
  <si>
    <t>DNK</t>
  </si>
  <si>
    <t>Denmark</t>
  </si>
  <si>
    <t>DK</t>
  </si>
  <si>
    <t>DJI</t>
  </si>
  <si>
    <t>Djibouti</t>
  </si>
  <si>
    <t>DJ</t>
  </si>
  <si>
    <t>DMA</t>
  </si>
  <si>
    <t>Dominica</t>
  </si>
  <si>
    <t>DM</t>
  </si>
  <si>
    <t>DOM</t>
  </si>
  <si>
    <t>Dominican Republic</t>
  </si>
  <si>
    <t>DO</t>
  </si>
  <si>
    <t>ECU</t>
  </si>
  <si>
    <t>Ecuador</t>
  </si>
  <si>
    <t>EC</t>
  </si>
  <si>
    <t>EGY</t>
  </si>
  <si>
    <t>Egypt</t>
  </si>
  <si>
    <t>EG</t>
  </si>
  <si>
    <t>Online</t>
  </si>
  <si>
    <t>SLV</t>
  </si>
  <si>
    <t>El Salvador</t>
  </si>
  <si>
    <t>SV</t>
  </si>
  <si>
    <t>GNQ</t>
  </si>
  <si>
    <t>Equatorial Guinea</t>
  </si>
  <si>
    <t>GQ</t>
  </si>
  <si>
    <t>ERI</t>
  </si>
  <si>
    <t>Eritrea</t>
  </si>
  <si>
    <t>ER</t>
  </si>
  <si>
    <t>EST</t>
  </si>
  <si>
    <t>Estonia</t>
  </si>
  <si>
    <t>EE</t>
  </si>
  <si>
    <t>SWZ</t>
  </si>
  <si>
    <t>Eswatini</t>
  </si>
  <si>
    <t>SZ</t>
  </si>
  <si>
    <t>ETH</t>
  </si>
  <si>
    <t>Ethiopia</t>
  </si>
  <si>
    <t>ET</t>
  </si>
  <si>
    <t>FLK</t>
  </si>
  <si>
    <t>Falkland Islands (Malvinas)</t>
  </si>
  <si>
    <t>FK</t>
  </si>
  <si>
    <t>FRO</t>
  </si>
  <si>
    <t>Faroe Islands</t>
  </si>
  <si>
    <t>FO</t>
  </si>
  <si>
    <t>FJI</t>
  </si>
  <si>
    <t>Fiji</t>
  </si>
  <si>
    <t>FJ</t>
  </si>
  <si>
    <t>Melanesia</t>
  </si>
  <si>
    <t>FIN</t>
  </si>
  <si>
    <t>Finland</t>
  </si>
  <si>
    <t>FI</t>
  </si>
  <si>
    <t>FRA</t>
  </si>
  <si>
    <t>France</t>
  </si>
  <si>
    <t>FR</t>
  </si>
  <si>
    <t>GUF</t>
  </si>
  <si>
    <t>French Guiana</t>
  </si>
  <si>
    <t>GF</t>
  </si>
  <si>
    <t>PYF</t>
  </si>
  <si>
    <t>French Polynesia</t>
  </si>
  <si>
    <t>PF</t>
  </si>
  <si>
    <t>C</t>
  </si>
  <si>
    <t>SRB</t>
  </si>
  <si>
    <t>ATF</t>
  </si>
  <si>
    <t>French Southern Territories</t>
  </si>
  <si>
    <t>TF</t>
  </si>
  <si>
    <t>GAB</t>
  </si>
  <si>
    <t>Gabon</t>
  </si>
  <si>
    <t>GA</t>
  </si>
  <si>
    <t>GMB</t>
  </si>
  <si>
    <t>Gambia</t>
  </si>
  <si>
    <t>GM</t>
  </si>
  <si>
    <t>GEO</t>
  </si>
  <si>
    <t>Georgia</t>
  </si>
  <si>
    <t>GE</t>
  </si>
  <si>
    <t>DEU</t>
  </si>
  <si>
    <t>Germany</t>
  </si>
  <si>
    <t>DE</t>
  </si>
  <si>
    <t>GHA</t>
  </si>
  <si>
    <t>Ghana</t>
  </si>
  <si>
    <t>GH</t>
  </si>
  <si>
    <t>GIB</t>
  </si>
  <si>
    <t>Gibraltar</t>
  </si>
  <si>
    <t>GI</t>
  </si>
  <si>
    <t>GRC</t>
  </si>
  <si>
    <t>Greece</t>
  </si>
  <si>
    <t>GR</t>
  </si>
  <si>
    <t>GRL</t>
  </si>
  <si>
    <t>Greenland</t>
  </si>
  <si>
    <t>GL</t>
  </si>
  <si>
    <t>Offline</t>
  </si>
  <si>
    <t>GRD</t>
  </si>
  <si>
    <t>Grenada</t>
  </si>
  <si>
    <t>GD</t>
  </si>
  <si>
    <t>GLP</t>
  </si>
  <si>
    <t>Guadeloupe</t>
  </si>
  <si>
    <t>GP</t>
  </si>
  <si>
    <t>GUM</t>
  </si>
  <si>
    <t>Guam</t>
  </si>
  <si>
    <t>GU</t>
  </si>
  <si>
    <t>Micronesia</t>
  </si>
  <si>
    <t>GTM</t>
  </si>
  <si>
    <t>Guatemala</t>
  </si>
  <si>
    <t>GT</t>
  </si>
  <si>
    <t>Unknown</t>
  </si>
  <si>
    <t>GGY</t>
  </si>
  <si>
    <t>Guernsey</t>
  </si>
  <si>
    <t>GG</t>
  </si>
  <si>
    <t>GIN</t>
  </si>
  <si>
    <t>Guinea</t>
  </si>
  <si>
    <t>GN</t>
  </si>
  <si>
    <t>GNB</t>
  </si>
  <si>
    <t>Guinea-Bissau</t>
  </si>
  <si>
    <t>GW</t>
  </si>
  <si>
    <t>GUY</t>
  </si>
  <si>
    <t>Guyana</t>
  </si>
  <si>
    <t>GY</t>
  </si>
  <si>
    <t>HTI</t>
  </si>
  <si>
    <t>Haiti</t>
  </si>
  <si>
    <t>HT</t>
  </si>
  <si>
    <t>L</t>
  </si>
  <si>
    <t>MNE</t>
  </si>
  <si>
    <t>HMD</t>
  </si>
  <si>
    <t>Heard Island and McDonald Islands</t>
  </si>
  <si>
    <t>HM</t>
  </si>
  <si>
    <t>VAT</t>
  </si>
  <si>
    <t>Holy See</t>
  </si>
  <si>
    <t>VA</t>
  </si>
  <si>
    <t>HND</t>
  </si>
  <si>
    <t>Honduras</t>
  </si>
  <si>
    <t>HN</t>
  </si>
  <si>
    <t>HKG</t>
  </si>
  <si>
    <t>Hong Kong</t>
  </si>
  <si>
    <t>HK</t>
  </si>
  <si>
    <t>HUN</t>
  </si>
  <si>
    <t>Hungary</t>
  </si>
  <si>
    <t>HU</t>
  </si>
  <si>
    <t>ISL</t>
  </si>
  <si>
    <t>Iceland</t>
  </si>
  <si>
    <t>IS</t>
  </si>
  <si>
    <t>IND</t>
  </si>
  <si>
    <t>India</t>
  </si>
  <si>
    <t>IN</t>
  </si>
  <si>
    <t>IDN</t>
  </si>
  <si>
    <t>Indonesia</t>
  </si>
  <si>
    <t>ID</t>
  </si>
  <si>
    <t>IRN</t>
  </si>
  <si>
    <t>Iran (Islamic Republic of)</t>
  </si>
  <si>
    <t>IR</t>
  </si>
  <si>
    <t>IRQ</t>
  </si>
  <si>
    <t>Iraq</t>
  </si>
  <si>
    <t>IQ</t>
  </si>
  <si>
    <t>IRL</t>
  </si>
  <si>
    <t>Ireland</t>
  </si>
  <si>
    <t>IE</t>
  </si>
  <si>
    <t>H</t>
  </si>
  <si>
    <t>IMN</t>
  </si>
  <si>
    <t>Isle of Man</t>
  </si>
  <si>
    <t>IM</t>
  </si>
  <si>
    <t>ISR</t>
  </si>
  <si>
    <t>Israel</t>
  </si>
  <si>
    <t>IL</t>
  </si>
  <si>
    <t>ITA</t>
  </si>
  <si>
    <t>Italy</t>
  </si>
  <si>
    <t>IT</t>
  </si>
  <si>
    <t>JAM</t>
  </si>
  <si>
    <t>Jamaica</t>
  </si>
  <si>
    <t>JM</t>
  </si>
  <si>
    <t>JPN</t>
  </si>
  <si>
    <t>Japan</t>
  </si>
  <si>
    <t>JP</t>
  </si>
  <si>
    <t>JEY</t>
  </si>
  <si>
    <t>Jersey</t>
  </si>
  <si>
    <t>JE</t>
  </si>
  <si>
    <t>JOR</t>
  </si>
  <si>
    <t>Jordan</t>
  </si>
  <si>
    <t>JO</t>
  </si>
  <si>
    <t>KAZ</t>
  </si>
  <si>
    <t>Kazakhstan</t>
  </si>
  <si>
    <t>KZ</t>
  </si>
  <si>
    <t>Central Asia</t>
  </si>
  <si>
    <t>KEN</t>
  </si>
  <si>
    <t>Kenya</t>
  </si>
  <si>
    <t>KE</t>
  </si>
  <si>
    <t>KIR</t>
  </si>
  <si>
    <t>Kiribati</t>
  </si>
  <si>
    <t>KI</t>
  </si>
  <si>
    <t>PRK</t>
  </si>
  <si>
    <t>Korea (Democratic People's Republic of)</t>
  </si>
  <si>
    <t>KP</t>
  </si>
  <si>
    <t>KOR</t>
  </si>
  <si>
    <t>SVK</t>
  </si>
  <si>
    <t>Korea, Republic of</t>
  </si>
  <si>
    <t>KR</t>
  </si>
  <si>
    <t>KWT</t>
  </si>
  <si>
    <t>Kuwait</t>
  </si>
  <si>
    <t>KW</t>
  </si>
  <si>
    <t>KGZ</t>
  </si>
  <si>
    <t>Kyrgyzstan</t>
  </si>
  <si>
    <t>KG</t>
  </si>
  <si>
    <t>LAO</t>
  </si>
  <si>
    <t>Lao People's Democratic Republic</t>
  </si>
  <si>
    <t>LA</t>
  </si>
  <si>
    <t>LVA</t>
  </si>
  <si>
    <t>Latvia</t>
  </si>
  <si>
    <t>LV</t>
  </si>
  <si>
    <t>LBN</t>
  </si>
  <si>
    <t>Lebanon</t>
  </si>
  <si>
    <t>LB</t>
  </si>
  <si>
    <t>LSO</t>
  </si>
  <si>
    <t>Lesotho</t>
  </si>
  <si>
    <t>LS</t>
  </si>
  <si>
    <t>LBR</t>
  </si>
  <si>
    <t>Liberia</t>
  </si>
  <si>
    <t>LR</t>
  </si>
  <si>
    <t>LBY</t>
  </si>
  <si>
    <t>Libya</t>
  </si>
  <si>
    <t>LY</t>
  </si>
  <si>
    <t>LIE</t>
  </si>
  <si>
    <t>Liechtenstein</t>
  </si>
  <si>
    <t>LI</t>
  </si>
  <si>
    <t>LTU</t>
  </si>
  <si>
    <t>Lithuania</t>
  </si>
  <si>
    <t>LT</t>
  </si>
  <si>
    <t>LUX</t>
  </si>
  <si>
    <t>Luxembourg</t>
  </si>
  <si>
    <t>LU</t>
  </si>
  <si>
    <t>MAC</t>
  </si>
  <si>
    <t>Macao</t>
  </si>
  <si>
    <t>MO</t>
  </si>
  <si>
    <t>MDG</t>
  </si>
  <si>
    <t>Madagascar</t>
  </si>
  <si>
    <t>MG</t>
  </si>
  <si>
    <t>MWI</t>
  </si>
  <si>
    <t>Malawi</t>
  </si>
  <si>
    <t>MW</t>
  </si>
  <si>
    <t>MYS</t>
  </si>
  <si>
    <t>Malaysia</t>
  </si>
  <si>
    <t>MY</t>
  </si>
  <si>
    <t>MDV</t>
  </si>
  <si>
    <t>Maldives</t>
  </si>
  <si>
    <t>MV</t>
  </si>
  <si>
    <t>MLI</t>
  </si>
  <si>
    <t>Mali</t>
  </si>
  <si>
    <t>ML</t>
  </si>
  <si>
    <t>MLT</t>
  </si>
  <si>
    <t>Malta</t>
  </si>
  <si>
    <t>MT</t>
  </si>
  <si>
    <t>MHL</t>
  </si>
  <si>
    <t>Marshall Islands</t>
  </si>
  <si>
    <t>MH</t>
  </si>
  <si>
    <t>MTQ</t>
  </si>
  <si>
    <t>Martinique</t>
  </si>
  <si>
    <t>MQ</t>
  </si>
  <si>
    <t>MRT</t>
  </si>
  <si>
    <t>Mauritania</t>
  </si>
  <si>
    <t>MR</t>
  </si>
  <si>
    <t>MUS</t>
  </si>
  <si>
    <t>Mauritius</t>
  </si>
  <si>
    <t>MU</t>
  </si>
  <si>
    <t>MYT</t>
  </si>
  <si>
    <t>Mayotte</t>
  </si>
  <si>
    <t>YT</t>
  </si>
  <si>
    <t>MEX</t>
  </si>
  <si>
    <t>Mexico</t>
  </si>
  <si>
    <t>MX</t>
  </si>
  <si>
    <t>FSM</t>
  </si>
  <si>
    <t>Micronesia (Federated States of)</t>
  </si>
  <si>
    <t>FM</t>
  </si>
  <si>
    <t>MDA</t>
  </si>
  <si>
    <t>Moldova, Republic of</t>
  </si>
  <si>
    <t>MD</t>
  </si>
  <si>
    <t>MCO</t>
  </si>
  <si>
    <t>ESP</t>
  </si>
  <si>
    <t>Monaco</t>
  </si>
  <si>
    <t>MC</t>
  </si>
  <si>
    <t>MNG</t>
  </si>
  <si>
    <t>Mongolia</t>
  </si>
  <si>
    <t>MN</t>
  </si>
  <si>
    <t>Montenegro</t>
  </si>
  <si>
    <t>ME</t>
  </si>
  <si>
    <t>MSR</t>
  </si>
  <si>
    <t>Montserrat</t>
  </si>
  <si>
    <t>MS</t>
  </si>
  <si>
    <t>MAR</t>
  </si>
  <si>
    <t>Morocco</t>
  </si>
  <si>
    <t>MA</t>
  </si>
  <si>
    <t>MOZ</t>
  </si>
  <si>
    <t>Mozambique</t>
  </si>
  <si>
    <t>MZ</t>
  </si>
  <si>
    <t>MMR</t>
  </si>
  <si>
    <t>Myanmar</t>
  </si>
  <si>
    <t>MM</t>
  </si>
  <si>
    <t>NAM</t>
  </si>
  <si>
    <t>Namibia</t>
  </si>
  <si>
    <t>NA</t>
  </si>
  <si>
    <t>NRU</t>
  </si>
  <si>
    <t>Nauru</t>
  </si>
  <si>
    <t>NR</t>
  </si>
  <si>
    <t>NPL</t>
  </si>
  <si>
    <t>Nepal</t>
  </si>
  <si>
    <t>NP</t>
  </si>
  <si>
    <t>NLD</t>
  </si>
  <si>
    <t>Netherlands</t>
  </si>
  <si>
    <t>NL</t>
  </si>
  <si>
    <t>NCL</t>
  </si>
  <si>
    <t>New Caledonia</t>
  </si>
  <si>
    <t>NC</t>
  </si>
  <si>
    <t>NZL</t>
  </si>
  <si>
    <t>New Zealand</t>
  </si>
  <si>
    <t>NZ</t>
  </si>
  <si>
    <t>NIC</t>
  </si>
  <si>
    <t>Nicaragua</t>
  </si>
  <si>
    <t>NI</t>
  </si>
  <si>
    <t>NER</t>
  </si>
  <si>
    <t>Niger</t>
  </si>
  <si>
    <t>NE</t>
  </si>
  <si>
    <t>NGA</t>
  </si>
  <si>
    <t>Nigeria</t>
  </si>
  <si>
    <t>NG</t>
  </si>
  <si>
    <t>NIU</t>
  </si>
  <si>
    <t>Niue</t>
  </si>
  <si>
    <t>NU</t>
  </si>
  <si>
    <t>NFK</t>
  </si>
  <si>
    <t>Norfolk Island</t>
  </si>
  <si>
    <t>NF</t>
  </si>
  <si>
    <t>MKD</t>
  </si>
  <si>
    <t>Macedonia</t>
  </si>
  <si>
    <t>MK</t>
  </si>
  <si>
    <t>MNP</t>
  </si>
  <si>
    <t>Northern Mariana Islands</t>
  </si>
  <si>
    <t>MP</t>
  </si>
  <si>
    <t>Norway</t>
  </si>
  <si>
    <t>NO</t>
  </si>
  <si>
    <t>OMN</t>
  </si>
  <si>
    <t>Oman</t>
  </si>
  <si>
    <t>OM</t>
  </si>
  <si>
    <t>PAK</t>
  </si>
  <si>
    <t>Pakistan</t>
  </si>
  <si>
    <t>PK</t>
  </si>
  <si>
    <t>PLW</t>
  </si>
  <si>
    <t>Palau</t>
  </si>
  <si>
    <t>PW</t>
  </si>
  <si>
    <t>PSE</t>
  </si>
  <si>
    <t>Palestine, State of</t>
  </si>
  <si>
    <t>PS</t>
  </si>
  <si>
    <t>PAN</t>
  </si>
  <si>
    <t>Panama</t>
  </si>
  <si>
    <t>PA</t>
  </si>
  <si>
    <t>PNG</t>
  </si>
  <si>
    <t>Papua New Guinea</t>
  </si>
  <si>
    <t>PG</t>
  </si>
  <si>
    <t>PRY</t>
  </si>
  <si>
    <t>Paraguay</t>
  </si>
  <si>
    <t>PY</t>
  </si>
  <si>
    <t>PER</t>
  </si>
  <si>
    <t>Peru</t>
  </si>
  <si>
    <t>PE</t>
  </si>
  <si>
    <t>PHL</t>
  </si>
  <si>
    <t>Philippines</t>
  </si>
  <si>
    <t>PH</t>
  </si>
  <si>
    <t>PCN</t>
  </si>
  <si>
    <t>Pitcairn</t>
  </si>
  <si>
    <t>PN</t>
  </si>
  <si>
    <t>POL</t>
  </si>
  <si>
    <t>Poland</t>
  </si>
  <si>
    <t>PL</t>
  </si>
  <si>
    <t>PRT</t>
  </si>
  <si>
    <t>Portugal</t>
  </si>
  <si>
    <t>PT</t>
  </si>
  <si>
    <t>PRI</t>
  </si>
  <si>
    <t>Puerto Rico</t>
  </si>
  <si>
    <t>PR</t>
  </si>
  <si>
    <t>QAT</t>
  </si>
  <si>
    <t>Qatar</t>
  </si>
  <si>
    <t>QA</t>
  </si>
  <si>
    <t>REU</t>
  </si>
  <si>
    <t>Réunion</t>
  </si>
  <si>
    <t>RE</t>
  </si>
  <si>
    <t>ROU</t>
  </si>
  <si>
    <t>Romania</t>
  </si>
  <si>
    <t>RO</t>
  </si>
  <si>
    <t>RUS</t>
  </si>
  <si>
    <t>Russia</t>
  </si>
  <si>
    <t>RU</t>
  </si>
  <si>
    <t>RWA</t>
  </si>
  <si>
    <t>Rwanda</t>
  </si>
  <si>
    <t>RW</t>
  </si>
  <si>
    <t>BLM</t>
  </si>
  <si>
    <t>Saint Barthélemy</t>
  </si>
  <si>
    <t>BL</t>
  </si>
  <si>
    <t>SHN</t>
  </si>
  <si>
    <t>Saint Helena, Ascension and Tristan da Cunha</t>
  </si>
  <si>
    <t>SH</t>
  </si>
  <si>
    <t>KNA</t>
  </si>
  <si>
    <t>Saint Kitts and Nevis</t>
  </si>
  <si>
    <t>KN</t>
  </si>
  <si>
    <t>LCA</t>
  </si>
  <si>
    <t>Saint Lucia</t>
  </si>
  <si>
    <t>LC</t>
  </si>
  <si>
    <t>MAF</t>
  </si>
  <si>
    <t>Saint Martin (French part)</t>
  </si>
  <si>
    <t>MF</t>
  </si>
  <si>
    <t>SPM</t>
  </si>
  <si>
    <t>Saint Pierre and Miquelon</t>
  </si>
  <si>
    <t>PM</t>
  </si>
  <si>
    <t>VCT</t>
  </si>
  <si>
    <t>Saint Vincent and the Grenadines</t>
  </si>
  <si>
    <t>VC</t>
  </si>
  <si>
    <t>WSM</t>
  </si>
  <si>
    <t>Samoa</t>
  </si>
  <si>
    <t>WS</t>
  </si>
  <si>
    <t>SMR</t>
  </si>
  <si>
    <t>San Marino</t>
  </si>
  <si>
    <t>SM</t>
  </si>
  <si>
    <t>STP</t>
  </si>
  <si>
    <t>Sao Tome and Principe</t>
  </si>
  <si>
    <t>ST</t>
  </si>
  <si>
    <t>SAU</t>
  </si>
  <si>
    <t>Saudi Arabia</t>
  </si>
  <si>
    <t>SA</t>
  </si>
  <si>
    <t>SEN</t>
  </si>
  <si>
    <t>Senegal</t>
  </si>
  <si>
    <t>SN</t>
  </si>
  <si>
    <t>Serbia</t>
  </si>
  <si>
    <t>RS</t>
  </si>
  <si>
    <t>SYC</t>
  </si>
  <si>
    <t>Seychelles</t>
  </si>
  <si>
    <t>SC</t>
  </si>
  <si>
    <t>SLE</t>
  </si>
  <si>
    <t>Sierra Leone</t>
  </si>
  <si>
    <t>SL</t>
  </si>
  <si>
    <t>SGP</t>
  </si>
  <si>
    <t>Singapore</t>
  </si>
  <si>
    <t>SG</t>
  </si>
  <si>
    <t>SXM</t>
  </si>
  <si>
    <t>Sint Maarten (Dutch part)</t>
  </si>
  <si>
    <t>GBR</t>
  </si>
  <si>
    <t>SX</t>
  </si>
  <si>
    <t>Slovakia</t>
  </si>
  <si>
    <t>SK</t>
  </si>
  <si>
    <t>SVN</t>
  </si>
  <si>
    <t>Slovenia</t>
  </si>
  <si>
    <t>SI</t>
  </si>
  <si>
    <t>SLB</t>
  </si>
  <si>
    <t>Solomon Islands</t>
  </si>
  <si>
    <t>SB</t>
  </si>
  <si>
    <t>SOM</t>
  </si>
  <si>
    <t>Somalia</t>
  </si>
  <si>
    <t>SO</t>
  </si>
  <si>
    <t>ZAF</t>
  </si>
  <si>
    <t>South Africa</t>
  </si>
  <si>
    <t>ZA</t>
  </si>
  <si>
    <t>SGS</t>
  </si>
  <si>
    <t>South Georgia and the South Sandwich Islands</t>
  </si>
  <si>
    <t>GS</t>
  </si>
  <si>
    <t>SSD</t>
  </si>
  <si>
    <t>South Sudan</t>
  </si>
  <si>
    <t>SS</t>
  </si>
  <si>
    <t>Spain</t>
  </si>
  <si>
    <t>ES</t>
  </si>
  <si>
    <t>LKA</t>
  </si>
  <si>
    <t>Sri Lanka</t>
  </si>
  <si>
    <t>LK</t>
  </si>
  <si>
    <t>SDN</t>
  </si>
  <si>
    <t>Sudan</t>
  </si>
  <si>
    <t>SD</t>
  </si>
  <si>
    <t>SUR</t>
  </si>
  <si>
    <t>Suriname</t>
  </si>
  <si>
    <t>SR</t>
  </si>
  <si>
    <t>SJM</t>
  </si>
  <si>
    <t>Svalbard and Jan Mayen</t>
  </si>
  <si>
    <t>SJ</t>
  </si>
  <si>
    <t>SWE</t>
  </si>
  <si>
    <t>Sweden</t>
  </si>
  <si>
    <t>SE</t>
  </si>
  <si>
    <t>CHE</t>
  </si>
  <si>
    <t>Switzerland</t>
  </si>
  <si>
    <t>CH</t>
  </si>
  <si>
    <t>SYR</t>
  </si>
  <si>
    <t>Syrian Arab Republic</t>
  </si>
  <si>
    <t>SY</t>
  </si>
  <si>
    <t>TWN</t>
  </si>
  <si>
    <t>Taiwan, Province of China</t>
  </si>
  <si>
    <t>TW</t>
  </si>
  <si>
    <t>TJK</t>
  </si>
  <si>
    <t>Tajikistan</t>
  </si>
  <si>
    <t>TJ</t>
  </si>
  <si>
    <t>TZA</t>
  </si>
  <si>
    <t>Tanzania, United Republic of</t>
  </si>
  <si>
    <t>TZ</t>
  </si>
  <si>
    <t>THA</t>
  </si>
  <si>
    <t>Thailand</t>
  </si>
  <si>
    <t>TH</t>
  </si>
  <si>
    <t>TLS</t>
  </si>
  <si>
    <t>Timor-Leste</t>
  </si>
  <si>
    <t>TL</t>
  </si>
  <si>
    <t>TGO</t>
  </si>
  <si>
    <t>Togo</t>
  </si>
  <si>
    <t>TG</t>
  </si>
  <si>
    <t>TKL</t>
  </si>
  <si>
    <t>Tokelau</t>
  </si>
  <si>
    <t>TK</t>
  </si>
  <si>
    <t>TON</t>
  </si>
  <si>
    <t>Tonga</t>
  </si>
  <si>
    <t>TO</t>
  </si>
  <si>
    <t>TTO</t>
  </si>
  <si>
    <t>Trinidad and Tobago</t>
  </si>
  <si>
    <t>TT</t>
  </si>
  <si>
    <t>TUN</t>
  </si>
  <si>
    <t>Tunisia</t>
  </si>
  <si>
    <t>TN</t>
  </si>
  <si>
    <t>TUR</t>
  </si>
  <si>
    <t>Turkey</t>
  </si>
  <si>
    <t>TR</t>
  </si>
  <si>
    <t>TKM</t>
  </si>
  <si>
    <t>Turkmenistan</t>
  </si>
  <si>
    <t>TM</t>
  </si>
  <si>
    <t>TCA</t>
  </si>
  <si>
    <t>Turks and Caicos Islands</t>
  </si>
  <si>
    <t>TC</t>
  </si>
  <si>
    <t>TUV</t>
  </si>
  <si>
    <t>Tuvalu</t>
  </si>
  <si>
    <t>TV</t>
  </si>
  <si>
    <t>UGA</t>
  </si>
  <si>
    <t>Uganda</t>
  </si>
  <si>
    <t>UG</t>
  </si>
  <si>
    <t>UKR</t>
  </si>
  <si>
    <t>Ukraine</t>
  </si>
  <si>
    <t>UA</t>
  </si>
  <si>
    <t>ARE</t>
  </si>
  <si>
    <t>United Arab Emirates</t>
  </si>
  <si>
    <t>AE</t>
  </si>
  <si>
    <t>United Kingdom</t>
  </si>
  <si>
    <t>GB</t>
  </si>
  <si>
    <t>USA</t>
  </si>
  <si>
    <t>United States of America</t>
  </si>
  <si>
    <t>US</t>
  </si>
  <si>
    <t>UMI</t>
  </si>
  <si>
    <t>United States Minor Outlying Islands</t>
  </si>
  <si>
    <t>UM</t>
  </si>
  <si>
    <t>URY</t>
  </si>
  <si>
    <t>Uruguay</t>
  </si>
  <si>
    <t>UY</t>
  </si>
  <si>
    <t>UZB</t>
  </si>
  <si>
    <t>Uzbekistan</t>
  </si>
  <si>
    <t>UZ</t>
  </si>
  <si>
    <t>VUT</t>
  </si>
  <si>
    <t>Vanuatu</t>
  </si>
  <si>
    <t>VU</t>
  </si>
  <si>
    <t>VEN</t>
  </si>
  <si>
    <t>Venezuela (Bolivarian Republic of)</t>
  </si>
  <si>
    <t>VE</t>
  </si>
  <si>
    <t>VNM</t>
  </si>
  <si>
    <t>Viet Nam</t>
  </si>
  <si>
    <t>VN</t>
  </si>
  <si>
    <t>VGB</t>
  </si>
  <si>
    <t>Virgin Islands (British)</t>
  </si>
  <si>
    <t>VG</t>
  </si>
  <si>
    <t>VIR</t>
  </si>
  <si>
    <t>Orders count</t>
  </si>
  <si>
    <t>Virgin Islands (U.S.)</t>
  </si>
  <si>
    <t>VI</t>
  </si>
  <si>
    <t>WLF</t>
  </si>
  <si>
    <t>Wallis and Futuna</t>
  </si>
  <si>
    <t>WF</t>
  </si>
  <si>
    <t>revenue</t>
  </si>
  <si>
    <t>ESH</t>
  </si>
  <si>
    <t>Western Sahara</t>
  </si>
  <si>
    <t>EH</t>
  </si>
  <si>
    <t>YEM</t>
  </si>
  <si>
    <t>Yemen</t>
  </si>
  <si>
    <t>YE</t>
  </si>
  <si>
    <t>cost</t>
  </si>
  <si>
    <t>ZMB</t>
  </si>
  <si>
    <t>Zambia</t>
  </si>
  <si>
    <t>ZM</t>
  </si>
  <si>
    <t>profit</t>
  </si>
  <si>
    <t>ZWE</t>
  </si>
  <si>
    <t>Zimbabwe</t>
  </si>
  <si>
    <t>ZW</t>
  </si>
  <si>
    <t>Country</t>
  </si>
  <si>
    <t xml:space="preserve">Avg Shipping Days </t>
  </si>
  <si>
    <t>Revenue by Coutries</t>
  </si>
  <si>
    <t>Profit by Coutries</t>
  </si>
  <si>
    <t>Average Shipping Days</t>
  </si>
  <si>
    <t>Region</t>
  </si>
  <si>
    <t>Total cost</t>
  </si>
  <si>
    <t>Number of Orders</t>
  </si>
  <si>
    <t>Sub-region</t>
  </si>
  <si>
    <t>online</t>
  </si>
  <si>
    <t>01 - Jan</t>
  </si>
  <si>
    <t>02 - Feb</t>
  </si>
  <si>
    <t>03 - Mar</t>
  </si>
  <si>
    <t>04 - Apr</t>
  </si>
  <si>
    <t>05 - May</t>
  </si>
  <si>
    <t>06 - Jun</t>
  </si>
  <si>
    <t>07 - Jul</t>
  </si>
  <si>
    <t>08 - Aug</t>
  </si>
  <si>
    <t>09 - Sep</t>
  </si>
  <si>
    <t>10 - Oct</t>
  </si>
  <si>
    <t>11 - Nov</t>
  </si>
  <si>
    <t>12 - Dec</t>
  </si>
  <si>
    <t>Conclusion</t>
  </si>
  <si>
    <t>Europe generates the majority of profit with clear monthly fluctuations,</t>
  </si>
  <si>
    <t>Europe consistently generates much higher profit than Asia.</t>
  </si>
  <si>
    <t>while Asia shows stable but significantly lower performance.</t>
  </si>
  <si>
    <t>Peak performance was in 2012, followed by a gradual decline.</t>
  </si>
  <si>
    <t>Asia remains stable but significantly lower in profit.</t>
  </si>
  <si>
    <t>No consistent seasonality observed. Profit fluctuates across months, with occasional spikes driven by specific countries.</t>
  </si>
  <si>
    <t>No consistent growth trend observed. Profit varies across years, with Poland showing the highest volatility.</t>
  </si>
  <si>
    <t xml:space="preserve">Median of Shipping Duration </t>
  </si>
  <si>
    <t>Mon</t>
  </si>
  <si>
    <t>Tue</t>
  </si>
  <si>
    <t>Wed</t>
  </si>
  <si>
    <t>Thu</t>
  </si>
  <si>
    <t>Fri</t>
  </si>
  <si>
    <t>Sat</t>
  </si>
  <si>
    <t>Sun</t>
  </si>
  <si>
    <t>Does profit depend on the shipping duration?</t>
  </si>
  <si>
    <t>There is no strong relationship between shipping duration and profit.</t>
  </si>
  <si>
    <t>Categories with both high and low shipping duration demonstrate a wide range of profitability,</t>
  </si>
  <si>
    <t>indicating that delivery time is not a key driver of profit.</t>
  </si>
  <si>
    <t>Profit by Countries</t>
  </si>
  <si>
    <t>SUM of total cost</t>
  </si>
  <si>
    <t xml:space="preserve"> ABC Analysis by Category</t>
  </si>
  <si>
    <t>% of total</t>
  </si>
  <si>
    <t>Cumulative %</t>
  </si>
  <si>
    <t>ABC</t>
  </si>
  <si>
    <t>Profit ABC</t>
  </si>
  <si>
    <t>Revenue ABC</t>
  </si>
  <si>
    <t>Profit</t>
  </si>
  <si>
    <t>Revenue</t>
  </si>
  <si>
    <t>A</t>
  </si>
  <si>
    <t>B</t>
  </si>
  <si>
    <t xml:space="preserve">Total </t>
  </si>
  <si>
    <t>Total</t>
  </si>
  <si>
    <t>Key Insights:</t>
  </si>
  <si>
    <t>• A categories generate the majority of revenue and profit</t>
  </si>
  <si>
    <t>• Cereal has high revenue but lower profit, indicating lower margins</t>
  </si>
  <si>
    <t>• C categories contribute minimally and may require optimization</t>
  </si>
  <si>
    <t xml:space="preserve">Sales fluctuate over time across product categories. There is no consistent yearly growth, </t>
  </si>
  <si>
    <t>but noticeable monthly seasonality with peaks in mid-year (months 5–7) and declines in months such as 4 and 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</si>
</sst>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[$$]#,##0.00"/>
    <numFmt numFmtId="167" formatCode="&quot;$&quot;#,##0.00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EFEFEF"/>
        <bgColor rgb="FFEFEFEF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1" fillId="0" fontId="4" numFmtId="0" xfId="0" applyBorder="1" applyFont="1"/>
    <xf borderId="1" fillId="0" fontId="4" numFmtId="167" xfId="0" applyAlignment="1" applyBorder="1" applyFont="1" applyNumberFormat="1">
      <alignment readingOrder="0"/>
    </xf>
    <xf borderId="0" fillId="0" fontId="2" numFmtId="167" xfId="0" applyAlignment="1" applyFont="1" applyNumberFormat="1">
      <alignment horizontal="center" readingOrder="0"/>
    </xf>
    <xf borderId="1" fillId="0" fontId="4" numFmtId="0" xfId="0" applyAlignment="1" applyBorder="1" applyFont="1">
      <alignment readingOrder="0"/>
    </xf>
    <xf borderId="0" fillId="0" fontId="4" numFmtId="164" xfId="0" applyAlignment="1" applyFont="1" applyNumberFormat="1">
      <alignment readingOrder="0"/>
    </xf>
    <xf borderId="1" fillId="0" fontId="4" numFmtId="166" xfId="0" applyBorder="1" applyFont="1" applyNumberFormat="1"/>
    <xf borderId="0" fillId="0" fontId="4" numFmtId="0" xfId="0" applyFont="1"/>
    <xf borderId="0" fillId="0" fontId="4" numFmtId="0" xfId="0" applyFont="1"/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6" xfId="0" applyFont="1" applyNumberFormat="1"/>
    <xf borderId="0" fillId="0" fontId="4" numFmtId="167" xfId="0" applyFont="1" applyNumberFormat="1"/>
    <xf borderId="1" fillId="2" fontId="2" numFmtId="0" xfId="0" applyAlignment="1" applyBorder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2" fontId="2" numFmtId="167" xfId="0" applyAlignment="1" applyBorder="1" applyFont="1" applyNumberFormat="1">
      <alignment horizontal="center" readingOrder="0"/>
    </xf>
    <xf borderId="0" fillId="2" fontId="2" numFmtId="0" xfId="0" applyAlignment="1" applyFont="1">
      <alignment horizontal="center"/>
    </xf>
    <xf borderId="0" fillId="3" fontId="3" numFmtId="0" xfId="0" applyAlignment="1" applyFill="1" applyFont="1">
      <alignment vertical="bottom"/>
    </xf>
    <xf borderId="1" fillId="4" fontId="4" numFmtId="0" xfId="0" applyAlignment="1" applyBorder="1" applyFill="1" applyFont="1">
      <alignment readingOrder="0"/>
    </xf>
    <xf borderId="1" fillId="4" fontId="4" numFmtId="0" xfId="0" applyBorder="1" applyFont="1"/>
    <xf borderId="1" fillId="5" fontId="4" numFmtId="0" xfId="0" applyAlignment="1" applyBorder="1" applyFill="1" applyFont="1">
      <alignment readingOrder="0"/>
    </xf>
    <xf borderId="1" fillId="5" fontId="4" numFmtId="167" xfId="0" applyBorder="1" applyFont="1" applyNumberFormat="1"/>
    <xf borderId="1" fillId="6" fontId="4" numFmtId="0" xfId="0" applyAlignment="1" applyBorder="1" applyFill="1" applyFont="1">
      <alignment readingOrder="0"/>
    </xf>
    <xf borderId="1" fillId="6" fontId="4" numFmtId="167" xfId="0" applyBorder="1" applyFont="1" applyNumberFormat="1"/>
    <xf borderId="1" fillId="7" fontId="4" numFmtId="0" xfId="0" applyAlignment="1" applyBorder="1" applyFill="1" applyFont="1">
      <alignment readingOrder="0"/>
    </xf>
    <xf borderId="1" fillId="7" fontId="4" numFmtId="167" xfId="0" applyBorder="1" applyFont="1" applyNumberFormat="1"/>
    <xf borderId="1" fillId="0" fontId="4" numFmtId="167" xfId="0" applyBorder="1" applyFont="1" applyNumberFormat="1"/>
    <xf borderId="0" fillId="0" fontId="2" numFmtId="1" xfId="0" applyAlignment="1" applyFont="1" applyNumberFormat="1">
      <alignment horizontal="center"/>
    </xf>
    <xf borderId="0" fillId="8" fontId="4" numFmtId="0" xfId="0" applyFill="1" applyFont="1"/>
    <xf borderId="0" fillId="8" fontId="4" numFmtId="166" xfId="0" applyFont="1" applyNumberFormat="1"/>
    <xf borderId="0" fillId="8" fontId="4" numFmtId="167" xfId="0" applyFont="1" applyNumberFormat="1"/>
    <xf borderId="0" fillId="8" fontId="4" numFmtId="1" xfId="0" applyFont="1" applyNumberFormat="1"/>
    <xf borderId="0" fillId="0" fontId="5" numFmtId="0" xfId="0" applyAlignment="1" applyFont="1">
      <alignment readingOrder="0"/>
    </xf>
    <xf borderId="0" fillId="0" fontId="4" numFmtId="1" xfId="0" applyFont="1" applyNumberFormat="1"/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0" fontId="2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7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1" fillId="0" fontId="4" numFmtId="0" xfId="0" applyBorder="1" applyFont="1"/>
    <xf borderId="12" fillId="0" fontId="4" numFmtId="0" xfId="0" applyBorder="1" applyFont="1"/>
    <xf borderId="10" fillId="0" fontId="4" numFmtId="0" xfId="0" applyBorder="1" applyFont="1"/>
    <xf borderId="11" fillId="0" fontId="4" numFmtId="0" xfId="0" applyAlignment="1" applyBorder="1" applyFont="1">
      <alignment readingOrder="0"/>
    </xf>
    <xf borderId="0" fillId="9" fontId="4" numFmtId="0" xfId="0" applyFill="1" applyFont="1"/>
    <xf borderId="0" fillId="9" fontId="4" numFmtId="1" xfId="0" applyFont="1" applyNumberFormat="1"/>
    <xf borderId="0" fillId="9" fontId="4" numFmtId="167" xfId="0" applyFont="1" applyNumberFormat="1"/>
    <xf borderId="0" fillId="10" fontId="4" numFmtId="0" xfId="0" applyFill="1" applyFont="1"/>
    <xf borderId="0" fillId="10" fontId="4" numFmtId="1" xfId="0" applyFont="1" applyNumberFormat="1"/>
    <xf borderId="0" fillId="10" fontId="4" numFmtId="167" xfId="0" applyFont="1" applyNumberFormat="1"/>
    <xf borderId="0" fillId="4" fontId="4" numFmtId="0" xfId="0" applyFont="1"/>
    <xf borderId="0" fillId="4" fontId="4" numFmtId="1" xfId="0" applyFont="1" applyNumberFormat="1"/>
    <xf borderId="0" fillId="4" fontId="4" numFmtId="167" xfId="0" applyFont="1" applyNumberFormat="1"/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2" fillId="11" fontId="2" numFmtId="0" xfId="0" applyAlignment="1" applyBorder="1" applyFill="1" applyFont="1">
      <alignment readingOrder="0"/>
    </xf>
    <xf borderId="3" fillId="0" fontId="4" numFmtId="10" xfId="0" applyBorder="1" applyFont="1" applyNumberForma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0" xfId="0" applyAlignment="1" applyBorder="1" applyFont="1" applyNumberFormat="1">
      <alignment horizontal="center" readingOrder="0"/>
    </xf>
    <xf borderId="1" fillId="0" fontId="4" numFmtId="10" xfId="0" applyBorder="1" applyFont="1" applyNumberFormat="1"/>
    <xf borderId="0" fillId="0" fontId="4" numFmtId="10" xfId="0" applyFont="1" applyNumberFormat="1"/>
    <xf borderId="10" fillId="0" fontId="2" numFmtId="0" xfId="0" applyAlignment="1" applyBorder="1" applyFont="1">
      <alignment horizontal="center" readingOrder="0"/>
    </xf>
    <xf borderId="10" fillId="0" fontId="2" numFmtId="10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/>
    </xf>
    <xf borderId="1" fillId="12" fontId="4" numFmtId="0" xfId="0" applyBorder="1" applyFill="1" applyFont="1"/>
    <xf borderId="1" fillId="12" fontId="4" numFmtId="167" xfId="0" applyBorder="1" applyFont="1" applyNumberFormat="1"/>
    <xf borderId="10" fillId="12" fontId="4" numFmtId="10" xfId="0" applyBorder="1" applyFont="1" applyNumberFormat="1"/>
    <xf borderId="1" fillId="12" fontId="4" numFmtId="166" xfId="0" applyBorder="1" applyFont="1" applyNumberFormat="1"/>
    <xf borderId="1" fillId="12" fontId="4" numFmtId="10" xfId="0" applyBorder="1" applyFont="1" applyNumberFormat="1"/>
    <xf borderId="1" fillId="13" fontId="4" numFmtId="0" xfId="0" applyBorder="1" applyFill="1" applyFont="1"/>
    <xf borderId="10" fillId="0" fontId="4" numFmtId="10" xfId="0" applyBorder="1" applyFont="1" applyNumberFormat="1"/>
    <xf borderId="0" fillId="0" fontId="2" numFmtId="167" xfId="0" applyFont="1" applyNumberFormat="1"/>
    <xf borderId="0" fillId="0" fontId="2" numFmtId="10" xfId="0" applyFont="1" applyNumberFormat="1"/>
    <xf borderId="0" fillId="0" fontId="2" numFmtId="0" xfId="0" applyFont="1"/>
    <xf borderId="0" fillId="0" fontId="2" numFmtId="166" xfId="0" applyFont="1" applyNumberFormat="1"/>
    <xf borderId="1" fillId="0" fontId="2" numFmtId="166" xfId="0" applyAlignment="1" applyBorder="1" applyFont="1" applyNumberFormat="1">
      <alignment horizontal="center" readingOrder="0"/>
    </xf>
    <xf borderId="1" fillId="12" fontId="4" numFmtId="166" xfId="0" applyBorder="1" applyFont="1" applyNumberFormat="1"/>
    <xf borderId="1" fillId="0" fontId="4" numFmtId="166" xfId="0" applyBorder="1" applyFont="1" applyNumberFormat="1"/>
    <xf borderId="0" fillId="0" fontId="2" numFmtId="166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1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Number of orders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'5.Analysis of products'!$C$1</c:f>
            </c:strRef>
          </c:tx>
          <c:spPr>
            <a:solidFill>
              <a:srgbClr val="E6B8AF"/>
            </a:solidFill>
            <a:ln cmpd="sng">
              <a:noFill/>
            </a:ln>
          </c:spPr>
          <c:dPt>
            <c:idx val="0"/>
          </c:dPt>
          <c:dPt>
            <c:idx val="1"/>
          </c:dPt>
          <c:dPt>
            <c:idx val="8"/>
          </c:dPt>
          <c:cat>
            <c:strRef>
              <c:f>'5.Analysis of products'!$B$2:$B$13</c:f>
            </c:strRef>
          </c:cat>
          <c:val>
            <c:numRef>
              <c:f>'5.Analysis of products'!$C$2:$C$13</c:f>
              <c:numCache/>
            </c:numRef>
          </c:val>
        </c:ser>
        <c:overlap val="100"/>
        <c:axId val="1261987444"/>
        <c:axId val="1315370094"/>
      </c:barChart>
      <c:catAx>
        <c:axId val="1261987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370094"/>
      </c:catAx>
      <c:valAx>
        <c:axId val="1315370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Orders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19874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Revenue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'5.Analysis of products'!$G$1</c:f>
            </c:strRef>
          </c:tx>
          <c:spPr>
            <a:solidFill>
              <a:srgbClr val="F9CB9C"/>
            </a:solidFill>
            <a:ln cmpd="sng">
              <a:noFill/>
            </a:ln>
          </c:spPr>
          <c:cat>
            <c:strRef>
              <c:f>'5.Analysis of products'!$F$2:$F$13</c:f>
            </c:strRef>
          </c:cat>
          <c:val>
            <c:numRef>
              <c:f>'5.Analysis of products'!$G$2:$G$13</c:f>
              <c:numCache/>
            </c:numRef>
          </c:val>
        </c:ser>
        <c:axId val="1131915704"/>
        <c:axId val="1864795451"/>
      </c:barChart>
      <c:catAx>
        <c:axId val="1131915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4795451"/>
      </c:catAx>
      <c:valAx>
        <c:axId val="1864795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915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Cost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'5.Analysis of products'!$K$1</c:f>
            </c:strRef>
          </c:tx>
          <c:spPr>
            <a:solidFill>
              <a:srgbClr val="EAD1DC"/>
            </a:solidFill>
            <a:ln cmpd="sng">
              <a:noFill/>
            </a:ln>
          </c:spPr>
          <c:dPt>
            <c:idx val="2"/>
            <c:spPr>
              <a:solidFill>
                <a:srgbClr val="EAD1DC"/>
              </a:solidFill>
              <a:ln cmpd="sng">
                <a:noFill/>
              </a:ln>
            </c:spPr>
          </c:dPt>
          <c:dPt>
            <c:idx val="4"/>
          </c:dPt>
          <c:cat>
            <c:strRef>
              <c:f>'5.Analysis of products'!$J$2:$J$13</c:f>
            </c:strRef>
          </c:cat>
          <c:val>
            <c:numRef>
              <c:f>'5.Analysis of products'!$K$2:$K$13</c:f>
              <c:numCache/>
            </c:numRef>
          </c:val>
        </c:ser>
        <c:axId val="240476281"/>
        <c:axId val="644449404"/>
      </c:barChart>
      <c:catAx>
        <c:axId val="240476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449404"/>
      </c:catAx>
      <c:valAx>
        <c:axId val="644449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476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'5.Analysis of products'!$O$1</c:f>
            </c:strRef>
          </c:tx>
          <c:spPr>
            <a:solidFill>
              <a:srgbClr val="D0E0E3"/>
            </a:solidFill>
            <a:ln cmpd="sng">
              <a:noFill/>
            </a:ln>
          </c:spPr>
          <c:cat>
            <c:strRef>
              <c:f>'5.Analysis of products'!$N$2:$N$13</c:f>
            </c:strRef>
          </c:cat>
          <c:val>
            <c:numRef>
              <c:f>'5.Analysis of products'!$O$2:$O$13</c:f>
              <c:numCache/>
            </c:numRef>
          </c:val>
        </c:ser>
        <c:overlap val="100"/>
        <c:axId val="45817760"/>
        <c:axId val="1767294447"/>
      </c:barChart>
      <c:catAx>
        <c:axId val="45817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294447"/>
      </c:catAx>
      <c:valAx>
        <c:axId val="1767294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17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Region Metrics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'6.2 Geo_Regions'!$B$1</c:f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cat>
            <c:strRef>
              <c:f>'6.2 Geo_Regions'!$A$2:$A$3</c:f>
            </c:strRef>
          </c:cat>
          <c:val>
            <c:numRef>
              <c:f>'6.2 Geo_Regions'!$B$2:$B$3</c:f>
              <c:numCache/>
            </c:numRef>
          </c:val>
        </c:ser>
        <c:ser>
          <c:idx val="1"/>
          <c:order val="1"/>
          <c:tx>
            <c:strRef>
              <c:f>'6.2 Geo_Regions'!$C$1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'6.2 Geo_Regions'!$A$2:$A$3</c:f>
            </c:strRef>
          </c:cat>
          <c:val>
            <c:numRef>
              <c:f>'6.2 Geo_Regions'!$C$2:$C$3</c:f>
              <c:numCache/>
            </c:numRef>
          </c:val>
        </c:ser>
        <c:ser>
          <c:idx val="2"/>
          <c:order val="2"/>
          <c:tx>
            <c:strRef>
              <c:f>'6.2 Geo_Regions'!$D$1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'6.2 Geo_Regions'!$A$2:$A$3</c:f>
            </c:strRef>
          </c:cat>
          <c:val>
            <c:numRef>
              <c:f>'6.2 Geo_Regions'!$D$2:$D$3</c:f>
              <c:numCache/>
            </c:numRef>
          </c:val>
        </c:ser>
        <c:axId val="664781458"/>
        <c:axId val="639678642"/>
      </c:barChart>
      <c:catAx>
        <c:axId val="664781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3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300">
                    <a:solidFill>
                      <a:schemeClr val="dk1"/>
                    </a:solidFill>
                    <a:latin typeface="+mn-lt"/>
                  </a:rPr>
                  <a:t>Region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678642"/>
      </c:catAx>
      <c:valAx>
        <c:axId val="639678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781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Sub-region Metrics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'6.3 Geo_Subregions'!$B$1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cat>
            <c:strRef>
              <c:f>'6.3 Geo_Subregions'!$A$2:$A$6</c:f>
            </c:strRef>
          </c:cat>
          <c:val>
            <c:numRef>
              <c:f>'6.3 Geo_Subregions'!$B$2:$B$6</c:f>
              <c:numCache/>
            </c:numRef>
          </c:val>
        </c:ser>
        <c:ser>
          <c:idx val="1"/>
          <c:order val="1"/>
          <c:tx>
            <c:strRef>
              <c:f>'6.3 Geo_Subregions'!$C$1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'6.3 Geo_Subregions'!$A$2:$A$6</c:f>
            </c:strRef>
          </c:cat>
          <c:val>
            <c:numRef>
              <c:f>'6.3 Geo_Subregions'!$C$2:$C$6</c:f>
              <c:numCache/>
            </c:numRef>
          </c:val>
        </c:ser>
        <c:ser>
          <c:idx val="2"/>
          <c:order val="2"/>
          <c:tx>
            <c:strRef>
              <c:f>'6.3 Geo_Subregions'!$D$1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'6.3 Geo_Subregions'!$A$2:$A$6</c:f>
            </c:strRef>
          </c:cat>
          <c:val>
            <c:numRef>
              <c:f>'6.3 Geo_Subregions'!$D$2:$D$6</c:f>
              <c:numCache/>
            </c:numRef>
          </c:val>
        </c:ser>
        <c:axId val="569163388"/>
        <c:axId val="1043228893"/>
      </c:barChart>
      <c:catAx>
        <c:axId val="569163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3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300">
                    <a:solidFill>
                      <a:schemeClr val="dk1"/>
                    </a:solidFill>
                    <a:latin typeface="+mn-lt"/>
                  </a:rPr>
                  <a:t>Sub-region</a:t>
                </a:r>
              </a:p>
            </c:rich>
          </c:tx>
          <c:layout>
            <c:manualLayout>
              <c:xMode val="edge"/>
              <c:yMode val="edge"/>
              <c:x val="0.19272981770833333"/>
              <c:y val="0.9176549865229109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228893"/>
      </c:catAx>
      <c:valAx>
        <c:axId val="1043228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91633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Channel Metrics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'7.Sales channel'!$B$1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'7.Sales channel'!$A$2:$A$3</c:f>
            </c:strRef>
          </c:cat>
          <c:val>
            <c:numRef>
              <c:f>'7.Sales channel'!$B$2:$B$3</c:f>
              <c:numCache/>
            </c:numRef>
          </c:val>
        </c:ser>
        <c:ser>
          <c:idx val="1"/>
          <c:order val="1"/>
          <c:tx>
            <c:strRef>
              <c:f>'7.Sales channel'!$C$1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'7.Sales channel'!$A$2:$A$3</c:f>
            </c:strRef>
          </c:cat>
          <c:val>
            <c:numRef>
              <c:f>'7.Sales channel'!$C$2:$C$3</c:f>
              <c:numCache/>
            </c:numRef>
          </c:val>
        </c:ser>
        <c:ser>
          <c:idx val="2"/>
          <c:order val="2"/>
          <c:tx>
            <c:strRef>
              <c:f>'7.Sales channel'!$D$1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'7.Sales channel'!$A$2:$A$3</c:f>
            </c:strRef>
          </c:cat>
          <c:val>
            <c:numRef>
              <c:f>'7.Sales channel'!$D$2:$D$3</c:f>
              <c:numCache/>
            </c:numRef>
          </c:val>
        </c:ser>
        <c:axId val="1668237089"/>
        <c:axId val="1900082213"/>
      </c:barChart>
      <c:catAx>
        <c:axId val="1668237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chemeClr val="dk1"/>
                    </a:solidFill>
                    <a:latin typeface="+mn-lt"/>
                  </a:defRPr>
                </a:pPr>
                <a:r>
                  <a:rPr b="0">
                    <a:solidFill>
                      <a:schemeClr val="dk1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082213"/>
      </c:catAx>
      <c:valAx>
        <c:axId val="1900082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237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Orders by Channel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'7.Sales channel'!$E$1</c:f>
            </c:strRef>
          </c:tx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'7.Sales channel'!$A$2:$A$3</c:f>
            </c:strRef>
          </c:cat>
          <c:val>
            <c:numRef>
              <c:f>'7.Sales channel'!$E$2:$E$3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Median of Shipping Duration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'8.Shipping Duration'!$B$1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'8.Shipping Duration'!$A$2:$A$13</c:f>
            </c:strRef>
          </c:cat>
          <c:val>
            <c:numRef>
              <c:f>'8.Shipping Duration'!$B$2:$B$13</c:f>
              <c:numCache/>
            </c:numRef>
          </c:val>
        </c:ser>
        <c:axId val="871306676"/>
        <c:axId val="997185312"/>
      </c:barChart>
      <c:catAx>
        <c:axId val="871306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7185312"/>
      </c:catAx>
      <c:valAx>
        <c:axId val="997185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Median of Shipping Duration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3066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Median of Shipping duration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'8.Shipping Duration'!$G$1</c:f>
            </c:strRef>
          </c:tx>
          <c:spPr>
            <a:solidFill>
              <a:schemeClr val="accent2"/>
            </a:solidFill>
            <a:ln cmpd="sng">
              <a:noFill/>
            </a:ln>
          </c:spPr>
          <c:dPt>
            <c:idx val="1"/>
          </c:dPt>
          <c:cat>
            <c:strRef>
              <c:f>'8.Shipping Duration'!$H$2:$H$46</c:f>
            </c:strRef>
          </c:cat>
          <c:val>
            <c:numRef>
              <c:f>'8.Shipping Duration'!$G$2:$G$46</c:f>
              <c:numCache/>
            </c:numRef>
          </c:val>
        </c:ser>
        <c:ser>
          <c:idx val="1"/>
          <c:order val="1"/>
          <c:tx>
            <c:strRef>
              <c:f>'8.Shipping Duration'!$I$1</c:f>
            </c:strRef>
          </c:tx>
          <c:cat>
            <c:strRef>
              <c:f>'8.Shipping Duration'!$H$2:$H$46</c:f>
            </c:strRef>
          </c:cat>
          <c:val>
            <c:numRef>
              <c:f>'8.Shipping Duration'!$I$2:$I$46</c:f>
              <c:numCache/>
            </c:numRef>
          </c:val>
        </c:ser>
        <c:axId val="792561655"/>
        <c:axId val="262487778"/>
      </c:barChart>
      <c:catAx>
        <c:axId val="792561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62487778"/>
      </c:catAx>
      <c:valAx>
        <c:axId val="2624877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Median of Shipping Duration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56165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Profit and Median Shipping Duration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'8.Shipping Duration'!$D$1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'8.Shipping Duration'!$A$2:$A$13</c:f>
            </c:strRef>
          </c:cat>
          <c:val>
            <c:numRef>
              <c:f>'8.Shipping Duration'!$D$2:$D$13</c:f>
              <c:numCache/>
            </c:numRef>
          </c:val>
        </c:ser>
        <c:axId val="2045519420"/>
        <c:axId val="1634802391"/>
      </c:barChart>
      <c:catAx>
        <c:axId val="2045519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802391"/>
      </c:catAx>
      <c:valAx>
        <c:axId val="1634802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519420"/>
      </c:valAx>
      <c:barChart>
        <c:barDir val="col"/>
        <c:ser>
          <c:idx val="1"/>
          <c:order val="1"/>
          <c:tx>
            <c:strRef>
              <c:f>'8.Shipping Duration'!$B$1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'8.Shipping Duration'!$A$2:$A$13</c:f>
            </c:strRef>
          </c:cat>
          <c:val>
            <c:numRef>
              <c:f>'8.Shipping Duration'!$B$2:$B$13</c:f>
              <c:numCache/>
            </c:numRef>
          </c:val>
        </c:ser>
        <c:axId val="759214571"/>
        <c:axId val="796707035"/>
      </c:barChart>
      <c:catAx>
        <c:axId val="759214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707035"/>
      </c:catAx>
      <c:valAx>
        <c:axId val="79670703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Median shipping 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2145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Monthly Total Profit (All Categories)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'9.1 Sales Dynamics by Year, Mon'!$Q$1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'9.1 Sales Dynamics by Year, Mon'!$P$2:$P$13</c:f>
            </c:strRef>
          </c:cat>
          <c:val>
            <c:numRef>
              <c:f>'9.1 Sales Dynamics by Year, Mon'!$Q$2:$Q$13</c:f>
              <c:numCache/>
            </c:numRef>
          </c:val>
          <c:smooth val="0"/>
        </c:ser>
        <c:axId val="1353263291"/>
        <c:axId val="331762068"/>
      </c:lineChart>
      <c:catAx>
        <c:axId val="1353263291"/>
        <c:scaling>
          <c:orientation val="minMax"/>
          <c:max val="12.0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762068"/>
      </c:catAx>
      <c:valAx>
        <c:axId val="331762068"/>
        <c:scaling>
          <c:orientation val="minMax"/>
          <c:min val="3.0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263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profit by Region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Asia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cat>
            <c:strRef>
              <c:f>'9.2 Sales Dynamics by Year, Mon'!$A$98:$A$110</c:f>
            </c:strRef>
          </c:cat>
          <c:val>
            <c:numRef>
              <c:f>'9.2 Sales Dynamics by Year, Mon'!$B$98:$B$110</c:f>
              <c:numCache/>
            </c:numRef>
          </c:val>
          <c:smooth val="0"/>
        </c:ser>
        <c:ser>
          <c:idx val="1"/>
          <c:order val="1"/>
          <c:tx>
            <c:v>Europe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8"/>
            <c:marker>
              <c:symbol val="none"/>
            </c:marker>
          </c:dPt>
          <c:cat>
            <c:strRef>
              <c:f>'9.2 Sales Dynamics by Year, Mon'!$A$98:$A$110</c:f>
            </c:strRef>
          </c:cat>
          <c:val>
            <c:numRef>
              <c:f>'9.2 Sales Dynamics by Year, Mon'!$C$98:$C$110</c:f>
              <c:numCache/>
            </c:numRef>
          </c:val>
          <c:smooth val="0"/>
        </c:ser>
        <c:axId val="1659621049"/>
        <c:axId val="1496702633"/>
      </c:lineChart>
      <c:catAx>
        <c:axId val="1659621049"/>
        <c:scaling>
          <c:orientation val="minMax"/>
          <c:max val="12.0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Month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702633"/>
      </c:catAx>
      <c:valAx>
        <c:axId val="1496702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621049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Yearly profit by Region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'9.2 Sales Dynamics by Year, Mon'!$M$97:$M$98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strRef>
              <c:f>'9.2 Sales Dynamics by Year, Mon'!$L$99:$L$106</c:f>
            </c:strRef>
          </c:cat>
          <c:val>
            <c:numRef>
              <c:f>'9.2 Sales Dynamics by Year, Mon'!$M$99:$M$106</c:f>
              <c:numCache/>
            </c:numRef>
          </c:val>
          <c:smooth val="0"/>
        </c:ser>
        <c:ser>
          <c:idx val="1"/>
          <c:order val="1"/>
          <c:tx>
            <c:strRef>
              <c:f>'9.2 Sales Dynamics by Year, Mon'!$N$97:$N$98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'9.2 Sales Dynamics by Year, Mon'!$L$99:$L$106</c:f>
            </c:strRef>
          </c:cat>
          <c:val>
            <c:numRef>
              <c:f>'9.2 Sales Dynamics by Year, Mon'!$N$99:$N$106</c:f>
              <c:numCache/>
            </c:numRef>
          </c:val>
          <c:smooth val="0"/>
        </c:ser>
        <c:axId val="84530231"/>
        <c:axId val="1615206212"/>
      </c:lineChart>
      <c:catAx>
        <c:axId val="84530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206212"/>
      </c:catAx>
      <c:valAx>
        <c:axId val="1615206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30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Monthly Profit Trends by Country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'9.2 Sales Dynamics by Year, Mon'!$C$124:$C$125</c:f>
            </c:strRef>
          </c:tx>
          <c:spPr>
            <a:ln cmpd="sng" w="38100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'9.2 Sales Dynamics by Year, Mon'!$A$126:$A$137</c:f>
            </c:strRef>
          </c:cat>
          <c:val>
            <c:numRef>
              <c:f>'9.2 Sales Dynamics by Year, Mon'!$C$126:$C$137</c:f>
              <c:numCache/>
            </c:numRef>
          </c:val>
          <c:smooth val="0"/>
        </c:ser>
        <c:ser>
          <c:idx val="1"/>
          <c:order val="1"/>
          <c:tx>
            <c:strRef>
              <c:f>'9.2 Sales Dynamics by Year, Mon'!$E$124:$E$125</c:f>
            </c:strRef>
          </c:tx>
          <c:spPr>
            <a:ln cmpd="sng" w="38100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'9.2 Sales Dynamics by Year, Mon'!$A$126:$A$137</c:f>
            </c:strRef>
          </c:cat>
          <c:val>
            <c:numRef>
              <c:f>'9.2 Sales Dynamics by Year, Mon'!$E$126:$E$137</c:f>
              <c:numCache/>
            </c:numRef>
          </c:val>
          <c:smooth val="0"/>
        </c:ser>
        <c:ser>
          <c:idx val="2"/>
          <c:order val="2"/>
          <c:tx>
            <c:strRef>
              <c:f>'9.2 Sales Dynamics by Year, Mon'!$F$124:$F$125</c:f>
            </c:strRef>
          </c:tx>
          <c:spPr>
            <a:ln cmpd="sng" w="38100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'9.2 Sales Dynamics by Year, Mon'!$A$126:$A$137</c:f>
            </c:strRef>
          </c:cat>
          <c:val>
            <c:numRef>
              <c:f>'9.2 Sales Dynamics by Year, Mon'!$F$126:$F$137</c:f>
              <c:numCache/>
            </c:numRef>
          </c:val>
          <c:smooth val="0"/>
        </c:ser>
        <c:ser>
          <c:idx val="3"/>
          <c:order val="3"/>
          <c:tx>
            <c:strRef>
              <c:f>'9.2 Sales Dynamics by Year, Mon'!$G$124:$G$125</c:f>
            </c:strRef>
          </c:tx>
          <c:spPr>
            <a:ln cmpd="sng" w="38100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'9.2 Sales Dynamics by Year, Mon'!$A$126:$A$137</c:f>
            </c:strRef>
          </c:cat>
          <c:val>
            <c:numRef>
              <c:f>'9.2 Sales Dynamics by Year, Mon'!$G$126:$G$137</c:f>
              <c:numCache/>
            </c:numRef>
          </c:val>
          <c:smooth val="0"/>
        </c:ser>
        <c:ser>
          <c:idx val="4"/>
          <c:order val="4"/>
          <c:tx>
            <c:strRef>
              <c:f>'9.2 Sales Dynamics by Year, Mon'!$B$124:$B$125</c:f>
            </c:strRef>
          </c:tx>
          <c:spPr>
            <a:ln cmpd="sng" w="38100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'9.2 Sales Dynamics by Year, Mon'!$A$126:$A$137</c:f>
            </c:strRef>
          </c:cat>
          <c:val>
            <c:numRef>
              <c:f>'9.2 Sales Dynamics by Year, Mon'!$B$126:$B$137</c:f>
              <c:numCache/>
            </c:numRef>
          </c:val>
          <c:smooth val="0"/>
        </c:ser>
        <c:axId val="608075806"/>
        <c:axId val="532160253"/>
      </c:lineChart>
      <c:catAx>
        <c:axId val="608075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160253"/>
      </c:catAx>
      <c:valAx>
        <c:axId val="532160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8075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Yearly Profit Trends by Country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'9.2 Sales Dynamics by Year, Mon'!$L$124:$L$125</c:f>
            </c:strRef>
          </c:tx>
          <c:spPr>
            <a:ln cmpd="sng" w="38100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'9.2 Sales Dynamics by Year, Mon'!$K$126:$K$133</c:f>
            </c:strRef>
          </c:cat>
          <c:val>
            <c:numRef>
              <c:f>'9.2 Sales Dynamics by Year, Mon'!$L$126:$L$133</c:f>
              <c:numCache/>
            </c:numRef>
          </c:val>
          <c:smooth val="0"/>
        </c:ser>
        <c:ser>
          <c:idx val="1"/>
          <c:order val="1"/>
          <c:tx>
            <c:strRef>
              <c:f>'9.2 Sales Dynamics by Year, Mon'!$M$124:$M$125</c:f>
            </c:strRef>
          </c:tx>
          <c:spPr>
            <a:ln cmpd="sng" w="38100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'9.2 Sales Dynamics by Year, Mon'!$K$126:$K$133</c:f>
            </c:strRef>
          </c:cat>
          <c:val>
            <c:numRef>
              <c:f>'9.2 Sales Dynamics by Year, Mon'!$M$126:$M$133</c:f>
              <c:numCache/>
            </c:numRef>
          </c:val>
          <c:smooth val="0"/>
        </c:ser>
        <c:ser>
          <c:idx val="2"/>
          <c:order val="2"/>
          <c:tx>
            <c:strRef>
              <c:f>'9.2 Sales Dynamics by Year, Mon'!$N$124:$N$125</c:f>
            </c:strRef>
          </c:tx>
          <c:spPr>
            <a:ln cmpd="sng" w="38100">
              <a:solidFill>
                <a:srgbClr val="3C78D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'9.2 Sales Dynamics by Year, Mon'!$K$126:$K$133</c:f>
            </c:strRef>
          </c:cat>
          <c:val>
            <c:numRef>
              <c:f>'9.2 Sales Dynamics by Year, Mon'!$N$126:$N$133</c:f>
              <c:numCache/>
            </c:numRef>
          </c:val>
          <c:smooth val="0"/>
        </c:ser>
        <c:ser>
          <c:idx val="3"/>
          <c:order val="3"/>
          <c:tx>
            <c:strRef>
              <c:f>'9.2 Sales Dynamics by Year, Mon'!$O$124:$O$125</c:f>
            </c:strRef>
          </c:tx>
          <c:spPr>
            <a:ln cmpd="sng" w="38100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'9.2 Sales Dynamics by Year, Mon'!$K$126:$K$133</c:f>
            </c:strRef>
          </c:cat>
          <c:val>
            <c:numRef>
              <c:f>'9.2 Sales Dynamics by Year, Mon'!$O$126:$O$133</c:f>
              <c:numCache/>
            </c:numRef>
          </c:val>
          <c:smooth val="0"/>
        </c:ser>
        <c:ser>
          <c:idx val="4"/>
          <c:order val="4"/>
          <c:tx>
            <c:strRef>
              <c:f>'9.2 Sales Dynamics by Year, Mon'!$P$124:$P$125</c:f>
            </c:strRef>
          </c:tx>
          <c:spPr>
            <a:ln cmpd="sng" w="38100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'9.2 Sales Dynamics by Year, Mon'!$K$126:$K$133</c:f>
            </c:strRef>
          </c:cat>
          <c:val>
            <c:numRef>
              <c:f>'9.2 Sales Dynamics by Year, Mon'!$P$126:$P$133</c:f>
              <c:numCache/>
            </c:numRef>
          </c:val>
          <c:smooth val="0"/>
        </c:ser>
        <c:axId val="1973479129"/>
        <c:axId val="1525423036"/>
      </c:lineChart>
      <c:catAx>
        <c:axId val="1973479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423036"/>
      </c:catAx>
      <c:valAx>
        <c:axId val="1525423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479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profit by Weekday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'10.Profit by weekday'!$C$1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'10.Profit by weekday'!$B$2:$B$8</c:f>
            </c:strRef>
          </c:cat>
          <c:val>
            <c:numRef>
              <c:f>'10.Profit by weekday'!$C$2:$C$8</c:f>
              <c:numCache/>
            </c:numRef>
          </c:val>
          <c:smooth val="0"/>
        </c:ser>
        <c:axId val="1906461363"/>
        <c:axId val="1525858327"/>
      </c:lineChart>
      <c:catAx>
        <c:axId val="1906461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858327"/>
      </c:catAx>
      <c:valAx>
        <c:axId val="1525858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461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Number of Orders by Weekday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'10.Profit by weekday'!$D$1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'10.Profit by weekday'!$B$2:$B$8</c:f>
            </c:strRef>
          </c:cat>
          <c:val>
            <c:numRef>
              <c:f>'10.Profit by weekday'!$D$2:$D$1000</c:f>
              <c:numCache/>
            </c:numRef>
          </c:val>
          <c:smooth val="0"/>
        </c:ser>
        <c:axId val="1202649747"/>
        <c:axId val="208945348"/>
      </c:lineChart>
      <c:catAx>
        <c:axId val="1202649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945348"/>
      </c:catAx>
      <c:valAx>
        <c:axId val="208945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Orders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6497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Profit and Number of Orders by Weekday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'10.Profit by weekday'!$C$1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'10.Profit by weekday'!$B$2:$B$8</c:f>
            </c:strRef>
          </c:cat>
          <c:val>
            <c:numRef>
              <c:f>'10.Profit by weekday'!$C$2:$C$8</c:f>
              <c:numCache/>
            </c:numRef>
          </c:val>
          <c:smooth val="0"/>
        </c:ser>
        <c:axId val="1476784854"/>
        <c:axId val="1659778302"/>
      </c:lineChart>
      <c:catAx>
        <c:axId val="1476784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778302"/>
      </c:catAx>
      <c:valAx>
        <c:axId val="1659778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784854"/>
      </c:valAx>
      <c:lineChart>
        <c:varyColors val="0"/>
        <c:ser>
          <c:idx val="1"/>
          <c:order val="1"/>
          <c:tx>
            <c:strRef>
              <c:f>'10.Profit by weekday'!$D$1</c:f>
            </c:strRef>
          </c:tx>
          <c:spPr>
            <a:ln cmpd="sng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'10.Profit by weekday'!$B$2:$B$8</c:f>
            </c:strRef>
          </c:cat>
          <c:val>
            <c:numRef>
              <c:f>'10.Profit by weekday'!$D$2:$D$8</c:f>
              <c:numCache/>
            </c:numRef>
          </c:val>
          <c:smooth val="0"/>
        </c:ser>
        <c:axId val="2144782495"/>
        <c:axId val="907542340"/>
      </c:lineChart>
      <c:catAx>
        <c:axId val="214478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7542340"/>
      </c:catAx>
      <c:valAx>
        <c:axId val="90754234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Orders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7824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Number of orders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'5.Analysis of products'!$C$1</c:f>
            </c:strRef>
          </c:tx>
          <c:spPr>
            <a:solidFill>
              <a:srgbClr val="E6B8AF"/>
            </a:solidFill>
            <a:ln cmpd="sng">
              <a:noFill/>
            </a:ln>
          </c:spPr>
          <c:dPt>
            <c:idx val="0"/>
          </c:dPt>
          <c:dPt>
            <c:idx val="1"/>
          </c:dPt>
          <c:dPt>
            <c:idx val="8"/>
          </c:dPt>
          <c:cat>
            <c:strRef>
              <c:f>'5.Analysis of products'!$B$2:$B$13</c:f>
            </c:strRef>
          </c:cat>
          <c:val>
            <c:numRef>
              <c:f>'5.Analysis of products'!$C$2:$C$13</c:f>
              <c:numCache/>
            </c:numRef>
          </c:val>
        </c:ser>
        <c:overlap val="100"/>
        <c:axId val="657537790"/>
        <c:axId val="699997003"/>
      </c:barChart>
      <c:catAx>
        <c:axId val="657537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997003"/>
      </c:catAx>
      <c:valAx>
        <c:axId val="699997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Orders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7537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Channel Metrics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'7.Sales channel'!$B$1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'7.Sales channel'!$A$2:$A$3</c:f>
            </c:strRef>
          </c:cat>
          <c:val>
            <c:numRef>
              <c:f>'7.Sales channel'!$B$2:$B$3</c:f>
              <c:numCache/>
            </c:numRef>
          </c:val>
        </c:ser>
        <c:ser>
          <c:idx val="1"/>
          <c:order val="1"/>
          <c:tx>
            <c:strRef>
              <c:f>'7.Sales channel'!$C$1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'7.Sales channel'!$A$2:$A$3</c:f>
            </c:strRef>
          </c:cat>
          <c:val>
            <c:numRef>
              <c:f>'7.Sales channel'!$C$2:$C$3</c:f>
              <c:numCache/>
            </c:numRef>
          </c:val>
        </c:ser>
        <c:ser>
          <c:idx val="2"/>
          <c:order val="2"/>
          <c:tx>
            <c:strRef>
              <c:f>'7.Sales channel'!$D$1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'7.Sales channel'!$A$2:$A$3</c:f>
            </c:strRef>
          </c:cat>
          <c:val>
            <c:numRef>
              <c:f>'7.Sales channel'!$D$2:$D$3</c:f>
              <c:numCache/>
            </c:numRef>
          </c:val>
        </c:ser>
        <c:axId val="1360979933"/>
        <c:axId val="631424735"/>
      </c:barChart>
      <c:catAx>
        <c:axId val="1360979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chemeClr val="dk1"/>
                    </a:solidFill>
                    <a:latin typeface="+mn-lt"/>
                  </a:defRPr>
                </a:pPr>
                <a:r>
                  <a:rPr b="0">
                    <a:solidFill>
                      <a:schemeClr val="dk1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424735"/>
      </c:catAx>
      <c:valAx>
        <c:axId val="631424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9799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Median of Shipping duration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'8.Shipping Duration'!$G$1</c:f>
            </c:strRef>
          </c:tx>
          <c:spPr>
            <a:solidFill>
              <a:schemeClr val="accent2"/>
            </a:solidFill>
            <a:ln cmpd="sng">
              <a:noFill/>
            </a:ln>
          </c:spPr>
          <c:dPt>
            <c:idx val="1"/>
          </c:dPt>
          <c:cat>
            <c:strRef>
              <c:f>'8.Shipping Duration'!$H$2:$H$46</c:f>
            </c:strRef>
          </c:cat>
          <c:val>
            <c:numRef>
              <c:f>'8.Shipping Duration'!$G$2:$G$46</c:f>
              <c:numCache/>
            </c:numRef>
          </c:val>
        </c:ser>
        <c:ser>
          <c:idx val="1"/>
          <c:order val="1"/>
          <c:tx>
            <c:strRef>
              <c:f>'8.Shipping Duration'!$I$1</c:f>
            </c:strRef>
          </c:tx>
          <c:cat>
            <c:strRef>
              <c:f>'8.Shipping Duration'!$H$2:$H$46</c:f>
            </c:strRef>
          </c:cat>
          <c:val>
            <c:numRef>
              <c:f>'8.Shipping Duration'!$I$2:$I$46</c:f>
              <c:numCache/>
            </c:numRef>
          </c:val>
        </c:ser>
        <c:axId val="1645404808"/>
        <c:axId val="1080756312"/>
      </c:barChart>
      <c:catAx>
        <c:axId val="1645404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0756312"/>
      </c:catAx>
      <c:valAx>
        <c:axId val="1080756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Median of Shipping Duration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40480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Monthly Total Profit (All Categories)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'9.1 Sales Dynamics by Year, Mon'!$Q$1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'9.1 Sales Dynamics by Year, Mon'!$P$2:$P$13</c:f>
            </c:strRef>
          </c:cat>
          <c:val>
            <c:numRef>
              <c:f>'9.1 Sales Dynamics by Year, Mon'!$Q$2:$Q$13</c:f>
              <c:numCache/>
            </c:numRef>
          </c:val>
          <c:smooth val="0"/>
        </c:ser>
        <c:axId val="1675343789"/>
        <c:axId val="470900634"/>
      </c:lineChart>
      <c:catAx>
        <c:axId val="1675343789"/>
        <c:scaling>
          <c:orientation val="minMax"/>
          <c:max val="12.0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900634"/>
      </c:catAx>
      <c:valAx>
        <c:axId val="470900634"/>
        <c:scaling>
          <c:orientation val="minMax"/>
          <c:min val="3.0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343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profit by Region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Asia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cat>
            <c:strRef>
              <c:f>'9.2 Sales Dynamics by Year, Mon'!$A$98:$A$110</c:f>
            </c:strRef>
          </c:cat>
          <c:val>
            <c:numRef>
              <c:f>'9.2 Sales Dynamics by Year, Mon'!$B$98:$B$110</c:f>
              <c:numCache/>
            </c:numRef>
          </c:val>
          <c:smooth val="0"/>
        </c:ser>
        <c:ser>
          <c:idx val="1"/>
          <c:order val="1"/>
          <c:tx>
            <c:v>Europe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8"/>
            <c:marker>
              <c:symbol val="none"/>
            </c:marker>
          </c:dPt>
          <c:cat>
            <c:strRef>
              <c:f>'9.2 Sales Dynamics by Year, Mon'!$A$98:$A$110</c:f>
            </c:strRef>
          </c:cat>
          <c:val>
            <c:numRef>
              <c:f>'9.2 Sales Dynamics by Year, Mon'!$C$98:$C$110</c:f>
              <c:numCache/>
            </c:numRef>
          </c:val>
          <c:smooth val="0"/>
        </c:ser>
        <c:axId val="914656527"/>
        <c:axId val="1426481294"/>
      </c:lineChart>
      <c:catAx>
        <c:axId val="914656527"/>
        <c:scaling>
          <c:orientation val="minMax"/>
          <c:max val="12.0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 of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481294"/>
      </c:catAx>
      <c:valAx>
        <c:axId val="1426481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4656527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Profit and Number of Orders by Weekday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'10.Profit by weekday'!$C$1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'10.Profit by weekday'!$B$2:$B$8</c:f>
            </c:strRef>
          </c:cat>
          <c:val>
            <c:numRef>
              <c:f>'10.Profit by weekday'!$C$2:$C$8</c:f>
              <c:numCache/>
            </c:numRef>
          </c:val>
          <c:smooth val="0"/>
        </c:ser>
        <c:axId val="883114514"/>
        <c:axId val="409116773"/>
      </c:lineChart>
      <c:catAx>
        <c:axId val="883114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116773"/>
      </c:catAx>
      <c:valAx>
        <c:axId val="409116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3114514"/>
      </c:valAx>
      <c:lineChart>
        <c:varyColors val="0"/>
        <c:ser>
          <c:idx val="1"/>
          <c:order val="1"/>
          <c:tx>
            <c:strRef>
              <c:f>'10.Profit by weekday'!$D$1</c:f>
            </c:strRef>
          </c:tx>
          <c:spPr>
            <a:ln cmpd="sng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'10.Profit by weekday'!$B$2:$B$8</c:f>
            </c:strRef>
          </c:cat>
          <c:val>
            <c:numRef>
              <c:f>'10.Profit by weekday'!$D$2:$D$8</c:f>
              <c:numCache/>
            </c:numRef>
          </c:val>
          <c:smooth val="0"/>
        </c:ser>
        <c:axId val="887941343"/>
        <c:axId val="1172366596"/>
      </c:lineChart>
      <c:catAx>
        <c:axId val="887941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366596"/>
      </c:catAx>
      <c:valAx>
        <c:axId val="11723665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Orders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79413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Profit ABC Analysis (2017)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'13.ABC visualization '!$E$1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5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9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0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1"/>
            <c:spPr>
              <a:solidFill>
                <a:schemeClr val="accent5"/>
              </a:solidFill>
              <a:ln cmpd="sng">
                <a:noFill/>
              </a:ln>
            </c:spPr>
          </c:dPt>
          <c:cat>
            <c:strRef>
              <c:f>'13.ABC visualization '!$A$2:$A$13</c:f>
            </c:strRef>
          </c:cat>
          <c:val>
            <c:numRef>
              <c:f>'13.ABC visualization '!$E$2:$E$13</c:f>
              <c:numCache/>
            </c:numRef>
          </c:val>
        </c:ser>
        <c:axId val="2078273626"/>
        <c:axId val="237164152"/>
      </c:barChart>
      <c:catAx>
        <c:axId val="2078273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164152"/>
      </c:catAx>
      <c:valAx>
        <c:axId val="237164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8273626"/>
      </c:valAx>
      <c:lineChart>
        <c:varyColors val="0"/>
        <c:ser>
          <c:idx val="1"/>
          <c:order val="1"/>
          <c:tx>
            <c:strRef>
              <c:f>'13.ABC visualization 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'13.ABC visualization '!$A$2:$A$13</c:f>
            </c:strRef>
          </c:cat>
          <c:val>
            <c:numRef>
              <c:f>'13.ABC visualization '!$B$2:$B$13</c:f>
              <c:numCache/>
            </c:numRef>
          </c:val>
          <c:smooth val="0"/>
        </c:ser>
        <c:axId val="131024902"/>
        <c:axId val="1277564949"/>
      </c:lineChart>
      <c:catAx>
        <c:axId val="1310249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564949"/>
      </c:catAx>
      <c:valAx>
        <c:axId val="127756494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249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Revenue ABC Analysis (2017)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'13.ABC visualization '!$M$1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5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9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0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1"/>
            <c:spPr>
              <a:solidFill>
                <a:schemeClr val="accent5"/>
              </a:solidFill>
              <a:ln cmpd="sng">
                <a:noFill/>
              </a:ln>
            </c:spPr>
          </c:dPt>
          <c:cat>
            <c:strRef>
              <c:f>'13.ABC visualization '!$I$2:$I$13</c:f>
            </c:strRef>
          </c:cat>
          <c:val>
            <c:numRef>
              <c:f>'13.ABC visualization '!$M$2:$M$13</c:f>
              <c:numCache/>
            </c:numRef>
          </c:val>
        </c:ser>
        <c:axId val="31402093"/>
        <c:axId val="1219755856"/>
      </c:barChart>
      <c:catAx>
        <c:axId val="31402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755856"/>
      </c:catAx>
      <c:valAx>
        <c:axId val="12197558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02093"/>
      </c:valAx>
      <c:lineChart>
        <c:varyColors val="0"/>
        <c:ser>
          <c:idx val="1"/>
          <c:order val="1"/>
          <c:tx>
            <c:strRef>
              <c:f>'13.ABC visualization '!$J$1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'13.ABC visualization '!$I$2:$I$13</c:f>
            </c:strRef>
          </c:cat>
          <c:val>
            <c:numRef>
              <c:f>'13.ABC visualization '!$J$2:$J$13</c:f>
              <c:numCache/>
            </c:numRef>
          </c:val>
          <c:smooth val="0"/>
        </c:ser>
        <c:axId val="387052795"/>
        <c:axId val="765149083"/>
      </c:lineChart>
      <c:catAx>
        <c:axId val="3870527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149083"/>
      </c:catAx>
      <c:valAx>
        <c:axId val="7651490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0527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ABC Comparison: Profit vs Revenue (2017)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'13.ABC visualization '!$T$1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cat>
            <c:strRef>
              <c:f>'13.ABC visualization '!$Q$2:$Q$13</c:f>
            </c:strRef>
          </c:cat>
          <c:val>
            <c:numRef>
              <c:f>'13.ABC visualization '!$T$2:$T$13</c:f>
              <c:numCache/>
            </c:numRef>
          </c:val>
        </c:ser>
        <c:ser>
          <c:idx val="1"/>
          <c:order val="1"/>
          <c:tx>
            <c:strRef>
              <c:f>'13.ABC visualization '!$U$1</c:f>
            </c:strRef>
          </c:tx>
          <c:spPr>
            <a:solidFill>
              <a:schemeClr val="accent2"/>
            </a:solidFill>
            <a:ln cmpd="sng">
              <a:noFill/>
            </a:ln>
          </c:spPr>
          <c:dPt>
            <c:idx val="0"/>
          </c:dPt>
          <c:dPt>
            <c:idx val="1"/>
          </c:dPt>
          <c:cat>
            <c:strRef>
              <c:f>'13.ABC visualization '!$Q$2:$Q$13</c:f>
            </c:strRef>
          </c:cat>
          <c:val>
            <c:numRef>
              <c:f>'13.ABC visualization '!$U$2:$U$13</c:f>
              <c:numCache/>
            </c:numRef>
          </c:val>
        </c:ser>
        <c:axId val="951330900"/>
        <c:axId val="57985861"/>
      </c:barChart>
      <c:catAx>
        <c:axId val="9513309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85861"/>
      </c:catAx>
      <c:valAx>
        <c:axId val="579858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Profit and Revenue (USD)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3309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Cost ABC Analysis (2017)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'13.ABC visualization '!$E$41</c:f>
            </c:strRef>
          </c:tx>
          <c:spPr>
            <a:solidFill>
              <a:schemeClr val="accent4"/>
            </a:solidFill>
            <a:ln cmpd="sng">
              <a:noFill/>
            </a:ln>
          </c:spPr>
          <c:dPt>
            <c:idx val="5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9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0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11"/>
            <c:spPr>
              <a:solidFill>
                <a:schemeClr val="accent5"/>
              </a:solidFill>
              <a:ln cmpd="sng">
                <a:noFill/>
              </a:ln>
            </c:spPr>
          </c:dPt>
          <c:cat>
            <c:strRef>
              <c:f>'13.ABC visualization '!$A$42:$A$53</c:f>
            </c:strRef>
          </c:cat>
          <c:val>
            <c:numRef>
              <c:f>'13.ABC visualization '!$E$42:$E$53</c:f>
              <c:numCache/>
            </c:numRef>
          </c:val>
        </c:ser>
        <c:axId val="1759558439"/>
        <c:axId val="486266845"/>
      </c:barChart>
      <c:catAx>
        <c:axId val="1759558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266845"/>
      </c:catAx>
      <c:valAx>
        <c:axId val="486266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558439"/>
      </c:valAx>
      <c:lineChart>
        <c:varyColors val="0"/>
        <c:ser>
          <c:idx val="1"/>
          <c:order val="1"/>
          <c:tx>
            <c:strRef>
              <c:f>'13.ABC visualization '!$B$41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4"/>
            <c:marker>
              <c:symbol val="none"/>
            </c:marker>
          </c:dPt>
          <c:cat>
            <c:strRef>
              <c:f>'13.ABC visualization '!$A$42:$A$53</c:f>
            </c:strRef>
          </c:cat>
          <c:val>
            <c:numRef>
              <c:f>'13.ABC visualization '!$B$42:$B$53</c:f>
              <c:numCache/>
            </c:numRef>
          </c:val>
          <c:smooth val="0"/>
        </c:ser>
        <c:axId val="14679190"/>
        <c:axId val="625713385"/>
      </c:lineChart>
      <c:catAx>
        <c:axId val="1467919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713385"/>
      </c:catAx>
      <c:valAx>
        <c:axId val="62571338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91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image" Target="../media/Chart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20.png"/><Relationship Id="rId2" Type="http://schemas.openxmlformats.org/officeDocument/2006/relationships/chart" Target="../charts/chart12.xml"/><Relationship Id="rId3" Type="http://schemas.openxmlformats.org/officeDocument/2006/relationships/image" Target="../media/Chart3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chart" Target="../charts/chart23.xml"/><Relationship Id="rId5" Type="http://schemas.openxmlformats.org/officeDocument/2006/relationships/chart" Target="../charts/chart24.xml"/><Relationship Id="rId6" Type="http://schemas.openxmlformats.org/officeDocument/2006/relationships/chart" Target="../charts/chart25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<Relationship Id="rId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285750</xdr:colOff>
      <xdr:row>13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33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285750</xdr:colOff>
      <xdr:row>33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3</xdr:row>
      <xdr:rowOff>114300</xdr:rowOff>
    </xdr:from>
    <xdr:ext cx="5715000" cy="3533775"/>
    <xdr:pic>
      <xdr:nvPicPr>
        <xdr:cNvPr id="163908058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25</xdr:row>
      <xdr:rowOff>133350</xdr:rowOff>
    </xdr:from>
    <xdr:ext cx="5715000" cy="3533775"/>
    <xdr:pic>
      <xdr:nvPicPr>
        <xdr:cNvPr id="1581846485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46</xdr:row>
      <xdr:rowOff>190500</xdr:rowOff>
    </xdr:from>
    <xdr:ext cx="5715000" cy="3533775"/>
    <xdr:pic>
      <xdr:nvPicPr>
        <xdr:cNvPr id="198482057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5</xdr:row>
      <xdr:rowOff>85725</xdr:rowOff>
    </xdr:from>
    <xdr:ext cx="6543675" cy="40481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152400</xdr:rowOff>
    </xdr:from>
    <xdr:ext cx="6829425" cy="4210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190500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781050</xdr:colOff>
      <xdr:row>4</xdr:row>
      <xdr:rowOff>190500</xdr:rowOff>
    </xdr:from>
    <xdr:ext cx="5095875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9525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438150</xdr:colOff>
      <xdr:row>0</xdr:row>
      <xdr:rowOff>142875</xdr:rowOff>
    </xdr:from>
    <xdr:ext cx="6858000" cy="37909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33</xdr:row>
      <xdr:rowOff>28575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438150</xdr:colOff>
      <xdr:row>20</xdr:row>
      <xdr:rowOff>142875</xdr:rowOff>
    </xdr:from>
    <xdr:ext cx="6858000" cy="3533775"/>
    <xdr:pic>
      <xdr:nvPicPr>
        <xdr:cNvPr id="1914307261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95</xdr:row>
      <xdr:rowOff>95250</xdr:rowOff>
    </xdr:from>
    <xdr:ext cx="6534150" cy="3533775"/>
    <xdr:pic>
      <xdr:nvPicPr>
        <xdr:cNvPr id="2113697507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400050</xdr:colOff>
      <xdr:row>0</xdr:row>
      <xdr:rowOff>19050</xdr:rowOff>
    </xdr:from>
    <xdr:ext cx="5715000" cy="3533775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238125</xdr:colOff>
      <xdr:row>95</xdr:row>
      <xdr:rowOff>95250</xdr:rowOff>
    </xdr:from>
    <xdr:ext cx="5715000" cy="3533775"/>
    <xdr:pic>
      <xdr:nvPicPr>
        <xdr:cNvPr id="1669514150" name="Chart3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904875</xdr:colOff>
      <xdr:row>96</xdr:row>
      <xdr:rowOff>9525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752475</xdr:colOff>
      <xdr:row>96</xdr:row>
      <xdr:rowOff>9525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138</xdr:row>
      <xdr:rowOff>114300</xdr:rowOff>
    </xdr:from>
    <xdr:ext cx="6753225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838200</xdr:colOff>
      <xdr:row>138</xdr:row>
      <xdr:rowOff>114300</xdr:rowOff>
    </xdr:from>
    <xdr:ext cx="6638925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21</xdr:row>
      <xdr:rowOff>66675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152400</xdr:colOff>
      <xdr:row>21</xdr:row>
      <xdr:rowOff>66675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152400</xdr:colOff>
      <xdr:row>0</xdr:row>
      <xdr:rowOff>180975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28575</xdr:rowOff>
    </xdr:from>
    <xdr:ext cx="5715000" cy="3533775"/>
    <xdr:pic>
      <xdr:nvPicPr>
        <xdr:cNvPr id="232186733" name="Chart2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9</xdr:row>
      <xdr:rowOff>28575</xdr:rowOff>
    </xdr:from>
    <xdr:ext cx="5715000" cy="3533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438150</xdr:colOff>
      <xdr:row>9</xdr:row>
      <xdr:rowOff>28575</xdr:rowOff>
    </xdr:from>
    <xdr:ext cx="57150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419100</xdr:colOff>
      <xdr:row>29</xdr:row>
      <xdr:rowOff>171450</xdr:rowOff>
    </xdr:from>
    <xdr:ext cx="68580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847725</xdr:colOff>
      <xdr:row>29</xdr:row>
      <xdr:rowOff>180975</xdr:rowOff>
    </xdr:from>
    <xdr:ext cx="5715000" cy="353377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0</xdr:colOff>
      <xdr:row>29</xdr:row>
      <xdr:rowOff>171450</xdr:rowOff>
    </xdr:from>
    <xdr:ext cx="5715000" cy="353377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18</xdr:col>
      <xdr:colOff>342900</xdr:colOff>
      <xdr:row>9</xdr:row>
      <xdr:rowOff>28575</xdr:rowOff>
    </xdr:from>
    <xdr:ext cx="5715000" cy="353377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114300</xdr:rowOff>
    </xdr:from>
    <xdr:ext cx="6772275" cy="375285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695325</xdr:colOff>
      <xdr:row>17</xdr:row>
      <xdr:rowOff>114300</xdr:rowOff>
    </xdr:from>
    <xdr:ext cx="6429375" cy="375285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504825</xdr:colOff>
      <xdr:row>17</xdr:row>
      <xdr:rowOff>114300</xdr:rowOff>
    </xdr:from>
    <xdr:ext cx="5715000" cy="3752850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56</xdr:row>
      <xdr:rowOff>180975</xdr:rowOff>
    </xdr:from>
    <xdr:ext cx="7381875" cy="353377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asha N" id="{60274f71-8e48-497f-a9fc-a60cbbfbd41a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331" sheet="events"/>
  </cacheSource>
  <cacheFields>
    <cacheField name="Order ID" numFmtId="0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16564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09655511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Year of order" numFmtId="0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Month of order" numFmtId="0">
      <sharedItems>
        <s v="10 - Oct"/>
        <s v="08 - Aug"/>
        <s v="07 - Jul"/>
        <s v="05 - May"/>
        <s v="03 - Mar"/>
        <s v="04 - Apr"/>
        <s v="11 - Nov"/>
        <s v="09 - Sep"/>
        <s v="01 - Jan"/>
        <s v="02 - Feb"/>
        <s v="06 - Jun"/>
        <s v="12 - Dec"/>
      </sharedItems>
    </cacheField>
    <cacheField name="Weekday" numFmtId="0">
      <sharedItems>
        <s v="Wed"/>
        <s v="Thu"/>
        <s v="Fri"/>
        <s v="Sat"/>
        <s v="Sun"/>
        <s v="Mon"/>
        <s v="Tue"/>
      </sharedItems>
    </cacheField>
    <cacheField name="Number of weekday" numFmtId="0">
      <sharedItems containsSemiMixedTypes="0" containsString="0" containsNumber="1" containsInteger="1">
        <n v="3.0"/>
        <n v="4.0"/>
        <n v="5.0"/>
        <n v="6.0"/>
        <n v="7.0"/>
        <n v="1.0"/>
        <n v="2.0"/>
      </sharedItems>
    </cacheField>
    <cacheField name="Ship Date" numFmtId="165">
      <sharedItems containsSemiMixedTypes="0" containsDate="1" containsString="0">
        <d v="2014-10-18T00:00:00Z"/>
        <d v="2016-08-11T00:00:00Z"/>
        <d v="2014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4-01-05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5-03-02T00:00:00Z"/>
        <d v="2016-03-13T00:00:00Z"/>
        <d v="2014-08-17T00:00:00Z"/>
        <d v="2011-07-01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7-07-09T00:00:00Z"/>
        <d v="2011-12-27T00:00:00Z"/>
        <d v="2013-10-29T00:00:00Z"/>
        <d v="2010-10-23T00:00:00Z"/>
        <d v="2011-03-13T00:00:00Z"/>
        <d v="2011-03-28T00:00:00Z"/>
        <d v="2013-06-20T00:00:00Z"/>
        <d v="2012-07-18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6-03-15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14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5-06-21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2-12-17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4-09-21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0-08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3-07-03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7-07-05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2-03-30T00:00:00Z"/>
        <d v="2012-06-29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6T00:00:00Z"/>
        <d v="2012-06-05T00:00:00Z"/>
        <d v="2010-06-01T00:00:00Z"/>
        <d v="2016-07-16T00:00:00Z"/>
        <d v="2015-06-04T00:00:00Z"/>
        <d v="2010-10-25T00:00:00Z"/>
        <d v="2014-01-28T00:00:00Z"/>
        <d v="2011-12-24T00:00:00Z"/>
        <d v="2016-09-01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3-08-10T00:00:00Z"/>
        <d v="2011-01-01T00:00:00Z"/>
        <d v="2012-05-05T00:00:00Z"/>
        <d v="2015-08-12T00:00:00Z"/>
        <d v="2017-04-17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0-05-11T00:00:00Z"/>
        <d v="2012-06-16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4-06-09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6-01-19T00:00:00Z"/>
        <d v="2014-10-08T00:00:00Z"/>
        <d v="2011-11-26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3-12-10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4-11-11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3-12-03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4-03-19T00:00:00Z"/>
        <d v="2011-09-06T00:00:00Z"/>
        <d v="2012-02-02T00:00:00Z"/>
        <d v="2014-08-18T00:00:00Z"/>
        <d v="2012-12-02T00:00:00Z"/>
        <d v="2015-04-16T00:00:00Z"/>
        <d v="2013-12-04T00:00:00Z"/>
        <d v="2012-03-22T00:00:00Z"/>
        <d v="2017-02-25T00:00:00Z"/>
        <d v="2016-03-22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4-12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0-05-20T00:00:00Z"/>
        <d v="2014-11-07T00:00:00Z"/>
        <d v="2013-04-11T00:00:00Z"/>
        <d v="2012-12-26T00:00:00Z"/>
        <d v="2015-10-08T00:00:00Z"/>
        <d v="2012-12-11T00:00:00Z"/>
        <d v="2015-05-01T00:00:00Z"/>
        <d v="2015-05-10T00:00:00Z"/>
        <d v="2013-11-07T00:00:00Z"/>
        <d v="2016-01-11T00:00:00Z"/>
        <d v="2016-01-14T00:00:00Z"/>
        <d v="2010-06-12T00:00:00Z"/>
        <d v="2012-11-11T00:00:00Z"/>
        <d v="2014-03-20T00:00:00Z"/>
        <d v="2011-09-27T00:00:00Z"/>
        <d v="2011-12-22T00:00:00Z"/>
        <d v="2010-09-23T00:00:00Z"/>
        <d v="2010-11-04T00:00:00Z"/>
        <d v="2015-05-07T00:00:00Z"/>
        <d v="2015-06-22T00:00:00Z"/>
        <d v="2015-10-09T00:00:00Z"/>
        <d v="2016-09-05T00:00:00Z"/>
        <d v="2017-08-07T00:00:00Z"/>
        <d v="2012-03-19T00:00:00Z"/>
        <d v="2011-02-17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06-21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1-07-14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5-02-20T00:00:00Z"/>
        <d v="2011-04-24T00:00:00Z"/>
        <d v="2016-05-28T00:00:00Z"/>
        <d v="2014-04-05T00:00:00Z"/>
        <d v="2010-06-26T00:00:00Z"/>
        <d v="2016-02-05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4-11-18T00:00:00Z"/>
        <d v="2012-09-21T00:00:00Z"/>
        <d v="2012-02-14T00:00:00Z"/>
        <d v="2015-08-30T00:00:00Z"/>
        <d v="2010-03-20T00:00:00Z"/>
        <d v="2013-09-1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07-15T00:00:00Z"/>
        <d v="2010-09-20T00:00:00Z"/>
        <d v="2016-04-12T00:00:00Z"/>
        <d v="2014-03-01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6-05-0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0-15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4-08-03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2-07-07T00:00:00Z"/>
        <d v="2015-03-26T00:00:00Z"/>
        <d v="2016-01-21T00:00:00Z"/>
        <d v="2014-12-21T00:00:00Z"/>
        <d v="2014-02-04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5-03-11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2-08-21T00:00:00Z"/>
        <d v="2016-08-06T00:00:00Z"/>
        <d v="2015-08-13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4-08-19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3-09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6-11-28T00:00:00Z"/>
        <d v="2013-04-29T00:00:00Z"/>
        <d v="2017-05-14T00:00:00Z"/>
        <d v="2012-10-21T00:00:00Z"/>
        <d v="2015-05-23T00:00:00Z"/>
        <d v="2010-01-20T00:00:00Z"/>
        <d v="2012-07-28T00:00:00Z"/>
        <d v="2010-02-18T00:00:00Z"/>
        <d v="2016-05-04T00:00:00Z"/>
        <d v="2015-05-28T00:00:00Z"/>
        <d v="2012-10-17T00:00:00Z"/>
        <d v="2016-06-09T00:00:00Z"/>
        <d v="2011-02-13T00:00:00Z"/>
        <d v="2010-02-21T00:00:00Z"/>
        <d v="2012-12-21T00:00:00Z"/>
        <d v="2016-10-15T00:00:00Z"/>
        <d v="2015-12-25T00:00:00Z"/>
        <d v="2011-11-24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3-07-29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4-06-15T00:00:00Z"/>
        <d v="2012-06-11T00:00:00Z"/>
        <d v="2011-05-12T00:00:00Z"/>
        <d v="2015-09-01T00:00:00Z"/>
        <d v="2013-05-12T00:00:00Z"/>
        <d v="2013-03-12T00:00:00Z"/>
        <d v="2012-03-26T00:00:00Z"/>
        <d v="2017-06-28T00:00:00Z"/>
        <d v="2016-11-20T00:00:00Z"/>
        <d v="2016-01-18T00:00:00Z"/>
        <d v="2012-11-21T00:00:00Z"/>
        <d v="2014-01-23T00:00:00Z"/>
        <d v="2014-05-11T00:00:00Z"/>
        <d v="2010-08-0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1-09-18T00:00:00Z"/>
        <d v="2017-06-12T00:00:00Z"/>
        <d v="2014-06-12T00:00:00Z"/>
        <d v="2013-08-11T00:00:00Z"/>
        <d v="2013-11-23T00:00:00Z"/>
        <d v="2017-04-02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7-03-20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2-07-08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Shipping Duration " numFmtId="0">
      <sharedItems containsSemiMixedTypes="0" containsString="0" containsNumber="1" containsInteger="1">
        <n v="10.0"/>
        <n v="0.0"/>
        <n v="24.0"/>
        <n v="31.0"/>
        <n v="38.0"/>
        <n v="34.0"/>
        <n v="47.0"/>
        <n v="32.0"/>
        <n v="30.0"/>
        <n v="16.0"/>
        <n v="18.0"/>
        <n v="25.0"/>
        <n v="4.0"/>
        <n v="11.0"/>
        <n v="14.0"/>
        <n v="36.0"/>
        <n v="35.0"/>
        <n v="48.0"/>
        <n v="23.0"/>
        <n v="37.0"/>
        <n v="27.0"/>
        <n v="41.0"/>
        <n v="8.0"/>
        <n v="15.0"/>
        <n v="29.0"/>
        <n v="13.0"/>
        <n v="44.0"/>
        <n v="40.0"/>
        <n v="3.0"/>
        <n v="49.0"/>
        <n v="9.0"/>
        <n v="19.0"/>
        <n v="46.0"/>
        <n v="20.0"/>
        <n v="39.0"/>
        <n v="43.0"/>
        <n v="7.0"/>
        <n v="6.0"/>
        <n v="17.0"/>
        <n v="21.0"/>
        <n v="12.0"/>
        <n v="45.0"/>
        <n v="33.0"/>
        <n v="28.0"/>
        <n v="42.0"/>
        <n v="50.0"/>
        <n v="5.0"/>
        <n v="2.0"/>
        <n v="22.0"/>
        <n v="26.0"/>
        <n v="1.0"/>
      </sharedItems>
    </cacheField>
    <cacheField name="Order Priority" numFmtId="0">
      <sharedItems>
        <s v="M"/>
        <s v="C"/>
        <s v="L"/>
        <s v="H"/>
      </sharedItems>
    </cacheField>
    <cacheField name="Country Code" numFmtId="0">
      <sharedItems>
        <s v="NOR"/>
        <s v="SRB"/>
        <s v="Unknown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Countries" numFmtId="0">
      <sharedItems>
        <s v="Norway"/>
        <s v="Serbia"/>
        <s v="Unknown"/>
        <s v="Montenegro"/>
        <s v="Slovakia"/>
        <s v="France"/>
        <s v="Spain"/>
        <s v="Croatia"/>
        <s v="Germany"/>
        <s v="Armenia"/>
        <s v="Georgia"/>
        <s v="United Kingdom"/>
        <s v="Slovenia"/>
        <s v="Romania"/>
        <s v="Poland"/>
        <s v="Luxembourg"/>
        <s v="Cyprus"/>
        <s v="Belgium"/>
        <s v="Lithuania"/>
        <s v="Russia"/>
        <s v="Malta"/>
        <s v="Ukraine"/>
        <s v="Czech Republic"/>
        <s v="Portugal"/>
        <s v="Belarus"/>
        <s v="Estonia"/>
        <s v="Austria"/>
        <s v="Macedonia"/>
        <s v="San Marino"/>
        <s v="Netherlands"/>
        <s v="Switzerland"/>
        <s v="Hungary"/>
        <s v="Latvia"/>
        <s v="Bulgaria"/>
        <s v="Italy"/>
        <s v="Ireland"/>
        <s v="Andorra"/>
        <s v="Liechtenstein"/>
        <s v="Finland"/>
        <s v="Albania"/>
        <s v="Sweden"/>
        <s v="Bosnia and Herzegovina"/>
        <s v="Denmark"/>
        <s v="Monaco"/>
        <s v="Iceland"/>
        <s v="Greece"/>
      </sharedItems>
    </cacheField>
    <cacheField name="region" numFmtId="0">
      <sharedItems>
        <s v="Europe"/>
        <s v="Unknown"/>
        <s v="Asia"/>
      </sharedItems>
    </cacheField>
    <cacheField name="sub-region" numFmtId="0">
      <sharedItems>
        <s v="Northern Europe"/>
        <s v="Southern Europe"/>
        <s v="Unknown"/>
        <s v="Eastern Europe"/>
        <s v="Western Europe"/>
        <s v="Western Asia"/>
      </sharedItems>
    </cacheField>
    <cacheField name="Product ID" numFmtId="0">
      <sharedItems containsSemiMixedTypes="0" containsString="0" containsNumber="1" containsInteger="1">
        <n v="2103.0"/>
        <n v="7940.0"/>
        <n v="2455.0"/>
        <n v="1270.0"/>
        <n v="8681.0"/>
        <n v="4594.0"/>
        <n v="5988.0"/>
        <n v="7331.0"/>
        <n v="8875.0"/>
        <n v="8293.0"/>
        <n v="8969.0"/>
        <n v="3127.0"/>
      </sharedItems>
    </cacheField>
    <cacheField name="Category" numFmtId="0">
      <sharedItems>
        <s v="Cereal"/>
        <s v="Household"/>
        <s v="Clothes"/>
        <s v="Beverages"/>
        <s v="Office Supplies"/>
        <s v="Fruits"/>
        <s v="Vegetables"/>
        <s v="Baby Food"/>
        <s v="Meat"/>
        <s v="Cosmetics"/>
        <s v="Snacks"/>
        <s v="Personal Care"/>
      </sharedItems>
    </cacheField>
    <cacheField name="Sales Channel" numFmtId="0">
      <sharedItems>
        <s v="Online"/>
        <s v="Offline"/>
      </sharedItems>
    </cacheField>
    <cacheField name="Units Sold" numFmtId="0">
      <sharedItems containsString="0" containsBlank="1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m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166">
      <sharedItems containsSemiMixedTypes="0" containsString="0" containsNumber="1">
        <n v="205.7"/>
        <n v="668.27"/>
        <n v="109.28"/>
        <n v="47.45"/>
        <n v="651.21"/>
        <n v="9.33"/>
        <n v="154.06"/>
        <n v="255.28"/>
        <n v="421.89"/>
        <n v="437.2"/>
        <n v="152.58"/>
        <n v="81.73"/>
      </sharedItems>
    </cacheField>
    <cacheField name="Unit Cost" numFmtId="166">
      <sharedItems containsSemiMixedTypes="0" containsString="0" containsNumber="1">
        <n v="117.11"/>
        <n v="502.54"/>
        <n v="35.84"/>
        <n v="31.79"/>
        <n v="524.96"/>
        <n v="6.92"/>
        <n v="90.93"/>
        <n v="159.42"/>
        <n v="364.69"/>
        <n v="263.33"/>
        <n v="97.44"/>
        <n v="56.67"/>
      </sharedItems>
    </cacheField>
    <cacheField name=" " numFmtId="0">
      <sharedItems containsString="0" containsBlank="1">
        <m/>
      </sharedItems>
    </cacheField>
    <cacheField name="total revenue" numFmtId="166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0.0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total cost" numFmtId="166">
      <sharedItems containsSemiMixedTypes="0" containsString="0" containsNumber="1">
        <n v="76121.5"/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0.0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total profit" numFmtId="167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0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6.1 Geo_Countries" cacheId="0" dataCaption="" rowGrandTotals="0" compact="0" compactData="0">
  <location ref="A1:D46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 of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axis="axisRow" compact="0" outline="0" multipleItemSelectionAllowed="1" showAll="0" sortType="descending">
      <items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0"/>
  </rowFields>
  <colFields>
    <field x="-2"/>
  </colFields>
  <dataFields>
    <dataField name="Total revenue" fld="20" baseField="0"/>
    <dataField name="Total profit" fld="22" baseField="0"/>
    <dataField name="Avg Shipping Days " fld="7" subtotal="average" baseField="0"/>
  </dataFields>
</pivotTableDefinition>
</file>

<file path=xl/pivotTables/pivotTable2.xml><?xml version="1.0" encoding="utf-8"?>
<pivotTableDefinition xmlns="http://schemas.openxmlformats.org/spreadsheetml/2006/main" name="6.2 Geo_Regions" cacheId="0" dataCaption="" rowGrandTotals="0" compact="0" compactData="0">
  <location ref="A1:E3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 of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Row" compact="0" outline="0" multipleItemSelectionAllowed="1" showAll="0" sortType="descending">
      <items>
        <item x="0"/>
        <item h="1"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1"/>
  </rowFields>
  <colFields>
    <field x="-2"/>
  </colFields>
  <dataFields>
    <dataField name="Total revenue" fld="20" baseField="0"/>
    <dataField name="Total cost" fld="21" baseField="0"/>
    <dataField name="Total profit" fld="22" baseField="0"/>
    <dataField name="Number of Orders" fld="0" subtotal="countNums" baseField="0"/>
  </dataFields>
</pivotTableDefinition>
</file>

<file path=xl/pivotTables/pivotTable3.xml><?xml version="1.0" encoding="utf-8"?>
<pivotTableDefinition xmlns="http://schemas.openxmlformats.org/spreadsheetml/2006/main" name="6.3 Geo_Subregions" cacheId="0" dataCaption="" rowGrandTotals="0" compact="0" compactData="0">
  <location ref="A3:E8" firstHeaderRow="0" firstDataRow="2" firstDataCol="0" rowPageCount="1" colPageCount="1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 of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ies" axis="axisPage" compact="0" outline="0" multipleItemSelectionAllowed="1" showAll="0">
      <items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2"/>
  </rowFields>
  <colFields>
    <field x="-2"/>
  </colFields>
  <pageFields>
    <pageField fld="10"/>
  </pageFields>
  <dataFields>
    <dataField name="Total revenue" fld="20" baseField="0"/>
    <dataField name="Total cost" fld="21" baseField="0"/>
    <dataField name="Total profit" fld="22" baseField="0"/>
    <dataField name="Orders count" fld="0" subtotal="countNums" baseField="0"/>
  </dataFields>
</pivotTableDefinition>
</file>

<file path=xl/pivotTables/pivotTable4.xml><?xml version="1.0" encoding="utf-8"?>
<pivotTableDefinition xmlns="http://schemas.openxmlformats.org/spreadsheetml/2006/main" name="7.Sales channel" cacheId="0" dataCaption="" rowGrandTotals="0" compact="0" compactData="0">
  <location ref="A1:E3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 of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Row" compact="0" outline="0" multipleItemSelectionAllowed="1" showAll="0" sortType="descending">
      <items>
        <item x="0"/>
        <item x="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5"/>
  </rowFields>
  <colFields>
    <field x="-2"/>
  </colFields>
  <dataFields>
    <dataField name="Total revenue" fld="20" baseField="0"/>
    <dataField name="Total cost" fld="21" baseField="0"/>
    <dataField name="Total profit" fld="22" baseField="0"/>
    <dataField name="Orders count" fld="0" subtotal="countNums" baseField="0"/>
  </dataFields>
</pivotTableDefinition>
</file>

<file path=xl/pivotTables/pivotTable5.xml><?xml version="1.0" encoding="utf-8"?>
<pivotTableDefinition xmlns="http://schemas.openxmlformats.org/spreadsheetml/2006/main" name="9.1 Sales Dynamics by Year, Mon" cacheId="0" dataCaption="" rowGrandTotals="0" colGrandTotals="0" compact="0" compactData="0">
  <location ref="A1:N93" firstHeaderRow="0" firstDataRow="2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axis="axisRow" compact="0" outline="0" multipleItemSelectionAllowed="1" showAll="0" sortType="ascending" defaultSubtotal="0">
      <items>
        <item x="7"/>
        <item x="6"/>
        <item x="3"/>
        <item x="5"/>
        <item x="0"/>
        <item x="4"/>
        <item x="1"/>
        <item x="2"/>
      </items>
    </pivotField>
    <pivotField name="Month of order" axis="axisRow" compact="0" outline="0" multipleItemSelectionAllowed="1" showAll="0" sortType="ascending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 of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Col" compact="0" outline="0" multipleItemSelectionAllowed="1" showAll="0" sortType="ascending">
      <items>
        <item x="7"/>
        <item x="3"/>
        <item x="0"/>
        <item x="2"/>
        <item x="9"/>
        <item x="5"/>
        <item x="1"/>
        <item x="8"/>
        <item x="4"/>
        <item x="11"/>
        <item x="10"/>
        <item x="6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2"/>
    <field x="3"/>
  </rowFields>
  <colFields>
    <field x="14"/>
  </colFields>
  <dataFields>
    <dataField name="Total profit" fld="22" baseField="0"/>
  </dataFields>
</pivotTableDefinition>
</file>

<file path=xl/pivotTables/pivotTable6.xml><?xml version="1.0" encoding="utf-8"?>
<pivotTableDefinition xmlns="http://schemas.openxmlformats.org/spreadsheetml/2006/main" name="9.1 Sales Dynamics by Year, Mon 2" cacheId="0" dataCaption="" rowGrandTotals="0" compact="0" compactData="0">
  <location ref="P1:Q13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 of order" axis="axisRow" compact="0" outline="0" multipleItemSelectionAllowed="1" showAll="0" sortType="ascending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 of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3"/>
  </rowFields>
  <dataFields>
    <dataField name="Total profit" fld="22" baseField="0"/>
  </dataFields>
</pivotTableDefinition>
</file>

<file path=xl/pivotTables/pivotTable7.xml><?xml version="1.0" encoding="utf-8"?>
<pivotTableDefinition xmlns="http://schemas.openxmlformats.org/spreadsheetml/2006/main" name="9.2 Sales Dynamics by Year, Mon" cacheId="0" dataCaption="" rowGrandTotals="0" colGrandTotals="0" compact="0" compactData="0">
  <location ref="A1:AU94" firstHeaderRow="0" firstDataRow="2" firstDataCol="2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axis="axisRow" compact="0" outline="0" multipleItemSelectionAllowed="1" showAll="0" sortType="ascending" defaultSubtotal="0">
      <items>
        <item x="7"/>
        <item x="6"/>
        <item x="3"/>
        <item x="5"/>
        <item x="0"/>
        <item x="4"/>
        <item x="1"/>
        <item x="2"/>
      </items>
    </pivotField>
    <pivotField name="Month of order" axis="axisRow" compact="0" outline="0" multipleItemSelectionAllowed="1" showAll="0" sortType="ascending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 of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ies" axis="axisCol" compact="0" outline="0" multipleItemSelectionAllowed="1" showAll="0" sortType="ascending">
      <items>
        <item x="39"/>
        <item x="36"/>
        <item x="9"/>
        <item x="26"/>
        <item x="24"/>
        <item x="17"/>
        <item x="41"/>
        <item x="33"/>
        <item x="7"/>
        <item x="16"/>
        <item x="22"/>
        <item x="42"/>
        <item x="25"/>
        <item x="38"/>
        <item x="5"/>
        <item x="10"/>
        <item x="8"/>
        <item x="45"/>
        <item x="31"/>
        <item x="44"/>
        <item x="35"/>
        <item x="34"/>
        <item x="32"/>
        <item x="37"/>
        <item x="18"/>
        <item x="15"/>
        <item x="27"/>
        <item x="20"/>
        <item x="43"/>
        <item x="3"/>
        <item x="29"/>
        <item x="0"/>
        <item x="14"/>
        <item x="23"/>
        <item x="13"/>
        <item x="19"/>
        <item x="28"/>
        <item x="1"/>
        <item x="4"/>
        <item x="12"/>
        <item x="6"/>
        <item x="40"/>
        <item x="30"/>
        <item x="21"/>
        <item x="11"/>
        <item h="1" x="2"/>
        <item t="default"/>
      </items>
    </pivotField>
    <pivotField name="Region" axis="axisCol" compact="0" outline="0" multipleItemSelectionAllowed="1" showAll="0" sortType="ascending" defaultSubtotal="0">
      <items>
        <item x="2"/>
        <item x="0"/>
        <item h="1" sd="0" x="1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2"/>
    <field x="3"/>
  </rowFields>
  <colFields>
    <field x="11"/>
    <field x="10"/>
  </colFields>
  <dataFields>
    <dataField name="Total profit" fld="22" baseField="0"/>
  </dataFields>
</pivotTableDefinition>
</file>

<file path=xl/pivotTables/pivotTable8.xml><?xml version="1.0" encoding="utf-8"?>
<pivotTableDefinition xmlns="http://schemas.openxmlformats.org/spreadsheetml/2006/main" name="9.2 Sales Dynamics by Year, Mon 2" cacheId="0" dataCaption="" rowGrandTotals="0" colGrandTotals="0" compact="0" compactData="0">
  <location ref="A97:C110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 of order" axis="axisRow" compact="0" outline="0" multipleItemSelectionAllowed="1" showAll="0" sortType="ascending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 of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Col" compact="0" outline="0" multipleItemSelectionAllowed="1" showAll="0" sortType="ascending">
      <items>
        <item x="2"/>
        <item x="0"/>
        <item h="1"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3"/>
  </rowFields>
  <colFields>
    <field x="11"/>
  </colFields>
  <dataFields>
    <dataField name="Total profit" fld="22" baseField="0"/>
  </dataFields>
</pivotTableDefinition>
</file>

<file path=xl/pivotTables/pivotTable9.xml><?xml version="1.0" encoding="utf-8"?>
<pivotTableDefinition xmlns="http://schemas.openxmlformats.org/spreadsheetml/2006/main" name="9.2 Sales Dynamics by Year, Mon 3" cacheId="0" dataCaption="" rowGrandTotals="0" colGrandTotals="0" compact="0" compactData="0">
  <location ref="L97:N106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axis="axisRow" compact="0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 of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Col" compact="0" outline="0" multipleItemSelectionAllowed="1" showAll="0" sortType="ascending">
      <items>
        <item x="2"/>
        <item x="0"/>
        <item h="1"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2"/>
  </rowFields>
  <colFields>
    <field x="11"/>
  </colFields>
  <dataFields>
    <dataField name="Total profit" fld="22" baseField="0"/>
  </dataFields>
</pivotTableDefinition>
</file>

<file path=xl/pivotTables/pivotTable10.xml><?xml version="1.0" encoding="utf-8"?>
<pivotTableDefinition xmlns="http://schemas.openxmlformats.org/spreadsheetml/2006/main" name="9.2 Sales Dynamics by Year, Mon 4" cacheId="0" dataCaption="" rowGrandTotals="0" colGrandTotals="0" compact="0" compactData="0">
  <location ref="A124:F137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 of order" axis="axisRow" compact="0" outline="0" multipleItemSelectionAllowed="1" showAll="0" sortType="ascending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 of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ies" axis="axisCol" compact="0" outline="0" multipleItemSelectionAllowed="1" showAll="0" sortType="ascending">
      <items>
        <item h="1" x="39"/>
        <item h="1" x="36"/>
        <item h="1" x="9"/>
        <item h="1" x="26"/>
        <item h="1" x="24"/>
        <item h="1" x="17"/>
        <item h="1" x="41"/>
        <item h="1" x="33"/>
        <item h="1" x="7"/>
        <item h="1" x="16"/>
        <item x="22"/>
        <item h="1" x="42"/>
        <item h="1" x="25"/>
        <item h="1" x="38"/>
        <item h="1" x="5"/>
        <item x="10"/>
        <item h="1" x="8"/>
        <item h="1" x="45"/>
        <item h="1" x="31"/>
        <item h="1" x="44"/>
        <item h="1" x="35"/>
        <item h="1" x="34"/>
        <item h="1" x="32"/>
        <item h="1" x="37"/>
        <item h="1" x="18"/>
        <item h="1" x="15"/>
        <item h="1" x="27"/>
        <item h="1" x="20"/>
        <item h="1" x="43"/>
        <item h="1" x="3"/>
        <item h="1" x="29"/>
        <item h="1" x="0"/>
        <item x="14"/>
        <item h="1" x="23"/>
        <item h="1" x="13"/>
        <item h="1" x="19"/>
        <item h="1" x="28"/>
        <item h="1" x="1"/>
        <item h="1" x="4"/>
        <item h="1" x="12"/>
        <item h="1" x="6"/>
        <item h="1" x="40"/>
        <item x="30"/>
        <item x="21"/>
        <item h="1" x="11"/>
        <item h="1" x="2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3"/>
  </rowFields>
  <colFields>
    <field x="10"/>
  </colFields>
  <dataFields>
    <dataField name="Total profit" fld="22" baseField="0"/>
  </dataFields>
</pivotTableDefinition>
</file>

<file path=xl/pivotTables/pivotTable11.xml><?xml version="1.0" encoding="utf-8"?>
<pivotTableDefinition xmlns="http://schemas.openxmlformats.org/spreadsheetml/2006/main" name="9.2 Sales Dynamics by Year, Mon 5" cacheId="0" dataCaption="" rowGrandTotals="0" colGrandTotals="0" compact="0" compactData="0">
  <location ref="K124:P133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axis="axisRow" compact="0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 of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ies" axis="axisCol" compact="0" outline="0" multipleItemSelectionAllowed="1" showAll="0" sortType="ascending">
      <items>
        <item h="1" x="39"/>
        <item h="1" x="36"/>
        <item h="1" x="9"/>
        <item h="1" x="26"/>
        <item h="1" x="24"/>
        <item h="1" x="17"/>
        <item h="1" x="41"/>
        <item h="1" x="33"/>
        <item h="1" x="7"/>
        <item h="1" x="16"/>
        <item x="22"/>
        <item h="1" x="42"/>
        <item h="1" x="25"/>
        <item h="1" x="38"/>
        <item h="1" x="5"/>
        <item x="10"/>
        <item h="1" x="8"/>
        <item h="1" x="45"/>
        <item h="1" x="31"/>
        <item h="1" x="44"/>
        <item h="1" x="35"/>
        <item h="1" x="34"/>
        <item h="1" x="32"/>
        <item h="1" x="37"/>
        <item h="1" x="18"/>
        <item h="1" x="15"/>
        <item h="1" x="27"/>
        <item h="1" x="20"/>
        <item h="1" x="43"/>
        <item h="1" x="3"/>
        <item h="1" x="29"/>
        <item h="1" x="0"/>
        <item x="14"/>
        <item h="1" x="23"/>
        <item h="1" x="13"/>
        <item h="1" x="19"/>
        <item h="1" x="28"/>
        <item h="1" x="1"/>
        <item h="1" x="4"/>
        <item h="1" x="12"/>
        <item h="1" x="6"/>
        <item h="1" x="40"/>
        <item x="30"/>
        <item x="21"/>
        <item h="1" x="11"/>
        <item h="1" x="2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2"/>
  </rowFields>
  <colFields>
    <field x="10"/>
  </colFields>
  <dataFields>
    <dataField name="Total profit" fld="22" baseField="0"/>
  </dataFields>
</pivotTableDefinition>
</file>

<file path=xl/pivotTables/pivotTable12.xml><?xml version="1.0" encoding="utf-8"?>
<pivotTableDefinition xmlns="http://schemas.openxmlformats.org/spreadsheetml/2006/main" name="10.Profit by weekday" cacheId="0" dataCaption="" rowGrandTotals="0" compact="0" compactData="0">
  <location ref="A1:D8" firstHeaderRow="0" firstDataRow="3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axis="axisRow" compact="0" outline="0" multipleItemSelectionAllowed="1" showAll="0" sortType="ascending">
      <items>
        <item x="2"/>
        <item x="5"/>
        <item x="3"/>
        <item x="4"/>
        <item x="1"/>
        <item x="6"/>
        <item x="0"/>
        <item t="default"/>
      </items>
    </pivotField>
    <pivotField name="Number of weekday" axis="axisRow" compact="0" outline="0" multipleItemSelectionAllowed="1" showAll="0" sortType="ascending" defaultSubtotal="0">
      <items>
        <item x="5"/>
        <item x="6"/>
        <item x="0"/>
        <item x="1"/>
        <item x="2"/>
        <item x="3"/>
        <item x="4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5"/>
    <field x="4"/>
  </rowFields>
  <colFields>
    <field x="-2"/>
  </colFields>
  <dataFields>
    <dataField name="Total profit" fld="22" baseField="0"/>
    <dataField name="Orders count" fld="0" subtotal="countNums" baseField="0"/>
  </dataFields>
</pivotTableDefinition>
</file>

<file path=xl/pivotTables/pivotTable13.xml><?xml version="1.0" encoding="utf-8"?>
<pivotTableDefinition xmlns="http://schemas.openxmlformats.org/spreadsheetml/2006/main" name="12.ABC Analysis" cacheId="0" dataCaption="" rowGrandTotals="0" compact="0" compactData="0">
  <location ref="A3:E15" firstHeaderRow="0" firstDataRow="3" firstDataCol="0" rowPageCount="1" colPageCount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Year of order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name="Month of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 of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Shipping D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Category" axis="axisRow" compact="0" outline="0" multipleItemSelectionAllowed="1" showAll="0" sortType="ascending">
      <items>
        <item x="7"/>
        <item x="3"/>
        <item x="0"/>
        <item x="2"/>
        <item x="9"/>
        <item x="5"/>
        <item x="1"/>
        <item x="8"/>
        <item x="4"/>
        <item x="11"/>
        <item x="10"/>
        <item x="6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3"/>
    <field x="14"/>
  </rowFields>
  <colFields>
    <field x="-2"/>
  </colFields>
  <pageFields>
    <pageField fld="2"/>
  </pageFields>
  <dataFields>
    <dataField name="Total cost" fld="21" baseField="0"/>
    <dataField name="Total revenue" fld="20" baseField="0"/>
    <dataField name="SUM of total cost" fld="2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7" dT="2026-04-08T19:07:22.00" personId="{60274f71-8e48-497f-a9fc-a60cbbfbd41a}" id="{184f5159-05ef-460c-8ebf-4c0f3459dc30}" done="1">
    <x18tc:text xml:space="preserve">дода</x18tc:text>
  </x18tc:threadedComment>
  <x18tc:threadedComment ref="B33" dT="2026-04-08T19:07:55.00" personId="{60274f71-8e48-497f-a9fc-a60cbbfbd41a}" id="{4f9f002d-8089-4839-a106-2fc67d892bcb}" done="1">
    <x18tc:text xml:space="preserve">точкову діаграму потрібно будувати на неагрегованих даних</x18tc:text>
  </x18tc:threadedComment>
  <x18tc:threadedComment ref="F7" dT="2026-04-08T19:07:38.00" personId="{60274f71-8e48-497f-a9fc-a60cbbfbd41a}" id="{5d88b537-635b-4e9d-9ae6-c58e6b479b7a}" done="1">
    <x18tc:text xml:space="preserve">додай ще графік медіана днів в розрізі регіонів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15" dT="2026-04-08T19:08:07.00" personId="{60274f71-8e48-497f-a9fc-a60cbbfbd41a}" id="{8b54fbb2-40ff-4900-afe0-6ed92590c016}" done="1">
    <x18tc:text xml:space="preserve">місяці краще відображати словами</x18tc:text>
  </x18tc:threadedComment>
  <x18tc:threadedComment ref="E115" dT="2026-04-08T19:08:51.00" personId="{60274f71-8e48-497f-a9fc-a60cbbfbd41a}" id="{5c06f609-3d49-4b7f-afcc-67dcfae28f39}" parentId="{8b54fbb2-40ff-4900-afe0-6ed92590c016}">
    <x18tc:text xml:space="preserve">потрібно ще додати графік динаміки в розрізі категорій по рокам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12" dT="2026-04-08T19:09:06.00" personId="{60274f71-8e48-497f-a9fc-a60cbbfbd41a}" id="{a046af35-c437-4475-9115-33c7fe91eeb0}" done="1">
    <x18tc:text xml:space="preserve">потрібно ще додати графік динаміки в розрізі регіонів по рокам</x18tc:text>
  </x18tc:threadedComment>
  <x18tc:threadedComment ref="D112" dT="2026-04-08T19:09:30.00" personId="{60274f71-8e48-497f-a9fc-a60cbbfbd41a}" id="{ecec3cdf-fa99-4ed0-b9f5-2bd15ffdf4a9}" parentId="{a046af35-c437-4475-9115-33c7fe91eeb0}">
    <x18tc:text xml:space="preserve">також потрібно додати 2 графіка в розрізі країн (бери 5-7) 
- по рокам 
- по місяцям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6" dT="2026-04-08T19:10:15.00" personId="{60274f71-8e48-497f-a9fc-a60cbbfbd41a}" id="{8b8d022c-50a2-4ed8-aa20-f17d35c312cc}" done="1">
    <x18tc:text xml:space="preserve">потрібно ще провести абс аналіз по косту + додати аналогічну візуалізацію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drawing" Target="../drawings/drawing11.xml"/><Relationship Id="rId7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pivotTable" Target="../pivotTables/pivotTable7.xml"/><Relationship Id="rId10" Type="http://schemas.openxmlformats.org/officeDocument/2006/relationships/vmlDrawing" Target="../drawings/vmlDrawing3.vml"/><Relationship Id="rId9" Type="http://schemas.openxmlformats.org/officeDocument/2006/relationships/drawing" Target="../drawings/drawing12.xml"/><Relationship Id="rId5" Type="http://schemas.openxmlformats.org/officeDocument/2006/relationships/pivotTable" Target="../pivotTables/pivotTable8.xml"/><Relationship Id="rId6" Type="http://schemas.openxmlformats.org/officeDocument/2006/relationships/pivotTable" Target="../pivotTables/pivotTable9.xml"/><Relationship Id="rId7" Type="http://schemas.openxmlformats.org/officeDocument/2006/relationships/pivotTable" Target="../pivotTables/pivotTable10.xml"/><Relationship Id="rId8" Type="http://schemas.openxmlformats.org/officeDocument/2006/relationships/pivotTable" Target="../pivotTables/pivot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2" t="s">
        <v>3</v>
      </c>
      <c r="C1" s="2" t="s">
        <v>4</v>
      </c>
      <c r="D1" s="2" t="s">
        <v>2</v>
      </c>
      <c r="E1" s="2" t="s">
        <v>6</v>
      </c>
      <c r="F1" s="2" t="s">
        <v>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" t="s">
        <v>10</v>
      </c>
      <c r="B2" s="7" t="s">
        <v>12</v>
      </c>
      <c r="C2" s="7" t="s">
        <v>15</v>
      </c>
      <c r="D2" s="7" t="s">
        <v>10</v>
      </c>
      <c r="E2" s="7" t="s">
        <v>16</v>
      </c>
      <c r="F2" s="7" t="s">
        <v>19</v>
      </c>
    </row>
    <row r="3">
      <c r="A3" s="6" t="s">
        <v>21</v>
      </c>
      <c r="B3" s="7" t="s">
        <v>24</v>
      </c>
      <c r="C3" s="7" t="s">
        <v>25</v>
      </c>
      <c r="D3" s="7" t="s">
        <v>21</v>
      </c>
      <c r="E3" s="7" t="s">
        <v>28</v>
      </c>
      <c r="F3" s="7" t="s">
        <v>29</v>
      </c>
    </row>
    <row r="4">
      <c r="A4" s="6" t="s">
        <v>41</v>
      </c>
      <c r="B4" s="7" t="s">
        <v>43</v>
      </c>
      <c r="C4" s="7" t="s">
        <v>45</v>
      </c>
      <c r="D4" s="7" t="s">
        <v>41</v>
      </c>
      <c r="E4" s="7" t="s">
        <v>28</v>
      </c>
      <c r="F4" s="7" t="s">
        <v>48</v>
      </c>
    </row>
    <row r="5">
      <c r="A5" s="6" t="s">
        <v>52</v>
      </c>
      <c r="B5" s="7" t="s">
        <v>53</v>
      </c>
      <c r="C5" s="7" t="s">
        <v>55</v>
      </c>
      <c r="D5" s="7" t="s">
        <v>52</v>
      </c>
      <c r="E5" s="7" t="s">
        <v>57</v>
      </c>
      <c r="F5" s="7" t="s">
        <v>58</v>
      </c>
    </row>
    <row r="6">
      <c r="A6" s="6" t="s">
        <v>61</v>
      </c>
      <c r="B6" s="7" t="s">
        <v>62</v>
      </c>
      <c r="C6" s="7" t="s">
        <v>63</v>
      </c>
      <c r="D6" s="7" t="s">
        <v>61</v>
      </c>
      <c r="E6" s="7" t="s">
        <v>65</v>
      </c>
      <c r="F6" s="7" t="s">
        <v>66</v>
      </c>
    </row>
    <row r="7">
      <c r="A7" s="6" t="s">
        <v>67</v>
      </c>
      <c r="B7" s="7" t="s">
        <v>68</v>
      </c>
      <c r="C7" s="7" t="s">
        <v>69</v>
      </c>
      <c r="D7" s="7" t="s">
        <v>67</v>
      </c>
      <c r="E7" s="7" t="s">
        <v>28</v>
      </c>
      <c r="F7" s="7" t="s">
        <v>48</v>
      </c>
    </row>
    <row r="8">
      <c r="A8" s="6" t="s">
        <v>70</v>
      </c>
      <c r="B8" s="7" t="s">
        <v>71</v>
      </c>
      <c r="C8" s="7" t="s">
        <v>72</v>
      </c>
      <c r="D8" s="7" t="s">
        <v>70</v>
      </c>
      <c r="E8" s="7" t="s">
        <v>57</v>
      </c>
      <c r="F8" s="7" t="s">
        <v>73</v>
      </c>
    </row>
    <row r="9">
      <c r="A9" s="6" t="s">
        <v>75</v>
      </c>
      <c r="B9" s="7" t="s">
        <v>76</v>
      </c>
      <c r="C9" s="7" t="s">
        <v>77</v>
      </c>
      <c r="D9" s="7" t="s">
        <v>75</v>
      </c>
      <c r="E9" s="7" t="s">
        <v>78</v>
      </c>
      <c r="F9" s="7" t="s">
        <v>79</v>
      </c>
    </row>
    <row r="10">
      <c r="A10" s="6" t="s">
        <v>80</v>
      </c>
      <c r="B10" s="7" t="s">
        <v>81</v>
      </c>
      <c r="C10" s="7" t="s">
        <v>82</v>
      </c>
      <c r="D10" s="7" t="s">
        <v>80</v>
      </c>
      <c r="E10" s="7" t="s">
        <v>83</v>
      </c>
      <c r="F10" s="7" t="s">
        <v>83</v>
      </c>
    </row>
    <row r="11">
      <c r="A11" s="6" t="s">
        <v>84</v>
      </c>
      <c r="B11" s="7" t="s">
        <v>85</v>
      </c>
      <c r="C11" s="7" t="s">
        <v>86</v>
      </c>
      <c r="D11" s="7" t="s">
        <v>84</v>
      </c>
      <c r="E11" s="7" t="s">
        <v>78</v>
      </c>
      <c r="F11" s="7" t="s">
        <v>79</v>
      </c>
    </row>
    <row r="12">
      <c r="A12" s="6" t="s">
        <v>87</v>
      </c>
      <c r="B12" s="7" t="s">
        <v>88</v>
      </c>
      <c r="C12" s="7" t="s">
        <v>89</v>
      </c>
      <c r="D12" s="7" t="s">
        <v>87</v>
      </c>
      <c r="E12" s="7" t="s">
        <v>78</v>
      </c>
      <c r="F12" s="7" t="s">
        <v>79</v>
      </c>
    </row>
    <row r="13">
      <c r="A13" s="6" t="s">
        <v>90</v>
      </c>
      <c r="B13" s="7" t="s">
        <v>91</v>
      </c>
      <c r="C13" s="7" t="s">
        <v>92</v>
      </c>
      <c r="D13" s="7" t="s">
        <v>90</v>
      </c>
      <c r="E13" s="7" t="s">
        <v>16</v>
      </c>
      <c r="F13" s="7" t="s">
        <v>93</v>
      </c>
    </row>
    <row r="14">
      <c r="A14" s="6" t="s">
        <v>94</v>
      </c>
      <c r="B14" s="7" t="s">
        <v>95</v>
      </c>
      <c r="C14" s="7" t="s">
        <v>96</v>
      </c>
      <c r="D14" s="7" t="s">
        <v>94</v>
      </c>
      <c r="E14" s="7" t="s">
        <v>78</v>
      </c>
      <c r="F14" s="7" t="s">
        <v>79</v>
      </c>
    </row>
    <row r="15">
      <c r="A15" s="6" t="s">
        <v>97</v>
      </c>
      <c r="B15" s="7" t="s">
        <v>98</v>
      </c>
      <c r="C15" s="7" t="s">
        <v>99</v>
      </c>
      <c r="D15" s="7" t="s">
        <v>97</v>
      </c>
      <c r="E15" s="7" t="s">
        <v>65</v>
      </c>
      <c r="F15" s="7" t="s">
        <v>100</v>
      </c>
    </row>
    <row r="16">
      <c r="A16" s="6" t="s">
        <v>101</v>
      </c>
      <c r="B16" s="7" t="s">
        <v>102</v>
      </c>
      <c r="C16" s="7" t="s">
        <v>103</v>
      </c>
      <c r="D16" s="7" t="s">
        <v>101</v>
      </c>
      <c r="E16" s="7" t="s">
        <v>28</v>
      </c>
      <c r="F16" s="7" t="s">
        <v>104</v>
      </c>
    </row>
    <row r="17">
      <c r="A17" s="6" t="s">
        <v>105</v>
      </c>
      <c r="B17" s="7" t="s">
        <v>106</v>
      </c>
      <c r="C17" s="7" t="s">
        <v>107</v>
      </c>
      <c r="D17" s="7" t="s">
        <v>105</v>
      </c>
      <c r="E17" s="7" t="s">
        <v>16</v>
      </c>
      <c r="F17" s="7" t="s">
        <v>93</v>
      </c>
    </row>
    <row r="18">
      <c r="A18" s="6" t="s">
        <v>108</v>
      </c>
      <c r="B18" s="7" t="s">
        <v>109</v>
      </c>
      <c r="C18" s="7" t="s">
        <v>110</v>
      </c>
      <c r="D18" s="7" t="s">
        <v>108</v>
      </c>
      <c r="E18" s="7" t="s">
        <v>78</v>
      </c>
      <c r="F18" s="7" t="s">
        <v>79</v>
      </c>
    </row>
    <row r="19">
      <c r="A19" s="6" t="s">
        <v>111</v>
      </c>
      <c r="B19" s="7" t="s">
        <v>112</v>
      </c>
      <c r="C19" s="7" t="s">
        <v>113</v>
      </c>
      <c r="D19" s="7" t="s">
        <v>111</v>
      </c>
      <c r="E19" s="7" t="s">
        <v>16</v>
      </c>
      <c r="F19" s="7" t="s">
        <v>93</v>
      </c>
    </row>
    <row r="20">
      <c r="A20" s="6" t="s">
        <v>114</v>
      </c>
      <c r="B20" s="7" t="s">
        <v>115</v>
      </c>
      <c r="C20" s="7" t="s">
        <v>116</v>
      </c>
      <c r="D20" s="7" t="s">
        <v>114</v>
      </c>
      <c r="E20" s="7" t="s">
        <v>16</v>
      </c>
      <c r="F20" s="7" t="s">
        <v>19</v>
      </c>
    </row>
    <row r="21">
      <c r="A21" s="6" t="s">
        <v>117</v>
      </c>
      <c r="B21" s="7" t="s">
        <v>118</v>
      </c>
      <c r="C21" s="7" t="s">
        <v>119</v>
      </c>
      <c r="D21" s="7" t="s">
        <v>117</v>
      </c>
      <c r="E21" s="7" t="s">
        <v>78</v>
      </c>
      <c r="F21" s="7" t="s">
        <v>79</v>
      </c>
    </row>
    <row r="22">
      <c r="A22" s="6" t="s">
        <v>120</v>
      </c>
      <c r="B22" s="7" t="s">
        <v>121</v>
      </c>
      <c r="C22" s="7" t="s">
        <v>122</v>
      </c>
      <c r="D22" s="7" t="s">
        <v>120</v>
      </c>
      <c r="E22" s="7" t="s">
        <v>28</v>
      </c>
      <c r="F22" s="7" t="s">
        <v>123</v>
      </c>
    </row>
    <row r="23">
      <c r="A23" s="6" t="s">
        <v>124</v>
      </c>
      <c r="B23" s="7" t="s">
        <v>125</v>
      </c>
      <c r="C23" s="7" t="s">
        <v>126</v>
      </c>
      <c r="D23" s="7" t="s">
        <v>124</v>
      </c>
      <c r="E23" s="7" t="s">
        <v>28</v>
      </c>
      <c r="F23" s="7" t="s">
        <v>104</v>
      </c>
    </row>
    <row r="24">
      <c r="A24" s="6" t="s">
        <v>127</v>
      </c>
      <c r="B24" s="7" t="s">
        <v>128</v>
      </c>
      <c r="C24" s="7" t="s">
        <v>129</v>
      </c>
      <c r="D24" s="7" t="s">
        <v>127</v>
      </c>
      <c r="E24" s="7" t="s">
        <v>78</v>
      </c>
      <c r="F24" s="7" t="s">
        <v>79</v>
      </c>
    </row>
    <row r="25">
      <c r="A25" s="6" t="s">
        <v>130</v>
      </c>
      <c r="B25" s="7" t="s">
        <v>131</v>
      </c>
      <c r="C25" s="7" t="s">
        <v>132</v>
      </c>
      <c r="D25" s="7" t="s">
        <v>130</v>
      </c>
      <c r="E25" s="7" t="s">
        <v>57</v>
      </c>
      <c r="F25" s="7" t="s">
        <v>73</v>
      </c>
    </row>
    <row r="26">
      <c r="A26" s="6" t="s">
        <v>133</v>
      </c>
      <c r="B26" s="7" t="s">
        <v>134</v>
      </c>
      <c r="C26" s="7" t="s">
        <v>135</v>
      </c>
      <c r="D26" s="7" t="s">
        <v>133</v>
      </c>
      <c r="E26" s="7" t="s">
        <v>78</v>
      </c>
      <c r="F26" s="7" t="s">
        <v>136</v>
      </c>
    </row>
    <row r="27">
      <c r="A27" s="6" t="s">
        <v>137</v>
      </c>
      <c r="B27" s="7" t="s">
        <v>138</v>
      </c>
      <c r="C27" s="7" t="s">
        <v>139</v>
      </c>
      <c r="D27" s="7" t="s">
        <v>137</v>
      </c>
      <c r="E27" s="7" t="s">
        <v>16</v>
      </c>
      <c r="F27" s="7" t="s">
        <v>19</v>
      </c>
    </row>
    <row r="28">
      <c r="A28" s="6" t="s">
        <v>140</v>
      </c>
      <c r="B28" s="7" t="s">
        <v>141</v>
      </c>
      <c r="C28" s="7" t="s">
        <v>142</v>
      </c>
      <c r="D28" s="7" t="s">
        <v>140</v>
      </c>
      <c r="E28" s="7" t="s">
        <v>78</v>
      </c>
      <c r="F28" s="7" t="s">
        <v>79</v>
      </c>
    </row>
    <row r="29">
      <c r="A29" s="6" t="s">
        <v>143</v>
      </c>
      <c r="B29" s="7" t="s">
        <v>144</v>
      </c>
      <c r="C29" s="7" t="s">
        <v>145</v>
      </c>
      <c r="D29" s="7" t="s">
        <v>143</v>
      </c>
      <c r="E29" s="7" t="s">
        <v>78</v>
      </c>
      <c r="F29" s="7" t="s">
        <v>79</v>
      </c>
    </row>
    <row r="30">
      <c r="A30" s="6" t="s">
        <v>146</v>
      </c>
      <c r="B30" s="7" t="s">
        <v>147</v>
      </c>
      <c r="C30" s="7" t="s">
        <v>148</v>
      </c>
      <c r="D30" s="7" t="s">
        <v>146</v>
      </c>
      <c r="E30" s="7" t="s">
        <v>28</v>
      </c>
      <c r="F30" s="7" t="s">
        <v>48</v>
      </c>
    </row>
    <row r="31">
      <c r="A31" s="6" t="s">
        <v>149</v>
      </c>
      <c r="B31" s="7" t="s">
        <v>150</v>
      </c>
      <c r="C31" s="7" t="s">
        <v>151</v>
      </c>
      <c r="D31" s="7" t="s">
        <v>149</v>
      </c>
      <c r="E31" s="7" t="s">
        <v>57</v>
      </c>
      <c r="F31" s="7" t="s">
        <v>73</v>
      </c>
    </row>
    <row r="32">
      <c r="A32" s="6" t="s">
        <v>152</v>
      </c>
      <c r="B32" s="7" t="s">
        <v>153</v>
      </c>
      <c r="C32" s="7" t="s">
        <v>154</v>
      </c>
      <c r="D32" s="7" t="s">
        <v>152</v>
      </c>
      <c r="E32" s="7" t="s">
        <v>78</v>
      </c>
      <c r="F32" s="7" t="s">
        <v>79</v>
      </c>
    </row>
    <row r="33">
      <c r="A33" s="6" t="s">
        <v>155</v>
      </c>
      <c r="B33" s="7" t="s">
        <v>156</v>
      </c>
      <c r="C33" s="7" t="s">
        <v>157</v>
      </c>
      <c r="D33" s="7" t="s">
        <v>155</v>
      </c>
      <c r="E33" s="7" t="s">
        <v>78</v>
      </c>
      <c r="F33" s="7" t="s">
        <v>79</v>
      </c>
    </row>
    <row r="34">
      <c r="A34" s="6" t="s">
        <v>158</v>
      </c>
      <c r="B34" s="7" t="s">
        <v>159</v>
      </c>
      <c r="C34" s="7" t="s">
        <v>160</v>
      </c>
      <c r="D34" s="7" t="s">
        <v>158</v>
      </c>
      <c r="E34" s="7" t="s">
        <v>57</v>
      </c>
      <c r="F34" s="7" t="s">
        <v>73</v>
      </c>
    </row>
    <row r="35">
      <c r="A35" s="6" t="s">
        <v>161</v>
      </c>
      <c r="B35" s="7" t="s">
        <v>162</v>
      </c>
      <c r="C35" s="7" t="s">
        <v>163</v>
      </c>
      <c r="D35" s="7" t="s">
        <v>161</v>
      </c>
      <c r="E35" s="7" t="s">
        <v>16</v>
      </c>
      <c r="F35" s="7" t="s">
        <v>164</v>
      </c>
    </row>
    <row r="36">
      <c r="A36" s="6" t="s">
        <v>165</v>
      </c>
      <c r="B36" s="7" t="s">
        <v>166</v>
      </c>
      <c r="C36" s="7" t="s">
        <v>167</v>
      </c>
      <c r="D36" s="7" t="s">
        <v>165</v>
      </c>
      <c r="E36" s="7" t="s">
        <v>28</v>
      </c>
      <c r="F36" s="7" t="s">
        <v>123</v>
      </c>
    </row>
    <row r="37">
      <c r="A37" s="6" t="s">
        <v>168</v>
      </c>
      <c r="B37" s="7" t="s">
        <v>169</v>
      </c>
      <c r="C37" s="7" t="s">
        <v>170</v>
      </c>
      <c r="D37" s="7" t="s">
        <v>168</v>
      </c>
      <c r="E37" s="7" t="s">
        <v>57</v>
      </c>
      <c r="F37" s="7" t="s">
        <v>73</v>
      </c>
    </row>
    <row r="38">
      <c r="A38" s="6" t="s">
        <v>171</v>
      </c>
      <c r="B38" s="7" t="s">
        <v>172</v>
      </c>
      <c r="C38" s="7" t="s">
        <v>173</v>
      </c>
      <c r="D38" s="7" t="s">
        <v>171</v>
      </c>
      <c r="E38" s="7" t="s">
        <v>57</v>
      </c>
      <c r="F38" s="7" t="s">
        <v>73</v>
      </c>
    </row>
    <row r="39">
      <c r="A39" s="6" t="s">
        <v>174</v>
      </c>
      <c r="B39" s="7" t="s">
        <v>175</v>
      </c>
      <c r="C39" s="7" t="s">
        <v>176</v>
      </c>
      <c r="D39" s="7" t="s">
        <v>174</v>
      </c>
      <c r="E39" s="7" t="s">
        <v>57</v>
      </c>
      <c r="F39" s="7" t="s">
        <v>73</v>
      </c>
    </row>
    <row r="40">
      <c r="A40" s="6" t="s">
        <v>177</v>
      </c>
      <c r="B40" s="7" t="s">
        <v>178</v>
      </c>
      <c r="C40" s="7" t="s">
        <v>179</v>
      </c>
      <c r="D40" s="7" t="s">
        <v>177</v>
      </c>
      <c r="E40" s="7" t="s">
        <v>16</v>
      </c>
      <c r="F40" s="7" t="s">
        <v>164</v>
      </c>
    </row>
    <row r="41">
      <c r="A41" s="6" t="s">
        <v>180</v>
      </c>
      <c r="B41" s="7" t="s">
        <v>181</v>
      </c>
      <c r="C41" s="7" t="s">
        <v>182</v>
      </c>
      <c r="D41" s="7" t="s">
        <v>180</v>
      </c>
      <c r="E41" s="7" t="s">
        <v>57</v>
      </c>
      <c r="F41" s="7" t="s">
        <v>73</v>
      </c>
    </row>
    <row r="42">
      <c r="A42" s="6" t="s">
        <v>183</v>
      </c>
      <c r="B42" s="7" t="s">
        <v>184</v>
      </c>
      <c r="C42" s="7" t="s">
        <v>185</v>
      </c>
      <c r="D42" s="7" t="s">
        <v>183</v>
      </c>
      <c r="E42" s="7" t="s">
        <v>78</v>
      </c>
      <c r="F42" s="7" t="s">
        <v>136</v>
      </c>
    </row>
    <row r="43">
      <c r="A43" s="6" t="s">
        <v>186</v>
      </c>
      <c r="B43" s="7" t="s">
        <v>187</v>
      </c>
      <c r="C43" s="7" t="s">
        <v>188</v>
      </c>
      <c r="D43" s="7" t="s">
        <v>186</v>
      </c>
      <c r="E43" s="7" t="s">
        <v>78</v>
      </c>
      <c r="F43" s="7" t="s">
        <v>79</v>
      </c>
    </row>
    <row r="44">
      <c r="A44" s="6" t="s">
        <v>189</v>
      </c>
      <c r="B44" s="7" t="s">
        <v>190</v>
      </c>
      <c r="C44" s="7" t="s">
        <v>191</v>
      </c>
      <c r="D44" s="7" t="s">
        <v>189</v>
      </c>
      <c r="E44" s="7" t="s">
        <v>57</v>
      </c>
      <c r="F44" s="7" t="s">
        <v>73</v>
      </c>
    </row>
    <row r="45">
      <c r="A45" s="6" t="s">
        <v>192</v>
      </c>
      <c r="B45" s="7" t="s">
        <v>193</v>
      </c>
      <c r="C45" s="7" t="s">
        <v>194</v>
      </c>
      <c r="D45" s="7" t="s">
        <v>192</v>
      </c>
      <c r="E45" s="7" t="s">
        <v>57</v>
      </c>
      <c r="F45" s="7" t="s">
        <v>73</v>
      </c>
    </row>
    <row r="46">
      <c r="A46" s="6" t="s">
        <v>195</v>
      </c>
      <c r="B46" s="7" t="s">
        <v>196</v>
      </c>
      <c r="C46" s="7" t="s">
        <v>197</v>
      </c>
      <c r="D46" s="7" t="s">
        <v>195</v>
      </c>
      <c r="E46" s="7" t="s">
        <v>78</v>
      </c>
      <c r="F46" s="7" t="s">
        <v>79</v>
      </c>
    </row>
    <row r="47">
      <c r="A47" s="6" t="s">
        <v>198</v>
      </c>
      <c r="B47" s="7" t="s">
        <v>199</v>
      </c>
      <c r="C47" s="7" t="s">
        <v>200</v>
      </c>
      <c r="D47" s="7" t="s">
        <v>198</v>
      </c>
      <c r="E47" s="7" t="s">
        <v>16</v>
      </c>
      <c r="F47" s="7" t="s">
        <v>201</v>
      </c>
    </row>
    <row r="48">
      <c r="A48" s="6" t="s">
        <v>202</v>
      </c>
      <c r="B48" s="7" t="s">
        <v>203</v>
      </c>
      <c r="C48" s="7" t="s">
        <v>204</v>
      </c>
      <c r="D48" s="7" t="s">
        <v>202</v>
      </c>
      <c r="E48" s="7" t="s">
        <v>65</v>
      </c>
      <c r="F48" s="7" t="s">
        <v>100</v>
      </c>
    </row>
    <row r="49">
      <c r="A49" s="6" t="s">
        <v>205</v>
      </c>
      <c r="B49" s="7" t="s">
        <v>206</v>
      </c>
      <c r="C49" s="7" t="s">
        <v>207</v>
      </c>
      <c r="D49" s="7" t="s">
        <v>205</v>
      </c>
      <c r="E49" s="7" t="s">
        <v>65</v>
      </c>
      <c r="F49" s="7" t="s">
        <v>100</v>
      </c>
    </row>
    <row r="50">
      <c r="A50" s="6" t="s">
        <v>208</v>
      </c>
      <c r="B50" s="7" t="s">
        <v>209</v>
      </c>
      <c r="C50" s="7" t="s">
        <v>210</v>
      </c>
      <c r="D50" s="7" t="s">
        <v>208</v>
      </c>
      <c r="E50" s="7" t="s">
        <v>78</v>
      </c>
      <c r="F50" s="7" t="s">
        <v>79</v>
      </c>
    </row>
    <row r="51">
      <c r="A51" s="6" t="s">
        <v>211</v>
      </c>
      <c r="B51" s="7" t="s">
        <v>212</v>
      </c>
      <c r="C51" s="7" t="s">
        <v>213</v>
      </c>
      <c r="D51" s="7" t="s">
        <v>211</v>
      </c>
      <c r="E51" s="7" t="s">
        <v>57</v>
      </c>
      <c r="F51" s="7" t="s">
        <v>73</v>
      </c>
    </row>
    <row r="52">
      <c r="A52" s="6" t="s">
        <v>214</v>
      </c>
      <c r="B52" s="7" t="s">
        <v>215</v>
      </c>
      <c r="C52" s="7" t="s">
        <v>216</v>
      </c>
      <c r="D52" s="7" t="s">
        <v>214</v>
      </c>
      <c r="E52" s="7" t="s">
        <v>57</v>
      </c>
      <c r="F52" s="7" t="s">
        <v>73</v>
      </c>
    </row>
    <row r="53">
      <c r="A53" s="6" t="s">
        <v>217</v>
      </c>
      <c r="B53" s="7" t="s">
        <v>218</v>
      </c>
      <c r="C53" s="7" t="s">
        <v>219</v>
      </c>
      <c r="D53" s="7" t="s">
        <v>217</v>
      </c>
      <c r="E53" s="7" t="s">
        <v>57</v>
      </c>
      <c r="F53" s="7" t="s">
        <v>73</v>
      </c>
    </row>
    <row r="54">
      <c r="A54" s="6" t="s">
        <v>220</v>
      </c>
      <c r="B54" s="7" t="s">
        <v>221</v>
      </c>
      <c r="C54" s="7" t="s">
        <v>222</v>
      </c>
      <c r="D54" s="7" t="s">
        <v>220</v>
      </c>
      <c r="E54" s="7" t="s">
        <v>65</v>
      </c>
      <c r="F54" s="7" t="s">
        <v>66</v>
      </c>
    </row>
    <row r="55">
      <c r="A55" s="6" t="s">
        <v>223</v>
      </c>
      <c r="B55" s="7" t="s">
        <v>224</v>
      </c>
      <c r="C55" s="7" t="s">
        <v>225</v>
      </c>
      <c r="D55" s="7" t="s">
        <v>223</v>
      </c>
      <c r="E55" s="7" t="s">
        <v>78</v>
      </c>
      <c r="F55" s="7" t="s">
        <v>79</v>
      </c>
    </row>
    <row r="56">
      <c r="A56" s="6" t="s">
        <v>226</v>
      </c>
      <c r="B56" s="7" t="s">
        <v>227</v>
      </c>
      <c r="C56" s="7" t="s">
        <v>228</v>
      </c>
      <c r="D56" s="7" t="s">
        <v>226</v>
      </c>
      <c r="E56" s="7" t="s">
        <v>57</v>
      </c>
      <c r="F56" s="7" t="s">
        <v>73</v>
      </c>
    </row>
    <row r="57">
      <c r="A57" s="6" t="s">
        <v>229</v>
      </c>
      <c r="B57" s="7" t="s">
        <v>230</v>
      </c>
      <c r="C57" s="7" t="s">
        <v>231</v>
      </c>
      <c r="D57" s="7" t="s">
        <v>229</v>
      </c>
      <c r="E57" s="7" t="s">
        <v>28</v>
      </c>
      <c r="F57" s="7" t="s">
        <v>48</v>
      </c>
    </row>
    <row r="58">
      <c r="A58" s="6" t="s">
        <v>234</v>
      </c>
      <c r="B58" s="7" t="s">
        <v>235</v>
      </c>
      <c r="C58" s="7" t="s">
        <v>236</v>
      </c>
      <c r="D58" s="7" t="s">
        <v>234</v>
      </c>
      <c r="E58" s="7" t="s">
        <v>78</v>
      </c>
      <c r="F58" s="7" t="s">
        <v>79</v>
      </c>
    </row>
    <row r="59">
      <c r="A59" s="6" t="s">
        <v>237</v>
      </c>
      <c r="B59" s="7" t="s">
        <v>238</v>
      </c>
      <c r="C59" s="7" t="s">
        <v>239</v>
      </c>
      <c r="D59" s="7" t="s">
        <v>237</v>
      </c>
      <c r="E59" s="7" t="s">
        <v>78</v>
      </c>
      <c r="F59" s="7" t="s">
        <v>79</v>
      </c>
    </row>
    <row r="60">
      <c r="A60" s="6" t="s">
        <v>240</v>
      </c>
      <c r="B60" s="7" t="s">
        <v>241</v>
      </c>
      <c r="C60" s="7" t="s">
        <v>242</v>
      </c>
      <c r="D60" s="7" t="s">
        <v>240</v>
      </c>
      <c r="E60" s="7" t="s">
        <v>16</v>
      </c>
      <c r="F60" s="7" t="s">
        <v>93</v>
      </c>
    </row>
    <row r="61">
      <c r="A61" s="6" t="s">
        <v>243</v>
      </c>
      <c r="B61" s="7" t="s">
        <v>244</v>
      </c>
      <c r="C61" s="7" t="s">
        <v>245</v>
      </c>
      <c r="D61" s="7" t="s">
        <v>243</v>
      </c>
      <c r="E61" s="7" t="s">
        <v>28</v>
      </c>
      <c r="F61" s="7" t="s">
        <v>123</v>
      </c>
    </row>
    <row r="62">
      <c r="A62" s="6" t="s">
        <v>246</v>
      </c>
      <c r="B62" s="7" t="s">
        <v>247</v>
      </c>
      <c r="C62" s="7" t="s">
        <v>248</v>
      </c>
      <c r="D62" s="7" t="s">
        <v>246</v>
      </c>
      <c r="E62" s="7" t="s">
        <v>28</v>
      </c>
      <c r="F62" s="7" t="s">
        <v>29</v>
      </c>
    </row>
    <row r="63">
      <c r="A63" s="6" t="s">
        <v>249</v>
      </c>
      <c r="B63" s="7" t="s">
        <v>250</v>
      </c>
      <c r="C63" s="7" t="s">
        <v>251</v>
      </c>
      <c r="D63" s="7" t="s">
        <v>249</v>
      </c>
      <c r="E63" s="7" t="s">
        <v>57</v>
      </c>
      <c r="F63" s="7" t="s">
        <v>73</v>
      </c>
    </row>
    <row r="64">
      <c r="A64" s="6" t="s">
        <v>252</v>
      </c>
      <c r="B64" s="7" t="s">
        <v>253</v>
      </c>
      <c r="C64" s="7" t="s">
        <v>254</v>
      </c>
      <c r="D64" s="7" t="s">
        <v>252</v>
      </c>
      <c r="E64" s="7" t="s">
        <v>78</v>
      </c>
      <c r="F64" s="7" t="s">
        <v>79</v>
      </c>
    </row>
    <row r="65">
      <c r="A65" s="6" t="s">
        <v>255</v>
      </c>
      <c r="B65" s="7" t="s">
        <v>256</v>
      </c>
      <c r="C65" s="7" t="s">
        <v>257</v>
      </c>
      <c r="D65" s="7" t="s">
        <v>255</v>
      </c>
      <c r="E65" s="7" t="s">
        <v>78</v>
      </c>
      <c r="F65" s="7" t="s">
        <v>79</v>
      </c>
    </row>
    <row r="66">
      <c r="A66" s="6" t="s">
        <v>258</v>
      </c>
      <c r="B66" s="7" t="s">
        <v>259</v>
      </c>
      <c r="C66" s="7" t="s">
        <v>260</v>
      </c>
      <c r="D66" s="7" t="s">
        <v>258</v>
      </c>
      <c r="E66" s="7" t="s">
        <v>78</v>
      </c>
      <c r="F66" s="7" t="s">
        <v>79</v>
      </c>
    </row>
    <row r="67">
      <c r="A67" s="6" t="s">
        <v>261</v>
      </c>
      <c r="B67" s="7" t="s">
        <v>262</v>
      </c>
      <c r="C67" s="7" t="s">
        <v>263</v>
      </c>
      <c r="D67" s="7" t="s">
        <v>261</v>
      </c>
      <c r="E67" s="7" t="s">
        <v>57</v>
      </c>
      <c r="F67" s="7" t="s">
        <v>58</v>
      </c>
    </row>
    <row r="68">
      <c r="A68" s="6" t="s">
        <v>265</v>
      </c>
      <c r="B68" s="7" t="s">
        <v>266</v>
      </c>
      <c r="C68" s="7" t="s">
        <v>267</v>
      </c>
      <c r="D68" s="7" t="s">
        <v>265</v>
      </c>
      <c r="E68" s="7" t="s">
        <v>78</v>
      </c>
      <c r="F68" s="7" t="s">
        <v>79</v>
      </c>
    </row>
    <row r="69">
      <c r="A69" s="6" t="s">
        <v>268</v>
      </c>
      <c r="B69" s="7" t="s">
        <v>269</v>
      </c>
      <c r="C69" s="7" t="s">
        <v>270</v>
      </c>
      <c r="D69" s="7" t="s">
        <v>268</v>
      </c>
      <c r="E69" s="7" t="s">
        <v>57</v>
      </c>
      <c r="F69" s="7" t="s">
        <v>73</v>
      </c>
    </row>
    <row r="70">
      <c r="A70" s="6" t="s">
        <v>271</v>
      </c>
      <c r="B70" s="7" t="s">
        <v>272</v>
      </c>
      <c r="C70" s="7" t="s">
        <v>273</v>
      </c>
      <c r="D70" s="7" t="s">
        <v>271</v>
      </c>
      <c r="E70" s="7" t="s">
        <v>57</v>
      </c>
      <c r="F70" s="7" t="s">
        <v>73</v>
      </c>
    </row>
    <row r="71">
      <c r="A71" s="6" t="s">
        <v>274</v>
      </c>
      <c r="B71" s="7" t="s">
        <v>275</v>
      </c>
      <c r="C71" s="7" t="s">
        <v>276</v>
      </c>
      <c r="D71" s="7" t="s">
        <v>274</v>
      </c>
      <c r="E71" s="7" t="s">
        <v>28</v>
      </c>
      <c r="F71" s="7" t="s">
        <v>29</v>
      </c>
    </row>
    <row r="72">
      <c r="A72" s="6" t="s">
        <v>277</v>
      </c>
      <c r="B72" s="7" t="s">
        <v>278</v>
      </c>
      <c r="C72" s="7" t="s">
        <v>279</v>
      </c>
      <c r="D72" s="7" t="s">
        <v>277</v>
      </c>
      <c r="E72" s="7" t="s">
        <v>57</v>
      </c>
      <c r="F72" s="7" t="s">
        <v>73</v>
      </c>
    </row>
    <row r="73">
      <c r="A73" s="6" t="s">
        <v>280</v>
      </c>
      <c r="B73" s="7" t="s">
        <v>281</v>
      </c>
      <c r="C73" s="7" t="s">
        <v>282</v>
      </c>
      <c r="D73" s="7" t="s">
        <v>280</v>
      </c>
      <c r="E73" s="7" t="s">
        <v>57</v>
      </c>
      <c r="F73" s="7" t="s">
        <v>73</v>
      </c>
    </row>
    <row r="74">
      <c r="A74" s="6" t="s">
        <v>283</v>
      </c>
      <c r="B74" s="7" t="s">
        <v>284</v>
      </c>
      <c r="C74" s="7" t="s">
        <v>285</v>
      </c>
      <c r="D74" s="7" t="s">
        <v>283</v>
      </c>
      <c r="E74" s="7" t="s">
        <v>78</v>
      </c>
      <c r="F74" s="7" t="s">
        <v>79</v>
      </c>
    </row>
    <row r="75">
      <c r="A75" s="6" t="s">
        <v>286</v>
      </c>
      <c r="B75" s="7" t="s">
        <v>287</v>
      </c>
      <c r="C75" s="7" t="s">
        <v>288</v>
      </c>
      <c r="D75" s="7" t="s">
        <v>286</v>
      </c>
      <c r="E75" s="7" t="s">
        <v>28</v>
      </c>
      <c r="F75" s="7" t="s">
        <v>29</v>
      </c>
    </row>
    <row r="76">
      <c r="A76" s="6" t="s">
        <v>289</v>
      </c>
      <c r="B76" s="7" t="s">
        <v>290</v>
      </c>
      <c r="C76" s="7" t="s">
        <v>291</v>
      </c>
      <c r="D76" s="7" t="s">
        <v>289</v>
      </c>
      <c r="E76" s="7" t="s">
        <v>65</v>
      </c>
      <c r="F76" s="7" t="s">
        <v>292</v>
      </c>
    </row>
    <row r="77">
      <c r="A77" s="6" t="s">
        <v>293</v>
      </c>
      <c r="B77" s="7" t="s">
        <v>294</v>
      </c>
      <c r="C77" s="7" t="s">
        <v>295</v>
      </c>
      <c r="D77" s="7" t="s">
        <v>293</v>
      </c>
      <c r="E77" s="7" t="s">
        <v>28</v>
      </c>
      <c r="F77" s="7" t="s">
        <v>29</v>
      </c>
    </row>
    <row r="78">
      <c r="A78" s="6" t="s">
        <v>296</v>
      </c>
      <c r="B78" s="7" t="s">
        <v>297</v>
      </c>
      <c r="C78" s="7" t="s">
        <v>298</v>
      </c>
      <c r="D78" s="7" t="s">
        <v>296</v>
      </c>
      <c r="E78" s="7" t="s">
        <v>28</v>
      </c>
      <c r="F78" s="7" t="s">
        <v>104</v>
      </c>
    </row>
    <row r="79">
      <c r="A79" s="6" t="s">
        <v>299</v>
      </c>
      <c r="B79" s="7" t="s">
        <v>300</v>
      </c>
      <c r="C79" s="7" t="s">
        <v>301</v>
      </c>
      <c r="D79" s="7" t="s">
        <v>299</v>
      </c>
      <c r="E79" s="7" t="s">
        <v>78</v>
      </c>
      <c r="F79" s="7" t="s">
        <v>79</v>
      </c>
    </row>
    <row r="80">
      <c r="A80" s="6" t="s">
        <v>302</v>
      </c>
      <c r="B80" s="7" t="s">
        <v>303</v>
      </c>
      <c r="C80" s="7" t="s">
        <v>304</v>
      </c>
      <c r="D80" s="7" t="s">
        <v>302</v>
      </c>
      <c r="E80" s="7" t="s">
        <v>65</v>
      </c>
      <c r="F80" s="7" t="s">
        <v>66</v>
      </c>
    </row>
    <row r="81">
      <c r="A81" s="6" t="s">
        <v>307</v>
      </c>
      <c r="B81" s="7" t="s">
        <v>308</v>
      </c>
      <c r="C81" s="7" t="s">
        <v>309</v>
      </c>
      <c r="D81" s="7" t="s">
        <v>307</v>
      </c>
      <c r="E81" s="7" t="s">
        <v>57</v>
      </c>
      <c r="F81" s="7" t="s">
        <v>73</v>
      </c>
    </row>
    <row r="82">
      <c r="A82" s="6" t="s">
        <v>310</v>
      </c>
      <c r="B82" s="7" t="s">
        <v>311</v>
      </c>
      <c r="C82" s="7" t="s">
        <v>312</v>
      </c>
      <c r="D82" s="7" t="s">
        <v>310</v>
      </c>
      <c r="E82" s="7" t="s">
        <v>57</v>
      </c>
      <c r="F82" s="7" t="s">
        <v>73</v>
      </c>
    </row>
    <row r="83">
      <c r="A83" s="6" t="s">
        <v>313</v>
      </c>
      <c r="B83" s="7" t="s">
        <v>314</v>
      </c>
      <c r="C83" s="7" t="s">
        <v>315</v>
      </c>
      <c r="D83" s="7" t="s">
        <v>313</v>
      </c>
      <c r="E83" s="7" t="s">
        <v>57</v>
      </c>
      <c r="F83" s="7" t="s">
        <v>73</v>
      </c>
    </row>
    <row r="84">
      <c r="A84" s="6" t="s">
        <v>316</v>
      </c>
      <c r="B84" s="7" t="s">
        <v>317</v>
      </c>
      <c r="C84" s="7" t="s">
        <v>318</v>
      </c>
      <c r="D84" s="7" t="s">
        <v>316</v>
      </c>
      <c r="E84" s="7" t="s">
        <v>16</v>
      </c>
      <c r="F84" s="7" t="s">
        <v>93</v>
      </c>
    </row>
    <row r="85">
      <c r="A85" s="6" t="s">
        <v>319</v>
      </c>
      <c r="B85" s="7" t="s">
        <v>320</v>
      </c>
      <c r="C85" s="7" t="s">
        <v>321</v>
      </c>
      <c r="D85" s="7" t="s">
        <v>319</v>
      </c>
      <c r="E85" s="7" t="s">
        <v>28</v>
      </c>
      <c r="F85" s="7" t="s">
        <v>104</v>
      </c>
    </row>
    <row r="86">
      <c r="A86" s="6" t="s">
        <v>322</v>
      </c>
      <c r="B86" s="7" t="s">
        <v>323</v>
      </c>
      <c r="C86" s="7" t="s">
        <v>324</v>
      </c>
      <c r="D86" s="7" t="s">
        <v>322</v>
      </c>
      <c r="E86" s="7" t="s">
        <v>57</v>
      </c>
      <c r="F86" s="7" t="s">
        <v>73</v>
      </c>
    </row>
    <row r="87">
      <c r="A87" s="6" t="s">
        <v>325</v>
      </c>
      <c r="B87" s="7" t="s">
        <v>326</v>
      </c>
      <c r="C87" s="7" t="s">
        <v>327</v>
      </c>
      <c r="D87" s="7" t="s">
        <v>325</v>
      </c>
      <c r="E87" s="7" t="s">
        <v>28</v>
      </c>
      <c r="F87" s="7" t="s">
        <v>48</v>
      </c>
    </row>
    <row r="88">
      <c r="A88" s="6" t="s">
        <v>328</v>
      </c>
      <c r="B88" s="7" t="s">
        <v>329</v>
      </c>
      <c r="C88" s="7" t="s">
        <v>330</v>
      </c>
      <c r="D88" s="7" t="s">
        <v>328</v>
      </c>
      <c r="E88" s="7" t="s">
        <v>28</v>
      </c>
      <c r="F88" s="7" t="s">
        <v>48</v>
      </c>
    </row>
    <row r="89">
      <c r="A89" s="6" t="s">
        <v>331</v>
      </c>
      <c r="B89" s="7" t="s">
        <v>332</v>
      </c>
      <c r="C89" s="7" t="s">
        <v>333</v>
      </c>
      <c r="D89" s="7" t="s">
        <v>331</v>
      </c>
      <c r="E89" s="7" t="s">
        <v>78</v>
      </c>
      <c r="F89" s="7" t="s">
        <v>136</v>
      </c>
    </row>
    <row r="90">
      <c r="A90" s="6" t="s">
        <v>335</v>
      </c>
      <c r="B90" s="7" t="s">
        <v>336</v>
      </c>
      <c r="C90" s="7" t="s">
        <v>337</v>
      </c>
      <c r="D90" s="7" t="s">
        <v>335</v>
      </c>
      <c r="E90" s="7" t="s">
        <v>78</v>
      </c>
      <c r="F90" s="7" t="s">
        <v>79</v>
      </c>
    </row>
    <row r="91">
      <c r="A91" s="6" t="s">
        <v>338</v>
      </c>
      <c r="B91" s="7" t="s">
        <v>339</v>
      </c>
      <c r="C91" s="7" t="s">
        <v>340</v>
      </c>
      <c r="D91" s="7" t="s">
        <v>338</v>
      </c>
      <c r="E91" s="7" t="s">
        <v>78</v>
      </c>
      <c r="F91" s="7" t="s">
        <v>79</v>
      </c>
    </row>
    <row r="92">
      <c r="A92" s="6" t="s">
        <v>341</v>
      </c>
      <c r="B92" s="7" t="s">
        <v>342</v>
      </c>
      <c r="C92" s="7" t="s">
        <v>343</v>
      </c>
      <c r="D92" s="7" t="s">
        <v>341</v>
      </c>
      <c r="E92" s="7" t="s">
        <v>65</v>
      </c>
      <c r="F92" s="7" t="s">
        <v>344</v>
      </c>
    </row>
    <row r="93">
      <c r="A93" s="6" t="s">
        <v>345</v>
      </c>
      <c r="B93" s="7" t="s">
        <v>346</v>
      </c>
      <c r="C93" s="7" t="s">
        <v>347</v>
      </c>
      <c r="D93" s="7" t="s">
        <v>345</v>
      </c>
      <c r="E93" s="7" t="s">
        <v>78</v>
      </c>
      <c r="F93" s="7" t="s">
        <v>79</v>
      </c>
    </row>
    <row r="94">
      <c r="A94" s="6" t="s">
        <v>349</v>
      </c>
      <c r="B94" s="7" t="s">
        <v>350</v>
      </c>
      <c r="C94" s="7" t="s">
        <v>351</v>
      </c>
      <c r="D94" s="7" t="s">
        <v>349</v>
      </c>
      <c r="E94" s="7" t="s">
        <v>28</v>
      </c>
      <c r="F94" s="7" t="s">
        <v>29</v>
      </c>
    </row>
    <row r="95">
      <c r="A95" s="6" t="s">
        <v>352</v>
      </c>
      <c r="B95" s="7" t="s">
        <v>353</v>
      </c>
      <c r="C95" s="7" t="s">
        <v>354</v>
      </c>
      <c r="D95" s="7" t="s">
        <v>352</v>
      </c>
      <c r="E95" s="7" t="s">
        <v>57</v>
      </c>
      <c r="F95" s="7" t="s">
        <v>73</v>
      </c>
    </row>
    <row r="96">
      <c r="A96" s="6" t="s">
        <v>355</v>
      </c>
      <c r="B96" s="7" t="s">
        <v>356</v>
      </c>
      <c r="C96" s="7" t="s">
        <v>357</v>
      </c>
      <c r="D96" s="7" t="s">
        <v>355</v>
      </c>
      <c r="E96" s="7" t="s">
        <v>57</v>
      </c>
      <c r="F96" s="7" t="s">
        <v>73</v>
      </c>
    </row>
    <row r="97">
      <c r="A97" s="6" t="s">
        <v>358</v>
      </c>
      <c r="B97" s="7" t="s">
        <v>359</v>
      </c>
      <c r="C97" s="7" t="s">
        <v>360</v>
      </c>
      <c r="D97" s="7" t="s">
        <v>358</v>
      </c>
      <c r="E97" s="7" t="s">
        <v>78</v>
      </c>
      <c r="F97" s="7" t="s">
        <v>79</v>
      </c>
    </row>
    <row r="98">
      <c r="A98" s="6" t="s">
        <v>361</v>
      </c>
      <c r="B98" s="7" t="s">
        <v>362</v>
      </c>
      <c r="C98" s="7" t="s">
        <v>363</v>
      </c>
      <c r="D98" s="7" t="s">
        <v>361</v>
      </c>
      <c r="E98" s="7" t="s">
        <v>78</v>
      </c>
      <c r="F98" s="7" t="s">
        <v>79</v>
      </c>
    </row>
    <row r="99">
      <c r="A99" s="6" t="s">
        <v>366</v>
      </c>
      <c r="B99" s="7" t="s">
        <v>367</v>
      </c>
      <c r="C99" s="7" t="s">
        <v>368</v>
      </c>
      <c r="D99" s="7" t="s">
        <v>366</v>
      </c>
      <c r="E99" s="7" t="s">
        <v>65</v>
      </c>
      <c r="F99" s="7" t="s">
        <v>100</v>
      </c>
    </row>
    <row r="100">
      <c r="A100" s="6" t="s">
        <v>369</v>
      </c>
      <c r="B100" s="7" t="s">
        <v>370</v>
      </c>
      <c r="C100" s="7" t="s">
        <v>371</v>
      </c>
      <c r="D100" s="7" t="s">
        <v>369</v>
      </c>
      <c r="E100" s="7" t="s">
        <v>28</v>
      </c>
      <c r="F100" s="7" t="s">
        <v>48</v>
      </c>
    </row>
    <row r="101">
      <c r="A101" s="6" t="s">
        <v>372</v>
      </c>
      <c r="B101" s="7" t="s">
        <v>373</v>
      </c>
      <c r="C101" s="7" t="s">
        <v>374</v>
      </c>
      <c r="D101" s="7" t="s">
        <v>372</v>
      </c>
      <c r="E101" s="7" t="s">
        <v>78</v>
      </c>
      <c r="F101" s="7" t="s">
        <v>79</v>
      </c>
    </row>
    <row r="102">
      <c r="A102" s="6" t="s">
        <v>375</v>
      </c>
      <c r="B102" s="7" t="s">
        <v>376</v>
      </c>
      <c r="C102" s="7" t="s">
        <v>377</v>
      </c>
      <c r="D102" s="7" t="s">
        <v>375</v>
      </c>
      <c r="E102" s="7" t="s">
        <v>16</v>
      </c>
      <c r="F102" s="7" t="s">
        <v>201</v>
      </c>
    </row>
    <row r="103">
      <c r="A103" s="6" t="s">
        <v>378</v>
      </c>
      <c r="B103" s="7" t="s">
        <v>379</v>
      </c>
      <c r="C103" s="7" t="s">
        <v>380</v>
      </c>
      <c r="D103" s="7" t="s">
        <v>378</v>
      </c>
      <c r="E103" s="7" t="s">
        <v>28</v>
      </c>
      <c r="F103" s="7" t="s">
        <v>123</v>
      </c>
    </row>
    <row r="104">
      <c r="A104" s="6" t="s">
        <v>381</v>
      </c>
      <c r="B104" s="7" t="s">
        <v>382</v>
      </c>
      <c r="C104" s="7" t="s">
        <v>383</v>
      </c>
      <c r="D104" s="7" t="s">
        <v>381</v>
      </c>
      <c r="E104" s="7" t="s">
        <v>28</v>
      </c>
      <c r="F104" s="7" t="s">
        <v>29</v>
      </c>
    </row>
    <row r="105">
      <c r="A105" s="6" t="s">
        <v>384</v>
      </c>
      <c r="B105" s="7" t="s">
        <v>385</v>
      </c>
      <c r="C105" s="7" t="s">
        <v>386</v>
      </c>
      <c r="D105" s="7" t="s">
        <v>384</v>
      </c>
      <c r="E105" s="7" t="s">
        <v>16</v>
      </c>
      <c r="F105" s="7" t="s">
        <v>19</v>
      </c>
    </row>
    <row r="106">
      <c r="A106" s="6" t="s">
        <v>387</v>
      </c>
      <c r="B106" s="7" t="s">
        <v>388</v>
      </c>
      <c r="C106" s="7" t="s">
        <v>389</v>
      </c>
      <c r="D106" s="7" t="s">
        <v>387</v>
      </c>
      <c r="E106" s="7" t="s">
        <v>16</v>
      </c>
      <c r="F106" s="7" t="s">
        <v>164</v>
      </c>
    </row>
    <row r="107">
      <c r="A107" s="6" t="s">
        <v>390</v>
      </c>
      <c r="B107" s="7" t="s">
        <v>391</v>
      </c>
      <c r="C107" s="7" t="s">
        <v>392</v>
      </c>
      <c r="D107" s="7" t="s">
        <v>390</v>
      </c>
      <c r="E107" s="7" t="s">
        <v>16</v>
      </c>
      <c r="F107" s="7" t="s">
        <v>19</v>
      </c>
    </row>
    <row r="108">
      <c r="A108" s="6" t="s">
        <v>393</v>
      </c>
      <c r="B108" s="7" t="s">
        <v>394</v>
      </c>
      <c r="C108" s="7" t="s">
        <v>395</v>
      </c>
      <c r="D108" s="7" t="s">
        <v>393</v>
      </c>
      <c r="E108" s="7" t="s">
        <v>16</v>
      </c>
      <c r="F108" s="7" t="s">
        <v>93</v>
      </c>
    </row>
    <row r="109">
      <c r="A109" s="6" t="s">
        <v>396</v>
      </c>
      <c r="B109" s="7" t="s">
        <v>397</v>
      </c>
      <c r="C109" s="7" t="s">
        <v>398</v>
      </c>
      <c r="D109" s="7" t="s">
        <v>396</v>
      </c>
      <c r="E109" s="7" t="s">
        <v>28</v>
      </c>
      <c r="F109" s="7" t="s">
        <v>29</v>
      </c>
    </row>
    <row r="110">
      <c r="A110" s="6" t="s">
        <v>400</v>
      </c>
      <c r="B110" s="7" t="s">
        <v>401</v>
      </c>
      <c r="C110" s="7" t="s">
        <v>402</v>
      </c>
      <c r="D110" s="7" t="s">
        <v>400</v>
      </c>
      <c r="E110" s="7" t="s">
        <v>28</v>
      </c>
      <c r="F110" s="7" t="s">
        <v>29</v>
      </c>
    </row>
    <row r="111">
      <c r="A111" s="6" t="s">
        <v>403</v>
      </c>
      <c r="B111" s="7" t="s">
        <v>404</v>
      </c>
      <c r="C111" s="7" t="s">
        <v>405</v>
      </c>
      <c r="D111" s="7" t="s">
        <v>403</v>
      </c>
      <c r="E111" s="7" t="s">
        <v>16</v>
      </c>
      <c r="F111" s="7" t="s">
        <v>93</v>
      </c>
    </row>
    <row r="112">
      <c r="A112" s="6" t="s">
        <v>406</v>
      </c>
      <c r="B112" s="7" t="s">
        <v>407</v>
      </c>
      <c r="C112" s="7" t="s">
        <v>408</v>
      </c>
      <c r="D112" s="7" t="s">
        <v>406</v>
      </c>
      <c r="E112" s="7" t="s">
        <v>28</v>
      </c>
      <c r="F112" s="7" t="s">
        <v>48</v>
      </c>
    </row>
    <row r="113">
      <c r="A113" s="6" t="s">
        <v>409</v>
      </c>
      <c r="B113" s="7" t="s">
        <v>410</v>
      </c>
      <c r="C113" s="7" t="s">
        <v>411</v>
      </c>
      <c r="D113" s="7" t="s">
        <v>409</v>
      </c>
      <c r="E113" s="7" t="s">
        <v>78</v>
      </c>
      <c r="F113" s="7" t="s">
        <v>79</v>
      </c>
    </row>
    <row r="114">
      <c r="A114" s="6" t="s">
        <v>412</v>
      </c>
      <c r="B114" s="7" t="s">
        <v>413</v>
      </c>
      <c r="C114" s="7" t="s">
        <v>414</v>
      </c>
      <c r="D114" s="7" t="s">
        <v>412</v>
      </c>
      <c r="E114" s="7" t="s">
        <v>16</v>
      </c>
      <c r="F114" s="7" t="s">
        <v>201</v>
      </c>
    </row>
    <row r="115">
      <c r="A115" s="6" t="s">
        <v>415</v>
      </c>
      <c r="B115" s="7" t="s">
        <v>416</v>
      </c>
      <c r="C115" s="7" t="s">
        <v>417</v>
      </c>
      <c r="D115" s="7" t="s">
        <v>415</v>
      </c>
      <c r="E115" s="7" t="s">
        <v>28</v>
      </c>
      <c r="F115" s="7" t="s">
        <v>29</v>
      </c>
    </row>
    <row r="116">
      <c r="A116" s="6" t="s">
        <v>418</v>
      </c>
      <c r="B116" s="7" t="s">
        <v>419</v>
      </c>
      <c r="C116" s="7" t="s">
        <v>420</v>
      </c>
      <c r="D116" s="7" t="s">
        <v>418</v>
      </c>
      <c r="E116" s="7" t="s">
        <v>16</v>
      </c>
      <c r="F116" s="7" t="s">
        <v>93</v>
      </c>
    </row>
    <row r="117">
      <c r="A117" s="6" t="s">
        <v>421</v>
      </c>
      <c r="B117" s="7" t="s">
        <v>422</v>
      </c>
      <c r="C117" s="7" t="s">
        <v>423</v>
      </c>
      <c r="D117" s="7" t="s">
        <v>421</v>
      </c>
      <c r="E117" s="7" t="s">
        <v>16</v>
      </c>
      <c r="F117" s="7" t="s">
        <v>424</v>
      </c>
    </row>
    <row r="118">
      <c r="A118" s="6" t="s">
        <v>425</v>
      </c>
      <c r="B118" s="7" t="s">
        <v>426</v>
      </c>
      <c r="C118" s="7" t="s">
        <v>427</v>
      </c>
      <c r="D118" s="7" t="s">
        <v>425</v>
      </c>
      <c r="E118" s="7" t="s">
        <v>57</v>
      </c>
      <c r="F118" s="7" t="s">
        <v>73</v>
      </c>
    </row>
    <row r="119">
      <c r="A119" s="6" t="s">
        <v>428</v>
      </c>
      <c r="B119" s="7" t="s">
        <v>429</v>
      </c>
      <c r="C119" s="7" t="s">
        <v>430</v>
      </c>
      <c r="D119" s="7" t="s">
        <v>428</v>
      </c>
      <c r="E119" s="7" t="s">
        <v>65</v>
      </c>
      <c r="F119" s="7" t="s">
        <v>344</v>
      </c>
    </row>
    <row r="120">
      <c r="A120" s="6" t="s">
        <v>431</v>
      </c>
      <c r="B120" s="7" t="s">
        <v>432</v>
      </c>
      <c r="C120" s="7" t="s">
        <v>433</v>
      </c>
      <c r="D120" s="7" t="s">
        <v>431</v>
      </c>
      <c r="E120" s="7" t="s">
        <v>16</v>
      </c>
      <c r="F120" s="7" t="s">
        <v>201</v>
      </c>
    </row>
    <row r="121">
      <c r="A121" s="6" t="s">
        <v>434</v>
      </c>
      <c r="B121" s="7" t="s">
        <v>436</v>
      </c>
      <c r="C121" s="7" t="s">
        <v>437</v>
      </c>
      <c r="D121" s="7" t="s">
        <v>434</v>
      </c>
      <c r="E121" s="7" t="s">
        <v>16</v>
      </c>
      <c r="F121" s="7" t="s">
        <v>201</v>
      </c>
    </row>
    <row r="122">
      <c r="A122" s="6" t="s">
        <v>438</v>
      </c>
      <c r="B122" s="7" t="s">
        <v>439</v>
      </c>
      <c r="C122" s="7" t="s">
        <v>440</v>
      </c>
      <c r="D122" s="7" t="s">
        <v>438</v>
      </c>
      <c r="E122" s="7" t="s">
        <v>16</v>
      </c>
      <c r="F122" s="7" t="s">
        <v>93</v>
      </c>
    </row>
    <row r="123">
      <c r="A123" s="6" t="s">
        <v>441</v>
      </c>
      <c r="B123" s="7" t="s">
        <v>442</v>
      </c>
      <c r="C123" s="7" t="s">
        <v>443</v>
      </c>
      <c r="D123" s="7" t="s">
        <v>441</v>
      </c>
      <c r="E123" s="7" t="s">
        <v>16</v>
      </c>
      <c r="F123" s="7" t="s">
        <v>424</v>
      </c>
    </row>
    <row r="124">
      <c r="A124" s="6" t="s">
        <v>444</v>
      </c>
      <c r="B124" s="7" t="s">
        <v>445</v>
      </c>
      <c r="C124" s="7" t="s">
        <v>446</v>
      </c>
      <c r="D124" s="7" t="s">
        <v>444</v>
      </c>
      <c r="E124" s="7" t="s">
        <v>16</v>
      </c>
      <c r="F124" s="7" t="s">
        <v>164</v>
      </c>
    </row>
    <row r="125">
      <c r="A125" s="6" t="s">
        <v>447</v>
      </c>
      <c r="B125" s="7" t="s">
        <v>448</v>
      </c>
      <c r="C125" s="7" t="s">
        <v>449</v>
      </c>
      <c r="D125" s="7" t="s">
        <v>447</v>
      </c>
      <c r="E125" s="7" t="s">
        <v>28</v>
      </c>
      <c r="F125" s="7" t="s">
        <v>29</v>
      </c>
    </row>
    <row r="126">
      <c r="A126" s="6" t="s">
        <v>450</v>
      </c>
      <c r="B126" s="7" t="s">
        <v>451</v>
      </c>
      <c r="C126" s="7" t="s">
        <v>452</v>
      </c>
      <c r="D126" s="7" t="s">
        <v>450</v>
      </c>
      <c r="E126" s="7" t="s">
        <v>16</v>
      </c>
      <c r="F126" s="7" t="s">
        <v>93</v>
      </c>
    </row>
    <row r="127">
      <c r="A127" s="6" t="s">
        <v>453</v>
      </c>
      <c r="B127" s="7" t="s">
        <v>454</v>
      </c>
      <c r="C127" s="7" t="s">
        <v>455</v>
      </c>
      <c r="D127" s="7" t="s">
        <v>453</v>
      </c>
      <c r="E127" s="7" t="s">
        <v>57</v>
      </c>
      <c r="F127" s="7" t="s">
        <v>73</v>
      </c>
    </row>
    <row r="128">
      <c r="A128" s="6" t="s">
        <v>456</v>
      </c>
      <c r="B128" s="7" t="s">
        <v>457</v>
      </c>
      <c r="C128" s="7" t="s">
        <v>458</v>
      </c>
      <c r="D128" s="7" t="s">
        <v>456</v>
      </c>
      <c r="E128" s="7" t="s">
        <v>57</v>
      </c>
      <c r="F128" s="7" t="s">
        <v>73</v>
      </c>
    </row>
    <row r="129">
      <c r="A129" s="6" t="s">
        <v>459</v>
      </c>
      <c r="B129" s="7" t="s">
        <v>460</v>
      </c>
      <c r="C129" s="7" t="s">
        <v>461</v>
      </c>
      <c r="D129" s="7" t="s">
        <v>459</v>
      </c>
      <c r="E129" s="7" t="s">
        <v>57</v>
      </c>
      <c r="F129" s="7" t="s">
        <v>58</v>
      </c>
    </row>
    <row r="130">
      <c r="A130" s="6" t="s">
        <v>462</v>
      </c>
      <c r="B130" s="7" t="s">
        <v>463</v>
      </c>
      <c r="C130" s="7" t="s">
        <v>464</v>
      </c>
      <c r="D130" s="7" t="s">
        <v>462</v>
      </c>
      <c r="E130" s="7" t="s">
        <v>28</v>
      </c>
      <c r="F130" s="7" t="s">
        <v>104</v>
      </c>
    </row>
    <row r="131">
      <c r="A131" s="6" t="s">
        <v>465</v>
      </c>
      <c r="B131" s="7" t="s">
        <v>466</v>
      </c>
      <c r="C131" s="7" t="s">
        <v>467</v>
      </c>
      <c r="D131" s="7" t="s">
        <v>465</v>
      </c>
      <c r="E131" s="7" t="s">
        <v>28</v>
      </c>
      <c r="F131" s="7" t="s">
        <v>29</v>
      </c>
    </row>
    <row r="132">
      <c r="A132" s="6" t="s">
        <v>468</v>
      </c>
      <c r="B132" s="7" t="s">
        <v>469</v>
      </c>
      <c r="C132" s="7" t="s">
        <v>470</v>
      </c>
      <c r="D132" s="7" t="s">
        <v>468</v>
      </c>
      <c r="E132" s="7" t="s">
        <v>28</v>
      </c>
      <c r="F132" s="7" t="s">
        <v>104</v>
      </c>
    </row>
    <row r="133">
      <c r="A133" s="6" t="s">
        <v>471</v>
      </c>
      <c r="B133" s="7" t="s">
        <v>472</v>
      </c>
      <c r="C133" s="7" t="s">
        <v>473</v>
      </c>
      <c r="D133" s="7" t="s">
        <v>471</v>
      </c>
      <c r="E133" s="7" t="s">
        <v>16</v>
      </c>
      <c r="F133" s="7" t="s">
        <v>201</v>
      </c>
    </row>
    <row r="134">
      <c r="A134" s="6" t="s">
        <v>474</v>
      </c>
      <c r="B134" s="7" t="s">
        <v>475</v>
      </c>
      <c r="C134" s="7" t="s">
        <v>476</v>
      </c>
      <c r="D134" s="7" t="s">
        <v>474</v>
      </c>
      <c r="E134" s="7" t="s">
        <v>57</v>
      </c>
      <c r="F134" s="7" t="s">
        <v>73</v>
      </c>
    </row>
    <row r="135">
      <c r="A135" s="6" t="s">
        <v>477</v>
      </c>
      <c r="B135" s="7" t="s">
        <v>478</v>
      </c>
      <c r="C135" s="7" t="s">
        <v>479</v>
      </c>
      <c r="D135" s="7" t="s">
        <v>477</v>
      </c>
      <c r="E135" s="7" t="s">
        <v>57</v>
      </c>
      <c r="F135" s="7" t="s">
        <v>73</v>
      </c>
    </row>
    <row r="136">
      <c r="A136" s="6" t="s">
        <v>480</v>
      </c>
      <c r="B136" s="7" t="s">
        <v>481</v>
      </c>
      <c r="C136" s="7" t="s">
        <v>482</v>
      </c>
      <c r="D136" s="7" t="s">
        <v>480</v>
      </c>
      <c r="E136" s="7" t="s">
        <v>16</v>
      </c>
      <c r="F136" s="7" t="s">
        <v>164</v>
      </c>
    </row>
    <row r="137">
      <c r="A137" s="6" t="s">
        <v>483</v>
      </c>
      <c r="B137" s="7" t="s">
        <v>484</v>
      </c>
      <c r="C137" s="7" t="s">
        <v>485</v>
      </c>
      <c r="D137" s="7" t="s">
        <v>483</v>
      </c>
      <c r="E137" s="7" t="s">
        <v>16</v>
      </c>
      <c r="F137" s="7" t="s">
        <v>19</v>
      </c>
    </row>
    <row r="138">
      <c r="A138" s="6" t="s">
        <v>486</v>
      </c>
      <c r="B138" s="7" t="s">
        <v>487</v>
      </c>
      <c r="C138" s="7" t="s">
        <v>488</v>
      </c>
      <c r="D138" s="7" t="s">
        <v>486</v>
      </c>
      <c r="E138" s="7" t="s">
        <v>57</v>
      </c>
      <c r="F138" s="7" t="s">
        <v>73</v>
      </c>
    </row>
    <row r="139">
      <c r="A139" s="6" t="s">
        <v>489</v>
      </c>
      <c r="B139" s="7" t="s">
        <v>490</v>
      </c>
      <c r="C139" s="7" t="s">
        <v>491</v>
      </c>
      <c r="D139" s="7" t="s">
        <v>489</v>
      </c>
      <c r="E139" s="7" t="s">
        <v>28</v>
      </c>
      <c r="F139" s="7" t="s">
        <v>48</v>
      </c>
    </row>
    <row r="140">
      <c r="A140" s="6" t="s">
        <v>492</v>
      </c>
      <c r="B140" s="7" t="s">
        <v>493</v>
      </c>
      <c r="C140" s="7" t="s">
        <v>494</v>
      </c>
      <c r="D140" s="7" t="s">
        <v>492</v>
      </c>
      <c r="E140" s="7" t="s">
        <v>65</v>
      </c>
      <c r="F140" s="7" t="s">
        <v>344</v>
      </c>
    </row>
    <row r="141">
      <c r="A141" s="6" t="s">
        <v>495</v>
      </c>
      <c r="B141" s="7" t="s">
        <v>496</v>
      </c>
      <c r="C141" s="7" t="s">
        <v>497</v>
      </c>
      <c r="D141" s="7" t="s">
        <v>495</v>
      </c>
      <c r="E141" s="7" t="s">
        <v>78</v>
      </c>
      <c r="F141" s="7" t="s">
        <v>79</v>
      </c>
    </row>
    <row r="142">
      <c r="A142" s="6" t="s">
        <v>498</v>
      </c>
      <c r="B142" s="7" t="s">
        <v>499</v>
      </c>
      <c r="C142" s="7" t="s">
        <v>500</v>
      </c>
      <c r="D142" s="7" t="s">
        <v>498</v>
      </c>
      <c r="E142" s="7" t="s">
        <v>57</v>
      </c>
      <c r="F142" s="7" t="s">
        <v>73</v>
      </c>
    </row>
    <row r="143">
      <c r="A143" s="6" t="s">
        <v>501</v>
      </c>
      <c r="B143" s="7" t="s">
        <v>502</v>
      </c>
      <c r="C143" s="7" t="s">
        <v>503</v>
      </c>
      <c r="D143" s="7" t="s">
        <v>501</v>
      </c>
      <c r="E143" s="7" t="s">
        <v>57</v>
      </c>
      <c r="F143" s="7" t="s">
        <v>73</v>
      </c>
    </row>
    <row r="144">
      <c r="A144" s="6" t="s">
        <v>504</v>
      </c>
      <c r="B144" s="7" t="s">
        <v>505</v>
      </c>
      <c r="C144" s="7" t="s">
        <v>506</v>
      </c>
      <c r="D144" s="7" t="s">
        <v>504</v>
      </c>
      <c r="E144" s="7" t="s">
        <v>57</v>
      </c>
      <c r="F144" s="7" t="s">
        <v>73</v>
      </c>
    </row>
    <row r="145">
      <c r="A145" s="6" t="s">
        <v>507</v>
      </c>
      <c r="B145" s="7" t="s">
        <v>508</v>
      </c>
      <c r="C145" s="7" t="s">
        <v>509</v>
      </c>
      <c r="D145" s="7" t="s">
        <v>507</v>
      </c>
      <c r="E145" s="7" t="s">
        <v>78</v>
      </c>
      <c r="F145" s="7" t="s">
        <v>79</v>
      </c>
    </row>
    <row r="146">
      <c r="A146" s="6" t="s">
        <v>510</v>
      </c>
      <c r="B146" s="7" t="s">
        <v>511</v>
      </c>
      <c r="C146" s="7" t="s">
        <v>512</v>
      </c>
      <c r="D146" s="7" t="s">
        <v>510</v>
      </c>
      <c r="E146" s="7" t="s">
        <v>65</v>
      </c>
      <c r="F146" s="7" t="s">
        <v>344</v>
      </c>
    </row>
    <row r="147">
      <c r="A147" s="6" t="s">
        <v>513</v>
      </c>
      <c r="B147" s="7" t="s">
        <v>514</v>
      </c>
      <c r="C147" s="7" t="s">
        <v>515</v>
      </c>
      <c r="D147" s="7" t="s">
        <v>513</v>
      </c>
      <c r="E147" s="7" t="s">
        <v>28</v>
      </c>
      <c r="F147" s="7" t="s">
        <v>123</v>
      </c>
    </row>
    <row r="148">
      <c r="A148" s="6" t="s">
        <v>516</v>
      </c>
      <c r="B148" s="7" t="s">
        <v>518</v>
      </c>
      <c r="C148" s="7" t="s">
        <v>519</v>
      </c>
      <c r="D148" s="7" t="s">
        <v>516</v>
      </c>
      <c r="E148" s="7" t="s">
        <v>28</v>
      </c>
      <c r="F148" s="7" t="s">
        <v>104</v>
      </c>
    </row>
    <row r="149">
      <c r="A149" s="6" t="s">
        <v>520</v>
      </c>
      <c r="B149" s="7" t="s">
        <v>521</v>
      </c>
      <c r="C149" s="7" t="s">
        <v>522</v>
      </c>
      <c r="D149" s="7" t="s">
        <v>520</v>
      </c>
      <c r="E149" s="7" t="s">
        <v>16</v>
      </c>
      <c r="F149" s="7" t="s">
        <v>201</v>
      </c>
    </row>
    <row r="150">
      <c r="A150" s="6" t="s">
        <v>365</v>
      </c>
      <c r="B150" s="7" t="s">
        <v>523</v>
      </c>
      <c r="C150" s="7" t="s">
        <v>524</v>
      </c>
      <c r="D150" s="7" t="s">
        <v>365</v>
      </c>
      <c r="E150" s="7" t="s">
        <v>28</v>
      </c>
      <c r="F150" s="7" t="s">
        <v>48</v>
      </c>
    </row>
    <row r="151">
      <c r="A151" s="6" t="s">
        <v>525</v>
      </c>
      <c r="B151" s="7" t="s">
        <v>526</v>
      </c>
      <c r="C151" s="7" t="s">
        <v>527</v>
      </c>
      <c r="D151" s="7" t="s">
        <v>525</v>
      </c>
      <c r="E151" s="7" t="s">
        <v>78</v>
      </c>
      <c r="F151" s="7" t="s">
        <v>79</v>
      </c>
    </row>
    <row r="152">
      <c r="A152" s="6" t="s">
        <v>528</v>
      </c>
      <c r="B152" s="7" t="s">
        <v>529</v>
      </c>
      <c r="C152" s="7" t="s">
        <v>530</v>
      </c>
      <c r="D152" s="7" t="s">
        <v>528</v>
      </c>
      <c r="E152" s="7" t="s">
        <v>57</v>
      </c>
      <c r="F152" s="7" t="s">
        <v>58</v>
      </c>
    </row>
    <row r="153">
      <c r="A153" s="6" t="s">
        <v>531</v>
      </c>
      <c r="B153" s="7" t="s">
        <v>532</v>
      </c>
      <c r="C153" s="7" t="s">
        <v>533</v>
      </c>
      <c r="D153" s="7" t="s">
        <v>531</v>
      </c>
      <c r="E153" s="7" t="s">
        <v>57</v>
      </c>
      <c r="F153" s="7" t="s">
        <v>73</v>
      </c>
    </row>
    <row r="154">
      <c r="A154" s="6" t="s">
        <v>534</v>
      </c>
      <c r="B154" s="7" t="s">
        <v>535</v>
      </c>
      <c r="C154" s="7" t="s">
        <v>536</v>
      </c>
      <c r="D154" s="7" t="s">
        <v>534</v>
      </c>
      <c r="E154" s="7" t="s">
        <v>16</v>
      </c>
      <c r="F154" s="7" t="s">
        <v>164</v>
      </c>
    </row>
    <row r="155">
      <c r="A155" s="6" t="s">
        <v>537</v>
      </c>
      <c r="B155" s="7" t="s">
        <v>538</v>
      </c>
      <c r="C155" s="7" t="s">
        <v>539</v>
      </c>
      <c r="D155" s="7" t="s">
        <v>537</v>
      </c>
      <c r="E155" s="7" t="s">
        <v>57</v>
      </c>
      <c r="F155" s="7" t="s">
        <v>73</v>
      </c>
    </row>
    <row r="156">
      <c r="A156" s="6" t="s">
        <v>540</v>
      </c>
      <c r="B156" s="7" t="s">
        <v>541</v>
      </c>
      <c r="C156" s="7" t="s">
        <v>542</v>
      </c>
      <c r="D156" s="7" t="s">
        <v>540</v>
      </c>
      <c r="E156" s="7" t="s">
        <v>65</v>
      </c>
      <c r="F156" s="7" t="s">
        <v>344</v>
      </c>
    </row>
    <row r="157">
      <c r="A157" s="6" t="s">
        <v>543</v>
      </c>
      <c r="B157" s="7" t="s">
        <v>544</v>
      </c>
      <c r="C157" s="7" t="s">
        <v>545</v>
      </c>
      <c r="D157" s="7" t="s">
        <v>543</v>
      </c>
      <c r="E157" s="7" t="s">
        <v>16</v>
      </c>
      <c r="F157" s="7" t="s">
        <v>19</v>
      </c>
    </row>
    <row r="158">
      <c r="A158" s="6" t="s">
        <v>546</v>
      </c>
      <c r="B158" s="7" t="s">
        <v>547</v>
      </c>
      <c r="C158" s="7" t="s">
        <v>548</v>
      </c>
      <c r="D158" s="7" t="s">
        <v>546</v>
      </c>
      <c r="E158" s="7" t="s">
        <v>28</v>
      </c>
      <c r="F158" s="7" t="s">
        <v>104</v>
      </c>
    </row>
    <row r="159">
      <c r="A159" s="6" t="s">
        <v>549</v>
      </c>
      <c r="B159" s="7" t="s">
        <v>550</v>
      </c>
      <c r="C159" s="7" t="s">
        <v>551</v>
      </c>
      <c r="D159" s="7" t="s">
        <v>549</v>
      </c>
      <c r="E159" s="7" t="s">
        <v>65</v>
      </c>
      <c r="F159" s="7" t="s">
        <v>292</v>
      </c>
    </row>
    <row r="160">
      <c r="A160" s="6" t="s">
        <v>552</v>
      </c>
      <c r="B160" s="7" t="s">
        <v>553</v>
      </c>
      <c r="C160" s="7" t="s">
        <v>554</v>
      </c>
      <c r="D160" s="7" t="s">
        <v>552</v>
      </c>
      <c r="E160" s="7" t="s">
        <v>65</v>
      </c>
      <c r="F160" s="7" t="s">
        <v>100</v>
      </c>
    </row>
    <row r="161">
      <c r="A161" s="6" t="s">
        <v>555</v>
      </c>
      <c r="B161" s="7" t="s">
        <v>556</v>
      </c>
      <c r="C161" s="7" t="s">
        <v>557</v>
      </c>
      <c r="D161" s="7" t="s">
        <v>555</v>
      </c>
      <c r="E161" s="7" t="s">
        <v>78</v>
      </c>
      <c r="F161" s="7" t="s">
        <v>79</v>
      </c>
    </row>
    <row r="162">
      <c r="A162" s="6" t="s">
        <v>558</v>
      </c>
      <c r="B162" s="7" t="s">
        <v>559</v>
      </c>
      <c r="C162" s="7" t="s">
        <v>560</v>
      </c>
      <c r="D162" s="7" t="s">
        <v>558</v>
      </c>
      <c r="E162" s="7" t="s">
        <v>57</v>
      </c>
      <c r="F162" s="7" t="s">
        <v>73</v>
      </c>
    </row>
    <row r="163">
      <c r="A163" s="6" t="s">
        <v>561</v>
      </c>
      <c r="B163" s="7" t="s">
        <v>562</v>
      </c>
      <c r="C163" s="7" t="s">
        <v>563</v>
      </c>
      <c r="D163" s="7" t="s">
        <v>561</v>
      </c>
      <c r="E163" s="7" t="s">
        <v>57</v>
      </c>
      <c r="F163" s="7" t="s">
        <v>73</v>
      </c>
    </row>
    <row r="164">
      <c r="A164" s="6" t="s">
        <v>564</v>
      </c>
      <c r="B164" s="7" t="s">
        <v>565</v>
      </c>
      <c r="C164" s="7" t="s">
        <v>566</v>
      </c>
      <c r="D164" s="7" t="s">
        <v>564</v>
      </c>
      <c r="E164" s="7" t="s">
        <v>65</v>
      </c>
      <c r="F164" s="7" t="s">
        <v>66</v>
      </c>
    </row>
    <row r="165">
      <c r="A165" s="6" t="s">
        <v>567</v>
      </c>
      <c r="B165" s="7" t="s">
        <v>568</v>
      </c>
      <c r="C165" s="7" t="s">
        <v>569</v>
      </c>
      <c r="D165" s="7" t="s">
        <v>567</v>
      </c>
      <c r="E165" s="7" t="s">
        <v>65</v>
      </c>
      <c r="F165" s="7" t="s">
        <v>100</v>
      </c>
    </row>
    <row r="166">
      <c r="A166" s="6" t="s">
        <v>570</v>
      </c>
      <c r="B166" s="7" t="s">
        <v>571</v>
      </c>
      <c r="C166" s="7" t="s">
        <v>572</v>
      </c>
      <c r="D166" s="7" t="s">
        <v>570</v>
      </c>
      <c r="E166" s="7" t="s">
        <v>28</v>
      </c>
      <c r="F166" s="7" t="s">
        <v>48</v>
      </c>
    </row>
    <row r="167">
      <c r="A167" s="6" t="s">
        <v>573</v>
      </c>
      <c r="B167" s="7" t="s">
        <v>574</v>
      </c>
      <c r="C167" s="7" t="s">
        <v>575</v>
      </c>
      <c r="D167" s="7" t="s">
        <v>573</v>
      </c>
      <c r="E167" s="7" t="s">
        <v>65</v>
      </c>
      <c r="F167" s="7" t="s">
        <v>344</v>
      </c>
    </row>
    <row r="168">
      <c r="A168" s="6" t="s">
        <v>233</v>
      </c>
      <c r="B168" s="7" t="s">
        <v>576</v>
      </c>
      <c r="C168" s="7" t="s">
        <v>577</v>
      </c>
      <c r="D168" s="7" t="s">
        <v>233</v>
      </c>
      <c r="E168" s="7" t="s">
        <v>28</v>
      </c>
      <c r="F168" s="7" t="s">
        <v>29</v>
      </c>
    </row>
    <row r="169">
      <c r="A169" s="6" t="s">
        <v>578</v>
      </c>
      <c r="B169" s="7" t="s">
        <v>579</v>
      </c>
      <c r="C169" s="7" t="s">
        <v>580</v>
      </c>
      <c r="D169" s="7" t="s">
        <v>578</v>
      </c>
      <c r="E169" s="7" t="s">
        <v>16</v>
      </c>
      <c r="F169" s="7" t="s">
        <v>93</v>
      </c>
    </row>
    <row r="170">
      <c r="A170" s="6" t="s">
        <v>581</v>
      </c>
      <c r="B170" s="7" t="s">
        <v>582</v>
      </c>
      <c r="C170" s="7" t="s">
        <v>583</v>
      </c>
      <c r="D170" s="7" t="s">
        <v>581</v>
      </c>
      <c r="E170" s="7" t="s">
        <v>16</v>
      </c>
      <c r="F170" s="7" t="s">
        <v>19</v>
      </c>
    </row>
    <row r="171">
      <c r="A171" s="6" t="s">
        <v>584</v>
      </c>
      <c r="B171" s="7" t="s">
        <v>585</v>
      </c>
      <c r="C171" s="7" t="s">
        <v>586</v>
      </c>
      <c r="D171" s="7" t="s">
        <v>584</v>
      </c>
      <c r="E171" s="7" t="s">
        <v>65</v>
      </c>
      <c r="F171" s="7" t="s">
        <v>344</v>
      </c>
    </row>
    <row r="172">
      <c r="A172" s="6" t="s">
        <v>587</v>
      </c>
      <c r="B172" s="7" t="s">
        <v>588</v>
      </c>
      <c r="C172" s="7" t="s">
        <v>589</v>
      </c>
      <c r="D172" s="7" t="s">
        <v>587</v>
      </c>
      <c r="E172" s="7" t="s">
        <v>16</v>
      </c>
      <c r="F172" s="7" t="s">
        <v>93</v>
      </c>
    </row>
    <row r="173">
      <c r="A173" s="6" t="s">
        <v>590</v>
      </c>
      <c r="B173" s="7" t="s">
        <v>591</v>
      </c>
      <c r="C173" s="7" t="s">
        <v>592</v>
      </c>
      <c r="D173" s="7" t="s">
        <v>590</v>
      </c>
      <c r="E173" s="7" t="s">
        <v>78</v>
      </c>
      <c r="F173" s="7" t="s">
        <v>79</v>
      </c>
    </row>
    <row r="174">
      <c r="A174" s="6" t="s">
        <v>593</v>
      </c>
      <c r="B174" s="7" t="s">
        <v>594</v>
      </c>
      <c r="C174" s="7" t="s">
        <v>595</v>
      </c>
      <c r="D174" s="7" t="s">
        <v>593</v>
      </c>
      <c r="E174" s="7" t="s">
        <v>65</v>
      </c>
      <c r="F174" s="7" t="s">
        <v>292</v>
      </c>
    </row>
    <row r="175">
      <c r="A175" s="6" t="s">
        <v>596</v>
      </c>
      <c r="B175" s="7" t="s">
        <v>597</v>
      </c>
      <c r="C175" s="7" t="s">
        <v>598</v>
      </c>
      <c r="D175" s="7" t="s">
        <v>596</v>
      </c>
      <c r="E175" s="7" t="s">
        <v>78</v>
      </c>
      <c r="F175" s="7" t="s">
        <v>79</v>
      </c>
    </row>
    <row r="176">
      <c r="A176" s="6" t="s">
        <v>599</v>
      </c>
      <c r="B176" s="7" t="s">
        <v>600</v>
      </c>
      <c r="C176" s="7" t="s">
        <v>601</v>
      </c>
      <c r="D176" s="7" t="s">
        <v>599</v>
      </c>
      <c r="E176" s="7" t="s">
        <v>78</v>
      </c>
      <c r="F176" s="7" t="s">
        <v>79</v>
      </c>
    </row>
    <row r="177">
      <c r="A177" s="6" t="s">
        <v>602</v>
      </c>
      <c r="B177" s="7" t="s">
        <v>603</v>
      </c>
      <c r="C177" s="7" t="s">
        <v>604</v>
      </c>
      <c r="D177" s="7" t="s">
        <v>602</v>
      </c>
      <c r="E177" s="7" t="s">
        <v>16</v>
      </c>
      <c r="F177" s="7" t="s">
        <v>164</v>
      </c>
    </row>
    <row r="178">
      <c r="A178" s="6" t="s">
        <v>605</v>
      </c>
      <c r="B178" s="7" t="s">
        <v>606</v>
      </c>
      <c r="C178" s="7" t="s">
        <v>607</v>
      </c>
      <c r="D178" s="7" t="s">
        <v>605</v>
      </c>
      <c r="E178" s="7" t="s">
        <v>65</v>
      </c>
      <c r="F178" s="7" t="s">
        <v>66</v>
      </c>
    </row>
    <row r="179">
      <c r="A179" s="6" t="s">
        <v>608</v>
      </c>
      <c r="B179" s="7" t="s">
        <v>609</v>
      </c>
      <c r="C179" s="7" t="s">
        <v>610</v>
      </c>
      <c r="D179" s="7" t="s">
        <v>608</v>
      </c>
      <c r="E179" s="7" t="s">
        <v>28</v>
      </c>
      <c r="F179" s="7" t="s">
        <v>123</v>
      </c>
    </row>
    <row r="180">
      <c r="A180" s="6" t="s">
        <v>611</v>
      </c>
      <c r="B180" s="7" t="s">
        <v>612</v>
      </c>
      <c r="C180" s="7" t="s">
        <v>613</v>
      </c>
      <c r="D180" s="7" t="s">
        <v>611</v>
      </c>
      <c r="E180" s="7" t="s">
        <v>28</v>
      </c>
      <c r="F180" s="7" t="s">
        <v>48</v>
      </c>
    </row>
    <row r="181">
      <c r="A181" s="6" t="s">
        <v>614</v>
      </c>
      <c r="B181" s="7" t="s">
        <v>615</v>
      </c>
      <c r="C181" s="7" t="s">
        <v>616</v>
      </c>
      <c r="D181" s="7" t="s">
        <v>614</v>
      </c>
      <c r="E181" s="7" t="s">
        <v>78</v>
      </c>
      <c r="F181" s="7" t="s">
        <v>79</v>
      </c>
    </row>
    <row r="182">
      <c r="A182" s="6" t="s">
        <v>617</v>
      </c>
      <c r="B182" s="7" t="s">
        <v>618</v>
      </c>
      <c r="C182" s="7" t="s">
        <v>619</v>
      </c>
      <c r="D182" s="7" t="s">
        <v>617</v>
      </c>
      <c r="E182" s="7" t="s">
        <v>16</v>
      </c>
      <c r="F182" s="7" t="s">
        <v>93</v>
      </c>
    </row>
    <row r="183">
      <c r="A183" s="6" t="s">
        <v>620</v>
      </c>
      <c r="B183" s="7" t="s">
        <v>621</v>
      </c>
      <c r="C183" s="7" t="s">
        <v>622</v>
      </c>
      <c r="D183" s="7" t="s">
        <v>620</v>
      </c>
      <c r="E183" s="7" t="s">
        <v>57</v>
      </c>
      <c r="F183" s="7" t="s">
        <v>73</v>
      </c>
    </row>
    <row r="184">
      <c r="A184" s="6" t="s">
        <v>623</v>
      </c>
      <c r="B184" s="7" t="s">
        <v>624</v>
      </c>
      <c r="C184" s="7" t="s">
        <v>625</v>
      </c>
      <c r="D184" s="7" t="s">
        <v>623</v>
      </c>
      <c r="E184" s="7" t="s">
        <v>28</v>
      </c>
      <c r="F184" s="7" t="s">
        <v>123</v>
      </c>
    </row>
    <row r="185">
      <c r="A185" s="6" t="s">
        <v>626</v>
      </c>
      <c r="B185" s="7" t="s">
        <v>627</v>
      </c>
      <c r="C185" s="7" t="s">
        <v>628</v>
      </c>
      <c r="D185" s="7" t="s">
        <v>626</v>
      </c>
      <c r="E185" s="7" t="s">
        <v>28</v>
      </c>
      <c r="F185" s="7" t="s">
        <v>123</v>
      </c>
    </row>
    <row r="186">
      <c r="A186" s="6" t="s">
        <v>629</v>
      </c>
      <c r="B186" s="7" t="s">
        <v>630</v>
      </c>
      <c r="C186" s="7" t="s">
        <v>631</v>
      </c>
      <c r="D186" s="7" t="s">
        <v>629</v>
      </c>
      <c r="E186" s="7" t="s">
        <v>57</v>
      </c>
      <c r="F186" s="7" t="s">
        <v>73</v>
      </c>
    </row>
    <row r="187">
      <c r="A187" s="6" t="s">
        <v>632</v>
      </c>
      <c r="B187" s="7" t="s">
        <v>633</v>
      </c>
      <c r="C187" s="7" t="s">
        <v>634</v>
      </c>
      <c r="D187" s="7" t="s">
        <v>632</v>
      </c>
      <c r="E187" s="7" t="s">
        <v>78</v>
      </c>
      <c r="F187" s="7" t="s">
        <v>79</v>
      </c>
    </row>
    <row r="188">
      <c r="A188" s="6" t="s">
        <v>635</v>
      </c>
      <c r="B188" s="7" t="s">
        <v>636</v>
      </c>
      <c r="C188" s="7" t="s">
        <v>637</v>
      </c>
      <c r="D188" s="7" t="s">
        <v>635</v>
      </c>
      <c r="E188" s="7" t="s">
        <v>57</v>
      </c>
      <c r="F188" s="7" t="s">
        <v>73</v>
      </c>
    </row>
    <row r="189">
      <c r="A189" s="6" t="s">
        <v>638</v>
      </c>
      <c r="B189" s="7" t="s">
        <v>639</v>
      </c>
      <c r="C189" s="7" t="s">
        <v>640</v>
      </c>
      <c r="D189" s="7" t="s">
        <v>638</v>
      </c>
      <c r="E189" s="7" t="s">
        <v>78</v>
      </c>
      <c r="F189" s="7" t="s">
        <v>79</v>
      </c>
    </row>
    <row r="190">
      <c r="A190" s="6" t="s">
        <v>641</v>
      </c>
      <c r="B190" s="7" t="s">
        <v>642</v>
      </c>
      <c r="C190" s="7" t="s">
        <v>643</v>
      </c>
      <c r="D190" s="7" t="s">
        <v>641</v>
      </c>
      <c r="E190" s="7" t="s">
        <v>78</v>
      </c>
      <c r="F190" s="7" t="s">
        <v>79</v>
      </c>
    </row>
    <row r="191">
      <c r="A191" s="6" t="s">
        <v>644</v>
      </c>
      <c r="B191" s="7" t="s">
        <v>645</v>
      </c>
      <c r="C191" s="7" t="s">
        <v>646</v>
      </c>
      <c r="D191" s="7" t="s">
        <v>644</v>
      </c>
      <c r="E191" s="7" t="s">
        <v>78</v>
      </c>
      <c r="F191" s="7" t="s">
        <v>79</v>
      </c>
    </row>
    <row r="192">
      <c r="A192" s="6" t="s">
        <v>647</v>
      </c>
      <c r="B192" s="7" t="s">
        <v>648</v>
      </c>
      <c r="C192" s="7" t="s">
        <v>649</v>
      </c>
      <c r="D192" s="7" t="s">
        <v>647</v>
      </c>
      <c r="E192" s="7" t="s">
        <v>78</v>
      </c>
      <c r="F192" s="7" t="s">
        <v>136</v>
      </c>
    </row>
    <row r="193">
      <c r="A193" s="6" t="s">
        <v>650</v>
      </c>
      <c r="B193" s="7" t="s">
        <v>651</v>
      </c>
      <c r="C193" s="7" t="s">
        <v>652</v>
      </c>
      <c r="D193" s="7" t="s">
        <v>650</v>
      </c>
      <c r="E193" s="7" t="s">
        <v>78</v>
      </c>
      <c r="F193" s="7" t="s">
        <v>79</v>
      </c>
    </row>
    <row r="194">
      <c r="A194" s="6" t="s">
        <v>653</v>
      </c>
      <c r="B194" s="7" t="s">
        <v>654</v>
      </c>
      <c r="C194" s="7" t="s">
        <v>655</v>
      </c>
      <c r="D194" s="7" t="s">
        <v>653</v>
      </c>
      <c r="E194" s="7" t="s">
        <v>65</v>
      </c>
      <c r="F194" s="7" t="s">
        <v>66</v>
      </c>
    </row>
    <row r="195">
      <c r="A195" s="6" t="s">
        <v>656</v>
      </c>
      <c r="B195" s="7" t="s">
        <v>657</v>
      </c>
      <c r="C195" s="7" t="s">
        <v>658</v>
      </c>
      <c r="D195" s="7" t="s">
        <v>656</v>
      </c>
      <c r="E195" s="7" t="s">
        <v>28</v>
      </c>
      <c r="F195" s="7" t="s">
        <v>48</v>
      </c>
    </row>
    <row r="196">
      <c r="A196" s="6" t="s">
        <v>659</v>
      </c>
      <c r="B196" s="7" t="s">
        <v>660</v>
      </c>
      <c r="C196" s="7" t="s">
        <v>661</v>
      </c>
      <c r="D196" s="7" t="s">
        <v>659</v>
      </c>
      <c r="E196" s="7" t="s">
        <v>57</v>
      </c>
      <c r="F196" s="7" t="s">
        <v>73</v>
      </c>
    </row>
    <row r="197">
      <c r="A197" s="6" t="s">
        <v>662</v>
      </c>
      <c r="B197" s="7" t="s">
        <v>663</v>
      </c>
      <c r="C197" s="7" t="s">
        <v>664</v>
      </c>
      <c r="D197" s="7" t="s">
        <v>662</v>
      </c>
      <c r="E197" s="7" t="s">
        <v>16</v>
      </c>
      <c r="F197" s="7" t="s">
        <v>93</v>
      </c>
    </row>
    <row r="198">
      <c r="A198" s="6" t="s">
        <v>665</v>
      </c>
      <c r="B198" s="7" t="s">
        <v>666</v>
      </c>
      <c r="C198" s="7" t="s">
        <v>667</v>
      </c>
      <c r="D198" s="7" t="s">
        <v>665</v>
      </c>
      <c r="E198" s="7" t="s">
        <v>57</v>
      </c>
      <c r="F198" s="7" t="s">
        <v>73</v>
      </c>
    </row>
    <row r="199">
      <c r="A199" s="6" t="s">
        <v>306</v>
      </c>
      <c r="B199" s="7" t="s">
        <v>668</v>
      </c>
      <c r="C199" s="7" t="s">
        <v>669</v>
      </c>
      <c r="D199" s="7" t="s">
        <v>306</v>
      </c>
      <c r="E199" s="7" t="s">
        <v>28</v>
      </c>
      <c r="F199" s="7" t="s">
        <v>48</v>
      </c>
    </row>
    <row r="200">
      <c r="A200" s="6" t="s">
        <v>670</v>
      </c>
      <c r="B200" s="7" t="s">
        <v>671</v>
      </c>
      <c r="C200" s="7" t="s">
        <v>672</v>
      </c>
      <c r="D200" s="7" t="s">
        <v>670</v>
      </c>
      <c r="E200" s="7" t="s">
        <v>57</v>
      </c>
      <c r="F200" s="7" t="s">
        <v>73</v>
      </c>
    </row>
    <row r="201">
      <c r="A201" s="6" t="s">
        <v>673</v>
      </c>
      <c r="B201" s="7" t="s">
        <v>674</v>
      </c>
      <c r="C201" s="7" t="s">
        <v>675</v>
      </c>
      <c r="D201" s="7" t="s">
        <v>673</v>
      </c>
      <c r="E201" s="7" t="s">
        <v>57</v>
      </c>
      <c r="F201" s="7" t="s">
        <v>73</v>
      </c>
    </row>
    <row r="202">
      <c r="A202" s="6" t="s">
        <v>676</v>
      </c>
      <c r="B202" s="7" t="s">
        <v>677</v>
      </c>
      <c r="C202" s="7" t="s">
        <v>678</v>
      </c>
      <c r="D202" s="7" t="s">
        <v>676</v>
      </c>
      <c r="E202" s="7" t="s">
        <v>16</v>
      </c>
      <c r="F202" s="7" t="s">
        <v>164</v>
      </c>
    </row>
    <row r="203">
      <c r="A203" s="6" t="s">
        <v>679</v>
      </c>
      <c r="B203" s="7" t="s">
        <v>680</v>
      </c>
      <c r="C203" s="7" t="s">
        <v>682</v>
      </c>
      <c r="D203" s="7" t="s">
        <v>679</v>
      </c>
      <c r="E203" s="7" t="s">
        <v>78</v>
      </c>
      <c r="F203" s="7" t="s">
        <v>79</v>
      </c>
    </row>
    <row r="204">
      <c r="A204" s="6" t="s">
        <v>435</v>
      </c>
      <c r="B204" s="7" t="s">
        <v>683</v>
      </c>
      <c r="C204" s="7" t="s">
        <v>684</v>
      </c>
      <c r="D204" s="7" t="s">
        <v>435</v>
      </c>
      <c r="E204" s="7" t="s">
        <v>28</v>
      </c>
      <c r="F204" s="7" t="s">
        <v>123</v>
      </c>
    </row>
    <row r="205">
      <c r="A205" s="6" t="s">
        <v>685</v>
      </c>
      <c r="B205" s="7" t="s">
        <v>686</v>
      </c>
      <c r="C205" s="7" t="s">
        <v>687</v>
      </c>
      <c r="D205" s="7" t="s">
        <v>685</v>
      </c>
      <c r="E205" s="7" t="s">
        <v>28</v>
      </c>
      <c r="F205" s="7" t="s">
        <v>48</v>
      </c>
    </row>
    <row r="206">
      <c r="A206" s="6" t="s">
        <v>688</v>
      </c>
      <c r="B206" s="7" t="s">
        <v>689</v>
      </c>
      <c r="C206" s="7" t="s">
        <v>690</v>
      </c>
      <c r="D206" s="7" t="s">
        <v>688</v>
      </c>
      <c r="E206" s="7" t="s">
        <v>65</v>
      </c>
      <c r="F206" s="7" t="s">
        <v>292</v>
      </c>
    </row>
    <row r="207">
      <c r="A207" s="6" t="s">
        <v>691</v>
      </c>
      <c r="B207" s="7" t="s">
        <v>692</v>
      </c>
      <c r="C207" s="7" t="s">
        <v>693</v>
      </c>
      <c r="D207" s="7" t="s">
        <v>691</v>
      </c>
      <c r="E207" s="7" t="s">
        <v>57</v>
      </c>
      <c r="F207" s="7" t="s">
        <v>73</v>
      </c>
    </row>
    <row r="208">
      <c r="A208" s="6" t="s">
        <v>694</v>
      </c>
      <c r="B208" s="7" t="s">
        <v>695</v>
      </c>
      <c r="C208" s="7" t="s">
        <v>696</v>
      </c>
      <c r="D208" s="7" t="s">
        <v>694</v>
      </c>
      <c r="E208" s="7" t="s">
        <v>57</v>
      </c>
      <c r="F208" s="7" t="s">
        <v>73</v>
      </c>
    </row>
    <row r="209">
      <c r="A209" s="6" t="s">
        <v>697</v>
      </c>
      <c r="B209" s="7" t="s">
        <v>698</v>
      </c>
      <c r="C209" s="7" t="s">
        <v>699</v>
      </c>
      <c r="D209" s="7" t="s">
        <v>697</v>
      </c>
      <c r="E209" s="7" t="s">
        <v>78</v>
      </c>
      <c r="F209" s="7" t="s">
        <v>79</v>
      </c>
    </row>
    <row r="210">
      <c r="A210" s="6" t="s">
        <v>700</v>
      </c>
      <c r="B210" s="7" t="s">
        <v>701</v>
      </c>
      <c r="C210" s="7" t="s">
        <v>702</v>
      </c>
      <c r="D210" s="7" t="s">
        <v>700</v>
      </c>
      <c r="E210" s="7" t="s">
        <v>57</v>
      </c>
      <c r="F210" s="7" t="s">
        <v>73</v>
      </c>
    </row>
    <row r="211">
      <c r="A211" s="6" t="s">
        <v>517</v>
      </c>
      <c r="B211" s="7" t="s">
        <v>703</v>
      </c>
      <c r="C211" s="7" t="s">
        <v>704</v>
      </c>
      <c r="D211" s="7" t="s">
        <v>517</v>
      </c>
      <c r="E211" s="7" t="s">
        <v>28</v>
      </c>
      <c r="F211" s="7" t="s">
        <v>48</v>
      </c>
    </row>
    <row r="212">
      <c r="A212" s="6" t="s">
        <v>705</v>
      </c>
      <c r="B212" s="7" t="s">
        <v>706</v>
      </c>
      <c r="C212" s="7" t="s">
        <v>707</v>
      </c>
      <c r="D212" s="7" t="s">
        <v>705</v>
      </c>
      <c r="E212" s="7" t="s">
        <v>16</v>
      </c>
      <c r="F212" s="7" t="s">
        <v>19</v>
      </c>
    </row>
    <row r="213">
      <c r="A213" s="6" t="s">
        <v>708</v>
      </c>
      <c r="B213" s="7" t="s">
        <v>709</v>
      </c>
      <c r="C213" s="7" t="s">
        <v>710</v>
      </c>
      <c r="D213" s="7" t="s">
        <v>708</v>
      </c>
      <c r="E213" s="7" t="s">
        <v>57</v>
      </c>
      <c r="F213" s="7" t="s">
        <v>58</v>
      </c>
    </row>
    <row r="214">
      <c r="A214" s="6" t="s">
        <v>711</v>
      </c>
      <c r="B214" s="7" t="s">
        <v>712</v>
      </c>
      <c r="C214" s="7" t="s">
        <v>713</v>
      </c>
      <c r="D214" s="7" t="s">
        <v>711</v>
      </c>
      <c r="E214" s="7" t="s">
        <v>78</v>
      </c>
      <c r="F214" s="7" t="s">
        <v>79</v>
      </c>
    </row>
    <row r="215">
      <c r="A215" s="6" t="s">
        <v>714</v>
      </c>
      <c r="B215" s="7" t="s">
        <v>715</v>
      </c>
      <c r="C215" s="7" t="s">
        <v>716</v>
      </c>
      <c r="D215" s="7" t="s">
        <v>714</v>
      </c>
      <c r="E215" s="7" t="s">
        <v>28</v>
      </c>
      <c r="F215" s="7" t="s">
        <v>29</v>
      </c>
    </row>
    <row r="216">
      <c r="A216" s="6" t="s">
        <v>717</v>
      </c>
      <c r="B216" s="7" t="s">
        <v>718</v>
      </c>
      <c r="C216" s="7" t="s">
        <v>719</v>
      </c>
      <c r="D216" s="7" t="s">
        <v>717</v>
      </c>
      <c r="E216" s="7" t="s">
        <v>28</v>
      </c>
      <c r="F216" s="7" t="s">
        <v>29</v>
      </c>
    </row>
    <row r="217">
      <c r="A217" s="6" t="s">
        <v>720</v>
      </c>
      <c r="B217" s="7" t="s">
        <v>721</v>
      </c>
      <c r="C217" s="7" t="s">
        <v>722</v>
      </c>
      <c r="D217" s="7" t="s">
        <v>720</v>
      </c>
      <c r="E217" s="7" t="s">
        <v>28</v>
      </c>
      <c r="F217" s="7" t="s">
        <v>104</v>
      </c>
    </row>
    <row r="218">
      <c r="A218" s="6" t="s">
        <v>723</v>
      </c>
      <c r="B218" s="7" t="s">
        <v>724</v>
      </c>
      <c r="C218" s="7" t="s">
        <v>725</v>
      </c>
      <c r="D218" s="7" t="s">
        <v>723</v>
      </c>
      <c r="E218" s="7" t="s">
        <v>16</v>
      </c>
      <c r="F218" s="7" t="s">
        <v>93</v>
      </c>
    </row>
    <row r="219">
      <c r="A219" s="6" t="s">
        <v>726</v>
      </c>
      <c r="B219" s="7" t="s">
        <v>727</v>
      </c>
      <c r="C219" s="7" t="s">
        <v>728</v>
      </c>
      <c r="D219" s="7" t="s">
        <v>726</v>
      </c>
      <c r="E219" s="7" t="s">
        <v>16</v>
      </c>
      <c r="F219" s="7" t="s">
        <v>201</v>
      </c>
    </row>
    <row r="220">
      <c r="A220" s="6" t="s">
        <v>729</v>
      </c>
      <c r="B220" s="7" t="s">
        <v>730</v>
      </c>
      <c r="C220" s="7" t="s">
        <v>731</v>
      </c>
      <c r="D220" s="7" t="s">
        <v>729</v>
      </c>
      <c r="E220" s="7" t="s">
        <v>16</v>
      </c>
      <c r="F220" s="7" t="s">
        <v>424</v>
      </c>
    </row>
    <row r="221">
      <c r="A221" s="6" t="s">
        <v>732</v>
      </c>
      <c r="B221" s="7" t="s">
        <v>733</v>
      </c>
      <c r="C221" s="7" t="s">
        <v>734</v>
      </c>
      <c r="D221" s="7" t="s">
        <v>732</v>
      </c>
      <c r="E221" s="7" t="s">
        <v>57</v>
      </c>
      <c r="F221" s="7" t="s">
        <v>73</v>
      </c>
    </row>
    <row r="222">
      <c r="A222" s="6" t="s">
        <v>735</v>
      </c>
      <c r="B222" s="7" t="s">
        <v>736</v>
      </c>
      <c r="C222" s="7" t="s">
        <v>737</v>
      </c>
      <c r="D222" s="7" t="s">
        <v>735</v>
      </c>
      <c r="E222" s="7" t="s">
        <v>16</v>
      </c>
      <c r="F222" s="7" t="s">
        <v>164</v>
      </c>
    </row>
    <row r="223">
      <c r="A223" s="6" t="s">
        <v>738</v>
      </c>
      <c r="B223" s="7" t="s">
        <v>739</v>
      </c>
      <c r="C223" s="7" t="s">
        <v>740</v>
      </c>
      <c r="D223" s="7" t="s">
        <v>738</v>
      </c>
      <c r="E223" s="7" t="s">
        <v>16</v>
      </c>
      <c r="F223" s="7" t="s">
        <v>164</v>
      </c>
    </row>
    <row r="224">
      <c r="A224" s="6" t="s">
        <v>741</v>
      </c>
      <c r="B224" s="7" t="s">
        <v>742</v>
      </c>
      <c r="C224" s="7" t="s">
        <v>743</v>
      </c>
      <c r="D224" s="7" t="s">
        <v>741</v>
      </c>
      <c r="E224" s="7" t="s">
        <v>57</v>
      </c>
      <c r="F224" s="7" t="s">
        <v>73</v>
      </c>
    </row>
    <row r="225">
      <c r="A225" s="6" t="s">
        <v>744</v>
      </c>
      <c r="B225" s="7" t="s">
        <v>745</v>
      </c>
      <c r="C225" s="7" t="s">
        <v>746</v>
      </c>
      <c r="D225" s="7" t="s">
        <v>744</v>
      </c>
      <c r="E225" s="7" t="s">
        <v>65</v>
      </c>
      <c r="F225" s="7" t="s">
        <v>66</v>
      </c>
    </row>
    <row r="226">
      <c r="A226" s="6" t="s">
        <v>747</v>
      </c>
      <c r="B226" s="7" t="s">
        <v>748</v>
      </c>
      <c r="C226" s="7" t="s">
        <v>749</v>
      </c>
      <c r="D226" s="7" t="s">
        <v>747</v>
      </c>
      <c r="E226" s="7" t="s">
        <v>65</v>
      </c>
      <c r="F226" s="7" t="s">
        <v>66</v>
      </c>
    </row>
    <row r="227">
      <c r="A227" s="6" t="s">
        <v>750</v>
      </c>
      <c r="B227" s="7" t="s">
        <v>751</v>
      </c>
      <c r="C227" s="7" t="s">
        <v>752</v>
      </c>
      <c r="D227" s="7" t="s">
        <v>750</v>
      </c>
      <c r="E227" s="7" t="s">
        <v>78</v>
      </c>
      <c r="F227" s="7" t="s">
        <v>79</v>
      </c>
    </row>
    <row r="228">
      <c r="A228" s="6" t="s">
        <v>753</v>
      </c>
      <c r="B228" s="7" t="s">
        <v>754</v>
      </c>
      <c r="C228" s="7" t="s">
        <v>755</v>
      </c>
      <c r="D228" s="7" t="s">
        <v>753</v>
      </c>
      <c r="E228" s="7" t="s">
        <v>57</v>
      </c>
      <c r="F228" s="7" t="s">
        <v>58</v>
      </c>
    </row>
    <row r="229">
      <c r="A229" s="6" t="s">
        <v>756</v>
      </c>
      <c r="B229" s="7" t="s">
        <v>757</v>
      </c>
      <c r="C229" s="7" t="s">
        <v>758</v>
      </c>
      <c r="D229" s="7" t="s">
        <v>756</v>
      </c>
      <c r="E229" s="7" t="s">
        <v>16</v>
      </c>
      <c r="F229" s="7" t="s">
        <v>93</v>
      </c>
    </row>
    <row r="230">
      <c r="A230" s="6" t="s">
        <v>759</v>
      </c>
      <c r="B230" s="7" t="s">
        <v>760</v>
      </c>
      <c r="C230" s="7" t="s">
        <v>761</v>
      </c>
      <c r="D230" s="7" t="s">
        <v>759</v>
      </c>
      <c r="E230" s="7" t="s">
        <v>16</v>
      </c>
      <c r="F230" s="7" t="s">
        <v>424</v>
      </c>
    </row>
    <row r="231">
      <c r="A231" s="6" t="s">
        <v>762</v>
      </c>
      <c r="B231" s="7" t="s">
        <v>763</v>
      </c>
      <c r="C231" s="7" t="s">
        <v>764</v>
      </c>
      <c r="D231" s="7" t="s">
        <v>762</v>
      </c>
      <c r="E231" s="7" t="s">
        <v>78</v>
      </c>
      <c r="F231" s="7" t="s">
        <v>79</v>
      </c>
    </row>
    <row r="232">
      <c r="A232" s="6" t="s">
        <v>765</v>
      </c>
      <c r="B232" s="7" t="s">
        <v>766</v>
      </c>
      <c r="C232" s="7" t="s">
        <v>767</v>
      </c>
      <c r="D232" s="7" t="s">
        <v>765</v>
      </c>
      <c r="E232" s="7" t="s">
        <v>65</v>
      </c>
      <c r="F232" s="7" t="s">
        <v>66</v>
      </c>
    </row>
    <row r="233">
      <c r="A233" s="6" t="s">
        <v>768</v>
      </c>
      <c r="B233" s="7" t="s">
        <v>769</v>
      </c>
      <c r="C233" s="7" t="s">
        <v>770</v>
      </c>
      <c r="D233" s="7" t="s">
        <v>768</v>
      </c>
      <c r="E233" s="7" t="s">
        <v>57</v>
      </c>
      <c r="F233" s="7" t="s">
        <v>73</v>
      </c>
    </row>
    <row r="234">
      <c r="A234" s="6" t="s">
        <v>771</v>
      </c>
      <c r="B234" s="7" t="s">
        <v>772</v>
      </c>
      <c r="C234" s="7" t="s">
        <v>773</v>
      </c>
      <c r="D234" s="7" t="s">
        <v>771</v>
      </c>
      <c r="E234" s="7" t="s">
        <v>28</v>
      </c>
      <c r="F234" s="7" t="s">
        <v>123</v>
      </c>
    </row>
    <row r="235">
      <c r="A235" s="6" t="s">
        <v>774</v>
      </c>
      <c r="B235" s="7" t="s">
        <v>775</v>
      </c>
      <c r="C235" s="7" t="s">
        <v>776</v>
      </c>
      <c r="D235" s="7" t="s">
        <v>774</v>
      </c>
      <c r="E235" s="7" t="s">
        <v>16</v>
      </c>
      <c r="F235" s="7" t="s">
        <v>93</v>
      </c>
    </row>
    <row r="236">
      <c r="A236" s="6" t="s">
        <v>681</v>
      </c>
      <c r="B236" s="7" t="s">
        <v>777</v>
      </c>
      <c r="C236" s="7" t="s">
        <v>778</v>
      </c>
      <c r="D236" s="7" t="s">
        <v>681</v>
      </c>
      <c r="E236" s="7" t="s">
        <v>28</v>
      </c>
      <c r="F236" s="7" t="s">
        <v>29</v>
      </c>
    </row>
    <row r="237">
      <c r="A237" s="6" t="s">
        <v>779</v>
      </c>
      <c r="B237" s="7" t="s">
        <v>780</v>
      </c>
      <c r="C237" s="7" t="s">
        <v>781</v>
      </c>
      <c r="D237" s="7" t="s">
        <v>779</v>
      </c>
      <c r="E237" s="7" t="s">
        <v>78</v>
      </c>
      <c r="F237" s="7" t="s">
        <v>136</v>
      </c>
    </row>
    <row r="238">
      <c r="A238" s="6" t="s">
        <v>782</v>
      </c>
      <c r="B238" s="7" t="s">
        <v>783</v>
      </c>
      <c r="C238" s="7" t="s">
        <v>784</v>
      </c>
      <c r="D238" s="7" t="s">
        <v>782</v>
      </c>
      <c r="E238" s="7" t="s">
        <v>65</v>
      </c>
      <c r="F238" s="7" t="s">
        <v>344</v>
      </c>
    </row>
    <row r="239">
      <c r="A239" s="6" t="s">
        <v>785</v>
      </c>
      <c r="B239" s="7" t="s">
        <v>786</v>
      </c>
      <c r="C239" s="7" t="s">
        <v>787</v>
      </c>
      <c r="D239" s="7" t="s">
        <v>785</v>
      </c>
      <c r="E239" s="7" t="s">
        <v>78</v>
      </c>
      <c r="F239" s="7" t="s">
        <v>79</v>
      </c>
    </row>
    <row r="240">
      <c r="A240" s="6" t="s">
        <v>788</v>
      </c>
      <c r="B240" s="7" t="s">
        <v>789</v>
      </c>
      <c r="C240" s="7" t="s">
        <v>790</v>
      </c>
      <c r="D240" s="7" t="s">
        <v>788</v>
      </c>
      <c r="E240" s="7" t="s">
        <v>16</v>
      </c>
      <c r="F240" s="7" t="s">
        <v>424</v>
      </c>
    </row>
    <row r="241">
      <c r="A241" s="6" t="s">
        <v>791</v>
      </c>
      <c r="B241" s="7" t="s">
        <v>792</v>
      </c>
      <c r="C241" s="7" t="s">
        <v>793</v>
      </c>
      <c r="D241" s="7" t="s">
        <v>791</v>
      </c>
      <c r="E241" s="7" t="s">
        <v>65</v>
      </c>
      <c r="F241" s="7" t="s">
        <v>292</v>
      </c>
    </row>
    <row r="242">
      <c r="A242" s="6" t="s">
        <v>794</v>
      </c>
      <c r="B242" s="7" t="s">
        <v>795</v>
      </c>
      <c r="C242" s="7" t="s">
        <v>796</v>
      </c>
      <c r="D242" s="7" t="s">
        <v>794</v>
      </c>
      <c r="E242" s="7" t="s">
        <v>78</v>
      </c>
      <c r="F242" s="7" t="s">
        <v>79</v>
      </c>
    </row>
    <row r="243">
      <c r="A243" s="6" t="s">
        <v>797</v>
      </c>
      <c r="B243" s="7" t="s">
        <v>798</v>
      </c>
      <c r="C243" s="7" t="s">
        <v>799</v>
      </c>
      <c r="D243" s="7" t="s">
        <v>797</v>
      </c>
      <c r="E243" s="7" t="s">
        <v>16</v>
      </c>
      <c r="F243" s="7" t="s">
        <v>164</v>
      </c>
    </row>
    <row r="244">
      <c r="A244" s="6" t="s">
        <v>800</v>
      </c>
      <c r="B244" s="7" t="s">
        <v>801</v>
      </c>
      <c r="C244" s="7" t="s">
        <v>802</v>
      </c>
      <c r="D244" s="7" t="s">
        <v>800</v>
      </c>
      <c r="E244" s="7" t="s">
        <v>78</v>
      </c>
      <c r="F244" s="7" t="s">
        <v>79</v>
      </c>
    </row>
    <row r="245">
      <c r="A245" s="6" t="s">
        <v>803</v>
      </c>
      <c r="B245" s="7" t="s">
        <v>805</v>
      </c>
      <c r="C245" s="7" t="s">
        <v>806</v>
      </c>
      <c r="D245" s="7" t="s">
        <v>803</v>
      </c>
      <c r="E245" s="7" t="s">
        <v>78</v>
      </c>
      <c r="F245" s="7" t="s">
        <v>79</v>
      </c>
    </row>
    <row r="246">
      <c r="A246" s="6" t="s">
        <v>807</v>
      </c>
      <c r="B246" s="7" t="s">
        <v>808</v>
      </c>
      <c r="C246" s="7" t="s">
        <v>809</v>
      </c>
      <c r="D246" s="7" t="s">
        <v>807</v>
      </c>
      <c r="E246" s="7" t="s">
        <v>65</v>
      </c>
      <c r="F246" s="7" t="s">
        <v>66</v>
      </c>
    </row>
    <row r="247">
      <c r="A247" s="6" t="s">
        <v>811</v>
      </c>
      <c r="B247" s="7" t="s">
        <v>812</v>
      </c>
      <c r="C247" s="7" t="s">
        <v>813</v>
      </c>
      <c r="D247" s="7" t="s">
        <v>811</v>
      </c>
      <c r="E247" s="7" t="s">
        <v>57</v>
      </c>
      <c r="F247" s="7" t="s">
        <v>58</v>
      </c>
    </row>
    <row r="248">
      <c r="A248" s="6" t="s">
        <v>814</v>
      </c>
      <c r="B248" s="7" t="s">
        <v>815</v>
      </c>
      <c r="C248" s="7" t="s">
        <v>816</v>
      </c>
      <c r="D248" s="7" t="s">
        <v>814</v>
      </c>
      <c r="E248" s="7" t="s">
        <v>16</v>
      </c>
      <c r="F248" s="7" t="s">
        <v>93</v>
      </c>
    </row>
    <row r="249">
      <c r="A249" s="6" t="s">
        <v>818</v>
      </c>
      <c r="B249" s="7" t="s">
        <v>819</v>
      </c>
      <c r="C249" s="7" t="s">
        <v>820</v>
      </c>
      <c r="D249" s="7" t="s">
        <v>818</v>
      </c>
      <c r="E249" s="7" t="s">
        <v>57</v>
      </c>
      <c r="F249" s="7" t="s">
        <v>73</v>
      </c>
    </row>
    <row r="250">
      <c r="A250" s="6" t="s">
        <v>822</v>
      </c>
      <c r="B250" s="7" t="s">
        <v>823</v>
      </c>
      <c r="C250" s="7" t="s">
        <v>824</v>
      </c>
      <c r="D250" s="7" t="s">
        <v>822</v>
      </c>
      <c r="E250" s="7" t="s">
        <v>57</v>
      </c>
      <c r="F250" s="7" t="s">
        <v>73</v>
      </c>
    </row>
    <row r="251">
      <c r="A251" s="24"/>
      <c r="B251" s="15"/>
      <c r="C251" s="15"/>
      <c r="D251" s="15"/>
      <c r="E251" s="15"/>
      <c r="F251" s="15"/>
    </row>
    <row r="252">
      <c r="A252" s="24"/>
      <c r="B252" s="15"/>
      <c r="C252" s="15"/>
      <c r="D252" s="15"/>
      <c r="E252" s="15"/>
      <c r="F252" s="15"/>
    </row>
    <row r="253">
      <c r="A253" s="24"/>
      <c r="B253" s="15"/>
      <c r="C253" s="15"/>
      <c r="D253" s="15"/>
      <c r="E253" s="15"/>
      <c r="F253" s="15"/>
    </row>
    <row r="254">
      <c r="A254" s="24"/>
      <c r="B254" s="15"/>
      <c r="C254" s="15"/>
      <c r="D254" s="15"/>
      <c r="E254" s="15"/>
      <c r="F254" s="15"/>
    </row>
    <row r="255">
      <c r="A255" s="24"/>
      <c r="B255" s="15"/>
      <c r="C255" s="15"/>
      <c r="D255" s="15"/>
      <c r="E255" s="15"/>
      <c r="F255" s="15"/>
    </row>
    <row r="256">
      <c r="A256" s="24"/>
      <c r="B256" s="15"/>
      <c r="C256" s="15"/>
      <c r="D256" s="15"/>
      <c r="E256" s="15"/>
      <c r="F256" s="15"/>
    </row>
    <row r="257">
      <c r="A257" s="24"/>
      <c r="B257" s="15"/>
      <c r="C257" s="15"/>
      <c r="D257" s="15"/>
      <c r="E257" s="15"/>
      <c r="F257" s="15"/>
    </row>
    <row r="258">
      <c r="A258" s="24"/>
      <c r="B258" s="15"/>
      <c r="C258" s="15"/>
      <c r="D258" s="15"/>
      <c r="E258" s="15"/>
      <c r="F258" s="15"/>
    </row>
    <row r="259">
      <c r="A259" s="24"/>
      <c r="B259" s="15"/>
      <c r="C259" s="15"/>
      <c r="D259" s="15"/>
      <c r="E259" s="15"/>
      <c r="F259" s="15"/>
    </row>
    <row r="260">
      <c r="A260" s="24"/>
      <c r="B260" s="15"/>
      <c r="C260" s="15"/>
      <c r="D260" s="15"/>
      <c r="E260" s="15"/>
      <c r="F260" s="15"/>
    </row>
    <row r="261">
      <c r="A261" s="24"/>
      <c r="B261" s="15"/>
      <c r="C261" s="15"/>
      <c r="D261" s="15"/>
      <c r="E261" s="15"/>
      <c r="F261" s="15"/>
    </row>
    <row r="262">
      <c r="A262" s="24"/>
      <c r="B262" s="15"/>
      <c r="C262" s="15"/>
      <c r="D262" s="15"/>
      <c r="E262" s="15"/>
      <c r="F262" s="15"/>
    </row>
    <row r="263">
      <c r="A263" s="24"/>
      <c r="B263" s="15"/>
      <c r="C263" s="15"/>
      <c r="D263" s="15"/>
      <c r="E263" s="15"/>
      <c r="F263" s="15"/>
    </row>
    <row r="264">
      <c r="A264" s="24"/>
      <c r="B264" s="15"/>
      <c r="C264" s="15"/>
      <c r="D264" s="15"/>
      <c r="E264" s="15"/>
      <c r="F264" s="15"/>
    </row>
    <row r="265">
      <c r="A265" s="24"/>
      <c r="B265" s="15"/>
      <c r="C265" s="15"/>
      <c r="D265" s="15"/>
      <c r="E265" s="15"/>
      <c r="F265" s="15"/>
    </row>
    <row r="266">
      <c r="A266" s="24"/>
      <c r="B266" s="15"/>
      <c r="C266" s="15"/>
      <c r="D266" s="15"/>
      <c r="E266" s="15"/>
      <c r="F266" s="15"/>
    </row>
    <row r="267">
      <c r="A267" s="24"/>
      <c r="B267" s="15"/>
      <c r="C267" s="15"/>
      <c r="D267" s="15"/>
      <c r="E267" s="15"/>
      <c r="F267" s="15"/>
    </row>
    <row r="268">
      <c r="A268" s="24"/>
      <c r="B268" s="15"/>
      <c r="C268" s="15"/>
      <c r="D268" s="15"/>
      <c r="E268" s="15"/>
      <c r="F268" s="15"/>
    </row>
    <row r="269">
      <c r="A269" s="24"/>
      <c r="B269" s="15"/>
      <c r="C269" s="15"/>
      <c r="D269" s="15"/>
      <c r="E269" s="15"/>
      <c r="F269" s="15"/>
    </row>
    <row r="270">
      <c r="A270" s="24"/>
      <c r="B270" s="15"/>
      <c r="C270" s="15"/>
      <c r="D270" s="15"/>
      <c r="E270" s="15"/>
      <c r="F270" s="15"/>
    </row>
    <row r="271">
      <c r="A271" s="24"/>
      <c r="B271" s="15"/>
      <c r="C271" s="15"/>
      <c r="D271" s="15"/>
      <c r="E271" s="15"/>
      <c r="F271" s="15"/>
    </row>
    <row r="272">
      <c r="A272" s="24"/>
      <c r="B272" s="15"/>
      <c r="C272" s="15"/>
      <c r="D272" s="15"/>
      <c r="E272" s="15"/>
      <c r="F272" s="15"/>
    </row>
    <row r="273">
      <c r="A273" s="24"/>
      <c r="B273" s="15"/>
      <c r="C273" s="15"/>
      <c r="D273" s="15"/>
      <c r="E273" s="15"/>
      <c r="F273" s="15"/>
    </row>
    <row r="274">
      <c r="A274" s="24"/>
      <c r="B274" s="15"/>
      <c r="C274" s="15"/>
      <c r="D274" s="15"/>
      <c r="E274" s="15"/>
      <c r="F274" s="15"/>
    </row>
    <row r="275">
      <c r="A275" s="24"/>
      <c r="B275" s="15"/>
      <c r="C275" s="15"/>
      <c r="D275" s="15"/>
      <c r="E275" s="15"/>
      <c r="F275" s="15"/>
    </row>
    <row r="276">
      <c r="A276" s="24"/>
      <c r="B276" s="15"/>
      <c r="C276" s="15"/>
      <c r="D276" s="15"/>
      <c r="E276" s="15"/>
      <c r="F276" s="15"/>
    </row>
    <row r="277">
      <c r="A277" s="24"/>
      <c r="B277" s="15"/>
      <c r="C277" s="15"/>
      <c r="D277" s="15"/>
      <c r="E277" s="15"/>
      <c r="F277" s="15"/>
    </row>
    <row r="278">
      <c r="A278" s="24"/>
      <c r="B278" s="15"/>
      <c r="C278" s="15"/>
      <c r="D278" s="15"/>
      <c r="E278" s="15"/>
      <c r="F278" s="15"/>
    </row>
    <row r="279">
      <c r="A279" s="24"/>
      <c r="B279" s="15"/>
      <c r="C279" s="15"/>
      <c r="D279" s="15"/>
      <c r="E279" s="15"/>
      <c r="F279" s="15"/>
    </row>
    <row r="280">
      <c r="A280" s="24"/>
      <c r="B280" s="15"/>
      <c r="C280" s="15"/>
      <c r="D280" s="15"/>
      <c r="E280" s="15"/>
      <c r="F280" s="15"/>
    </row>
    <row r="281">
      <c r="A281" s="24"/>
      <c r="B281" s="15"/>
      <c r="C281" s="15"/>
      <c r="D281" s="15"/>
      <c r="E281" s="15"/>
      <c r="F281" s="15"/>
    </row>
    <row r="282">
      <c r="A282" s="24"/>
      <c r="B282" s="15"/>
      <c r="C282" s="15"/>
      <c r="D282" s="15"/>
      <c r="E282" s="15"/>
      <c r="F282" s="15"/>
    </row>
    <row r="283">
      <c r="A283" s="24"/>
      <c r="B283" s="15"/>
      <c r="C283" s="15"/>
      <c r="D283" s="15"/>
      <c r="E283" s="15"/>
      <c r="F283" s="15"/>
    </row>
    <row r="284">
      <c r="A284" s="24"/>
      <c r="B284" s="15"/>
      <c r="C284" s="15"/>
      <c r="D284" s="15"/>
      <c r="E284" s="15"/>
      <c r="F284" s="15"/>
    </row>
    <row r="285">
      <c r="A285" s="24"/>
      <c r="B285" s="15"/>
      <c r="C285" s="15"/>
      <c r="D285" s="15"/>
      <c r="E285" s="15"/>
      <c r="F285" s="15"/>
    </row>
    <row r="286">
      <c r="A286" s="24"/>
      <c r="B286" s="15"/>
      <c r="C286" s="15"/>
      <c r="D286" s="15"/>
      <c r="E286" s="15"/>
      <c r="F286" s="15"/>
    </row>
    <row r="287">
      <c r="A287" s="24"/>
      <c r="B287" s="15"/>
      <c r="C287" s="15"/>
      <c r="D287" s="15"/>
      <c r="E287" s="15"/>
      <c r="F287" s="15"/>
    </row>
    <row r="288">
      <c r="A288" s="24"/>
      <c r="B288" s="15"/>
      <c r="C288" s="15"/>
      <c r="D288" s="15"/>
      <c r="E288" s="15"/>
      <c r="F288" s="15"/>
    </row>
    <row r="289">
      <c r="A289" s="24"/>
      <c r="B289" s="15"/>
      <c r="C289" s="15"/>
      <c r="D289" s="15"/>
      <c r="E289" s="15"/>
      <c r="F289" s="15"/>
    </row>
    <row r="290">
      <c r="A290" s="24"/>
      <c r="B290" s="15"/>
      <c r="C290" s="15"/>
      <c r="D290" s="15"/>
      <c r="E290" s="15"/>
      <c r="F290" s="15"/>
    </row>
    <row r="291">
      <c r="A291" s="24"/>
      <c r="B291" s="15"/>
      <c r="C291" s="15"/>
      <c r="D291" s="15"/>
      <c r="E291" s="15"/>
      <c r="F291" s="15"/>
    </row>
    <row r="292">
      <c r="A292" s="24"/>
      <c r="B292" s="15"/>
      <c r="C292" s="15"/>
      <c r="D292" s="15"/>
      <c r="E292" s="15"/>
      <c r="F292" s="15"/>
    </row>
    <row r="293">
      <c r="A293" s="24"/>
      <c r="B293" s="15"/>
      <c r="C293" s="15"/>
      <c r="D293" s="15"/>
      <c r="E293" s="15"/>
      <c r="F293" s="15"/>
    </row>
    <row r="294">
      <c r="A294" s="24"/>
      <c r="B294" s="15"/>
      <c r="C294" s="15"/>
      <c r="D294" s="15"/>
      <c r="E294" s="15"/>
      <c r="F294" s="15"/>
    </row>
    <row r="295">
      <c r="A295" s="24"/>
      <c r="B295" s="15"/>
      <c r="C295" s="15"/>
      <c r="D295" s="15"/>
      <c r="E295" s="15"/>
      <c r="F295" s="15"/>
    </row>
    <row r="296">
      <c r="A296" s="24"/>
      <c r="B296" s="15"/>
      <c r="C296" s="15"/>
      <c r="D296" s="15"/>
      <c r="E296" s="15"/>
      <c r="F296" s="15"/>
    </row>
    <row r="297">
      <c r="A297" s="24"/>
      <c r="B297" s="15"/>
      <c r="C297" s="15"/>
      <c r="D297" s="15"/>
      <c r="E297" s="15"/>
      <c r="F297" s="15"/>
    </row>
    <row r="298">
      <c r="A298" s="24"/>
      <c r="B298" s="15"/>
      <c r="C298" s="15"/>
      <c r="D298" s="15"/>
      <c r="E298" s="15"/>
      <c r="F298" s="15"/>
    </row>
    <row r="299">
      <c r="A299" s="24"/>
      <c r="B299" s="15"/>
      <c r="C299" s="15"/>
      <c r="D299" s="15"/>
      <c r="E299" s="15"/>
      <c r="F299" s="15"/>
    </row>
    <row r="300">
      <c r="A300" s="24"/>
      <c r="B300" s="15"/>
      <c r="C300" s="15"/>
      <c r="D300" s="15"/>
      <c r="E300" s="15"/>
      <c r="F300" s="15"/>
    </row>
    <row r="301">
      <c r="A301" s="24"/>
      <c r="B301" s="15"/>
      <c r="C301" s="15"/>
      <c r="D301" s="15"/>
      <c r="E301" s="15"/>
      <c r="F301" s="15"/>
    </row>
    <row r="302">
      <c r="A302" s="24"/>
      <c r="B302" s="15"/>
      <c r="C302" s="15"/>
      <c r="D302" s="15"/>
      <c r="E302" s="15"/>
      <c r="F302" s="15"/>
    </row>
    <row r="303">
      <c r="A303" s="24"/>
      <c r="B303" s="15"/>
      <c r="C303" s="15"/>
      <c r="D303" s="15"/>
      <c r="E303" s="15"/>
      <c r="F303" s="15"/>
    </row>
    <row r="304">
      <c r="A304" s="24"/>
      <c r="B304" s="15"/>
      <c r="C304" s="15"/>
      <c r="D304" s="15"/>
      <c r="E304" s="15"/>
      <c r="F304" s="15"/>
    </row>
    <row r="305">
      <c r="A305" s="24"/>
      <c r="B305" s="15"/>
      <c r="C305" s="15"/>
      <c r="D305" s="15"/>
      <c r="E305" s="15"/>
      <c r="F305" s="15"/>
    </row>
    <row r="306">
      <c r="A306" s="24"/>
      <c r="B306" s="15"/>
      <c r="C306" s="15"/>
      <c r="D306" s="15"/>
      <c r="E306" s="15"/>
      <c r="F306" s="15"/>
    </row>
    <row r="307">
      <c r="A307" s="24"/>
      <c r="B307" s="15"/>
      <c r="C307" s="15"/>
      <c r="D307" s="15"/>
      <c r="E307" s="15"/>
      <c r="F307" s="15"/>
    </row>
    <row r="308">
      <c r="A308" s="24"/>
      <c r="B308" s="15"/>
      <c r="C308" s="15"/>
      <c r="D308" s="15"/>
      <c r="E308" s="15"/>
      <c r="F308" s="15"/>
    </row>
    <row r="309">
      <c r="A309" s="24"/>
      <c r="B309" s="15"/>
      <c r="C309" s="15"/>
      <c r="D309" s="15"/>
      <c r="E309" s="15"/>
      <c r="F309" s="15"/>
    </row>
    <row r="310">
      <c r="A310" s="24"/>
      <c r="B310" s="15"/>
      <c r="C310" s="15"/>
      <c r="D310" s="15"/>
      <c r="E310" s="15"/>
      <c r="F310" s="15"/>
    </row>
    <row r="311">
      <c r="A311" s="24"/>
      <c r="B311" s="15"/>
      <c r="C311" s="15"/>
      <c r="D311" s="15"/>
      <c r="E311" s="15"/>
      <c r="F311" s="15"/>
    </row>
    <row r="312">
      <c r="A312" s="24"/>
      <c r="B312" s="15"/>
      <c r="C312" s="15"/>
      <c r="D312" s="15"/>
      <c r="E312" s="15"/>
      <c r="F312" s="15"/>
    </row>
    <row r="313">
      <c r="A313" s="24"/>
      <c r="B313" s="15"/>
      <c r="C313" s="15"/>
      <c r="D313" s="15"/>
      <c r="E313" s="15"/>
      <c r="F313" s="15"/>
    </row>
    <row r="314">
      <c r="A314" s="24"/>
      <c r="B314" s="15"/>
      <c r="C314" s="15"/>
      <c r="D314" s="15"/>
      <c r="E314" s="15"/>
      <c r="F314" s="15"/>
    </row>
    <row r="315">
      <c r="A315" s="24"/>
      <c r="B315" s="15"/>
      <c r="C315" s="15"/>
      <c r="D315" s="15"/>
      <c r="E315" s="15"/>
      <c r="F315" s="15"/>
    </row>
    <row r="316">
      <c r="A316" s="24"/>
      <c r="B316" s="15"/>
      <c r="C316" s="15"/>
      <c r="D316" s="15"/>
      <c r="E316" s="15"/>
      <c r="F316" s="15"/>
    </row>
    <row r="317">
      <c r="A317" s="24"/>
      <c r="B317" s="15"/>
      <c r="C317" s="15"/>
      <c r="D317" s="15"/>
      <c r="E317" s="15"/>
      <c r="F317" s="15"/>
    </row>
    <row r="318">
      <c r="A318" s="24"/>
      <c r="B318" s="15"/>
      <c r="C318" s="15"/>
      <c r="D318" s="15"/>
      <c r="E318" s="15"/>
      <c r="F318" s="15"/>
    </row>
    <row r="319">
      <c r="A319" s="24"/>
      <c r="B319" s="15"/>
      <c r="C319" s="15"/>
      <c r="D319" s="15"/>
      <c r="E319" s="15"/>
      <c r="F319" s="15"/>
    </row>
    <row r="320">
      <c r="A320" s="24"/>
      <c r="B320" s="15"/>
      <c r="C320" s="15"/>
      <c r="D320" s="15"/>
      <c r="E320" s="15"/>
      <c r="F320" s="15"/>
    </row>
    <row r="321">
      <c r="A321" s="24"/>
      <c r="B321" s="15"/>
      <c r="C321" s="15"/>
      <c r="D321" s="15"/>
      <c r="E321" s="15"/>
      <c r="F321" s="15"/>
    </row>
    <row r="322">
      <c r="A322" s="24"/>
      <c r="B322" s="15"/>
      <c r="C322" s="15"/>
      <c r="D322" s="15"/>
      <c r="E322" s="15"/>
      <c r="F322" s="15"/>
    </row>
    <row r="323">
      <c r="A323" s="24"/>
      <c r="B323" s="15"/>
      <c r="C323" s="15"/>
      <c r="D323" s="15"/>
      <c r="E323" s="15"/>
      <c r="F323" s="15"/>
    </row>
    <row r="324">
      <c r="A324" s="24"/>
      <c r="B324" s="15"/>
      <c r="C324" s="15"/>
      <c r="D324" s="15"/>
      <c r="E324" s="15"/>
      <c r="F324" s="15"/>
    </row>
    <row r="325">
      <c r="A325" s="24"/>
      <c r="B325" s="15"/>
      <c r="C325" s="15"/>
      <c r="D325" s="15"/>
      <c r="E325" s="15"/>
      <c r="F325" s="15"/>
    </row>
    <row r="326">
      <c r="A326" s="24"/>
      <c r="B326" s="15"/>
      <c r="C326" s="15"/>
      <c r="D326" s="15"/>
      <c r="E326" s="15"/>
      <c r="F326" s="15"/>
    </row>
    <row r="327">
      <c r="A327" s="24"/>
      <c r="B327" s="15"/>
      <c r="C327" s="15"/>
      <c r="D327" s="15"/>
      <c r="E327" s="15"/>
      <c r="F327" s="15"/>
    </row>
    <row r="328">
      <c r="A328" s="24"/>
      <c r="B328" s="15"/>
      <c r="C328" s="15"/>
      <c r="D328" s="15"/>
      <c r="E328" s="15"/>
      <c r="F328" s="15"/>
    </row>
    <row r="329">
      <c r="A329" s="24"/>
      <c r="B329" s="15"/>
      <c r="C329" s="15"/>
      <c r="D329" s="15"/>
      <c r="E329" s="15"/>
      <c r="F329" s="15"/>
    </row>
    <row r="330">
      <c r="A330" s="24"/>
      <c r="B330" s="15"/>
      <c r="C330" s="15"/>
      <c r="D330" s="15"/>
      <c r="E330" s="15"/>
      <c r="F330" s="15"/>
    </row>
    <row r="331">
      <c r="A331" s="24"/>
      <c r="B331" s="15"/>
      <c r="C331" s="15"/>
      <c r="D331" s="15"/>
      <c r="E331" s="15"/>
      <c r="F331" s="15"/>
    </row>
    <row r="332">
      <c r="A332" s="24"/>
      <c r="B332" s="15"/>
      <c r="C332" s="15"/>
      <c r="D332" s="15"/>
      <c r="E332" s="15"/>
      <c r="F332" s="15"/>
    </row>
    <row r="333">
      <c r="A333" s="24"/>
      <c r="B333" s="15"/>
      <c r="C333" s="15"/>
      <c r="D333" s="15"/>
      <c r="E333" s="15"/>
      <c r="F333" s="15"/>
    </row>
    <row r="334">
      <c r="A334" s="24"/>
      <c r="B334" s="15"/>
      <c r="C334" s="15"/>
      <c r="D334" s="15"/>
      <c r="E334" s="15"/>
      <c r="F334" s="15"/>
    </row>
    <row r="335">
      <c r="A335" s="24"/>
      <c r="B335" s="15"/>
      <c r="C335" s="15"/>
      <c r="D335" s="15"/>
      <c r="E335" s="15"/>
      <c r="F335" s="15"/>
    </row>
    <row r="336">
      <c r="A336" s="24"/>
      <c r="B336" s="15"/>
      <c r="C336" s="15"/>
      <c r="D336" s="15"/>
      <c r="E336" s="15"/>
      <c r="F336" s="15"/>
    </row>
    <row r="337">
      <c r="A337" s="24"/>
      <c r="B337" s="15"/>
      <c r="C337" s="15"/>
      <c r="D337" s="15"/>
      <c r="E337" s="15"/>
      <c r="F337" s="15"/>
    </row>
    <row r="338">
      <c r="A338" s="24"/>
      <c r="B338" s="15"/>
      <c r="C338" s="15"/>
      <c r="D338" s="15"/>
      <c r="E338" s="15"/>
      <c r="F338" s="15"/>
    </row>
    <row r="339">
      <c r="A339" s="24"/>
      <c r="B339" s="15"/>
      <c r="C339" s="15"/>
      <c r="D339" s="15"/>
      <c r="E339" s="15"/>
      <c r="F339" s="15"/>
    </row>
    <row r="340">
      <c r="A340" s="24"/>
      <c r="B340" s="15"/>
      <c r="C340" s="15"/>
      <c r="D340" s="15"/>
      <c r="E340" s="15"/>
      <c r="F340" s="15"/>
    </row>
    <row r="341">
      <c r="A341" s="24"/>
      <c r="B341" s="15"/>
      <c r="C341" s="15"/>
      <c r="D341" s="15"/>
      <c r="E341" s="15"/>
      <c r="F341" s="15"/>
    </row>
    <row r="342">
      <c r="A342" s="24"/>
      <c r="B342" s="15"/>
      <c r="C342" s="15"/>
      <c r="D342" s="15"/>
      <c r="E342" s="15"/>
      <c r="F342" s="15"/>
    </row>
    <row r="343">
      <c r="A343" s="24"/>
      <c r="B343" s="15"/>
      <c r="C343" s="15"/>
      <c r="D343" s="15"/>
      <c r="E343" s="15"/>
      <c r="F343" s="15"/>
    </row>
    <row r="344">
      <c r="A344" s="24"/>
      <c r="B344" s="15"/>
      <c r="C344" s="15"/>
      <c r="D344" s="15"/>
      <c r="E344" s="15"/>
      <c r="F344" s="15"/>
    </row>
    <row r="345">
      <c r="A345" s="24"/>
      <c r="B345" s="15"/>
      <c r="C345" s="15"/>
      <c r="D345" s="15"/>
      <c r="E345" s="15"/>
      <c r="F345" s="15"/>
    </row>
    <row r="346">
      <c r="A346" s="24"/>
      <c r="B346" s="15"/>
      <c r="C346" s="15"/>
      <c r="D346" s="15"/>
      <c r="E346" s="15"/>
      <c r="F346" s="15"/>
    </row>
    <row r="347">
      <c r="A347" s="24"/>
      <c r="B347" s="15"/>
      <c r="C347" s="15"/>
      <c r="D347" s="15"/>
      <c r="E347" s="15"/>
      <c r="F347" s="15"/>
    </row>
    <row r="348">
      <c r="A348" s="24"/>
      <c r="B348" s="15"/>
      <c r="C348" s="15"/>
      <c r="D348" s="15"/>
      <c r="E348" s="15"/>
      <c r="F348" s="15"/>
    </row>
    <row r="349">
      <c r="A349" s="24"/>
      <c r="B349" s="15"/>
      <c r="C349" s="15"/>
      <c r="D349" s="15"/>
      <c r="E349" s="15"/>
      <c r="F349" s="15"/>
    </row>
    <row r="350">
      <c r="A350" s="24"/>
      <c r="B350" s="15"/>
      <c r="C350" s="15"/>
      <c r="D350" s="15"/>
      <c r="E350" s="15"/>
      <c r="F350" s="15"/>
    </row>
    <row r="351">
      <c r="A351" s="24"/>
      <c r="B351" s="15"/>
      <c r="C351" s="15"/>
      <c r="D351" s="15"/>
      <c r="E351" s="15"/>
      <c r="F351" s="15"/>
    </row>
    <row r="352">
      <c r="A352" s="24"/>
      <c r="B352" s="15"/>
      <c r="C352" s="15"/>
      <c r="D352" s="15"/>
      <c r="E352" s="15"/>
      <c r="F352" s="15"/>
    </row>
    <row r="353">
      <c r="A353" s="24"/>
      <c r="B353" s="15"/>
      <c r="C353" s="15"/>
      <c r="D353" s="15"/>
      <c r="E353" s="15"/>
      <c r="F353" s="15"/>
    </row>
    <row r="354">
      <c r="A354" s="24"/>
      <c r="B354" s="15"/>
      <c r="C354" s="15"/>
      <c r="D354" s="15"/>
      <c r="E354" s="15"/>
      <c r="F354" s="15"/>
    </row>
    <row r="355">
      <c r="A355" s="24"/>
      <c r="B355" s="15"/>
      <c r="C355" s="15"/>
      <c r="D355" s="15"/>
      <c r="E355" s="15"/>
      <c r="F355" s="15"/>
    </row>
    <row r="356">
      <c r="A356" s="24"/>
      <c r="B356" s="15"/>
      <c r="C356" s="15"/>
      <c r="D356" s="15"/>
      <c r="E356" s="15"/>
      <c r="F356" s="15"/>
    </row>
    <row r="357">
      <c r="A357" s="24"/>
      <c r="B357" s="15"/>
      <c r="C357" s="15"/>
      <c r="D357" s="15"/>
      <c r="E357" s="15"/>
      <c r="F357" s="15"/>
    </row>
    <row r="358">
      <c r="A358" s="24"/>
      <c r="B358" s="15"/>
      <c r="C358" s="15"/>
      <c r="D358" s="15"/>
      <c r="E358" s="15"/>
      <c r="F358" s="15"/>
    </row>
    <row r="359">
      <c r="A359" s="24"/>
      <c r="B359" s="15"/>
      <c r="C359" s="15"/>
      <c r="D359" s="15"/>
      <c r="E359" s="15"/>
      <c r="F359" s="15"/>
    </row>
    <row r="360">
      <c r="A360" s="24"/>
      <c r="B360" s="15"/>
      <c r="C360" s="15"/>
      <c r="D360" s="15"/>
      <c r="E360" s="15"/>
      <c r="F360" s="15"/>
    </row>
    <row r="361">
      <c r="A361" s="24"/>
      <c r="B361" s="15"/>
      <c r="C361" s="15"/>
      <c r="D361" s="15"/>
      <c r="E361" s="15"/>
      <c r="F361" s="15"/>
    </row>
    <row r="362">
      <c r="A362" s="24"/>
      <c r="B362" s="15"/>
      <c r="C362" s="15"/>
      <c r="D362" s="15"/>
      <c r="E362" s="15"/>
      <c r="F362" s="15"/>
    </row>
    <row r="363">
      <c r="A363" s="24"/>
      <c r="B363" s="15"/>
      <c r="C363" s="15"/>
      <c r="D363" s="15"/>
      <c r="E363" s="15"/>
      <c r="F363" s="15"/>
    </row>
    <row r="364">
      <c r="A364" s="24"/>
      <c r="B364" s="15"/>
      <c r="C364" s="15"/>
      <c r="D364" s="15"/>
      <c r="E364" s="15"/>
      <c r="F364" s="15"/>
    </row>
    <row r="365">
      <c r="A365" s="24"/>
      <c r="B365" s="15"/>
      <c r="C365" s="15"/>
      <c r="D365" s="15"/>
      <c r="E365" s="15"/>
      <c r="F365" s="15"/>
    </row>
    <row r="366">
      <c r="A366" s="24"/>
      <c r="B366" s="15"/>
      <c r="C366" s="15"/>
      <c r="D366" s="15"/>
      <c r="E366" s="15"/>
      <c r="F366" s="15"/>
    </row>
    <row r="367">
      <c r="A367" s="24"/>
      <c r="B367" s="15"/>
      <c r="C367" s="15"/>
      <c r="D367" s="15"/>
      <c r="E367" s="15"/>
      <c r="F367" s="15"/>
    </row>
    <row r="368">
      <c r="A368" s="24"/>
      <c r="B368" s="15"/>
      <c r="C368" s="15"/>
      <c r="D368" s="15"/>
      <c r="E368" s="15"/>
      <c r="F368" s="15"/>
    </row>
    <row r="369">
      <c r="A369" s="24"/>
      <c r="B369" s="15"/>
      <c r="C369" s="15"/>
      <c r="D369" s="15"/>
      <c r="E369" s="15"/>
      <c r="F369" s="15"/>
    </row>
    <row r="370">
      <c r="A370" s="24"/>
      <c r="B370" s="15"/>
      <c r="C370" s="15"/>
      <c r="D370" s="15"/>
      <c r="E370" s="15"/>
      <c r="F370" s="15"/>
    </row>
    <row r="371">
      <c r="A371" s="24"/>
      <c r="B371" s="15"/>
      <c r="C371" s="15"/>
      <c r="D371" s="15"/>
      <c r="E371" s="15"/>
      <c r="F371" s="15"/>
    </row>
    <row r="372">
      <c r="A372" s="24"/>
      <c r="B372" s="15"/>
      <c r="C372" s="15"/>
      <c r="D372" s="15"/>
      <c r="E372" s="15"/>
      <c r="F372" s="15"/>
    </row>
    <row r="373">
      <c r="A373" s="24"/>
      <c r="B373" s="15"/>
      <c r="C373" s="15"/>
      <c r="D373" s="15"/>
      <c r="E373" s="15"/>
      <c r="F373" s="15"/>
    </row>
    <row r="374">
      <c r="A374" s="24"/>
      <c r="B374" s="15"/>
      <c r="C374" s="15"/>
      <c r="D374" s="15"/>
      <c r="E374" s="15"/>
      <c r="F374" s="15"/>
    </row>
    <row r="375">
      <c r="A375" s="24"/>
      <c r="B375" s="15"/>
      <c r="C375" s="15"/>
      <c r="D375" s="15"/>
      <c r="E375" s="15"/>
      <c r="F375" s="15"/>
    </row>
    <row r="376">
      <c r="A376" s="24"/>
      <c r="B376" s="15"/>
      <c r="C376" s="15"/>
      <c r="D376" s="15"/>
      <c r="E376" s="15"/>
      <c r="F376" s="15"/>
    </row>
    <row r="377">
      <c r="A377" s="24"/>
      <c r="B377" s="15"/>
      <c r="C377" s="15"/>
      <c r="D377" s="15"/>
      <c r="E377" s="15"/>
      <c r="F377" s="15"/>
    </row>
    <row r="378">
      <c r="A378" s="24"/>
      <c r="B378" s="15"/>
      <c r="C378" s="15"/>
      <c r="D378" s="15"/>
      <c r="E378" s="15"/>
      <c r="F378" s="15"/>
    </row>
    <row r="379">
      <c r="A379" s="24"/>
      <c r="B379" s="15"/>
      <c r="C379" s="15"/>
      <c r="D379" s="15"/>
      <c r="E379" s="15"/>
      <c r="F379" s="15"/>
    </row>
    <row r="380">
      <c r="A380" s="24"/>
      <c r="B380" s="15"/>
      <c r="C380" s="15"/>
      <c r="D380" s="15"/>
      <c r="E380" s="15"/>
      <c r="F380" s="15"/>
    </row>
    <row r="381">
      <c r="A381" s="24"/>
      <c r="B381" s="15"/>
      <c r="C381" s="15"/>
      <c r="D381" s="15"/>
      <c r="E381" s="15"/>
      <c r="F381" s="15"/>
    </row>
    <row r="382">
      <c r="A382" s="24"/>
      <c r="B382" s="15"/>
      <c r="C382" s="15"/>
      <c r="D382" s="15"/>
      <c r="E382" s="15"/>
      <c r="F382" s="15"/>
    </row>
    <row r="383">
      <c r="A383" s="24"/>
      <c r="B383" s="15"/>
      <c r="C383" s="15"/>
      <c r="D383" s="15"/>
      <c r="E383" s="15"/>
      <c r="F383" s="15"/>
    </row>
    <row r="384">
      <c r="A384" s="24"/>
      <c r="B384" s="15"/>
      <c r="C384" s="15"/>
      <c r="D384" s="15"/>
      <c r="E384" s="15"/>
      <c r="F384" s="15"/>
    </row>
    <row r="385">
      <c r="A385" s="24"/>
      <c r="B385" s="15"/>
      <c r="C385" s="15"/>
      <c r="D385" s="15"/>
      <c r="E385" s="15"/>
      <c r="F385" s="15"/>
    </row>
    <row r="386">
      <c r="A386" s="24"/>
      <c r="B386" s="15"/>
      <c r="C386" s="15"/>
      <c r="D386" s="15"/>
      <c r="E386" s="15"/>
      <c r="F386" s="15"/>
    </row>
    <row r="387">
      <c r="A387" s="24"/>
      <c r="B387" s="15"/>
      <c r="C387" s="15"/>
      <c r="D387" s="15"/>
      <c r="E387" s="15"/>
      <c r="F387" s="15"/>
    </row>
    <row r="388">
      <c r="A388" s="24"/>
      <c r="B388" s="15"/>
      <c r="C388" s="15"/>
      <c r="D388" s="15"/>
      <c r="E388" s="15"/>
      <c r="F388" s="15"/>
    </row>
    <row r="389">
      <c r="A389" s="24"/>
      <c r="B389" s="15"/>
      <c r="C389" s="15"/>
      <c r="D389" s="15"/>
      <c r="E389" s="15"/>
      <c r="F389" s="15"/>
    </row>
    <row r="390">
      <c r="A390" s="24"/>
      <c r="B390" s="15"/>
      <c r="C390" s="15"/>
      <c r="D390" s="15"/>
      <c r="E390" s="15"/>
      <c r="F390" s="15"/>
    </row>
    <row r="391">
      <c r="A391" s="24"/>
      <c r="B391" s="15"/>
      <c r="C391" s="15"/>
      <c r="D391" s="15"/>
      <c r="E391" s="15"/>
      <c r="F391" s="15"/>
    </row>
    <row r="392">
      <c r="A392" s="24"/>
      <c r="B392" s="15"/>
      <c r="C392" s="15"/>
      <c r="D392" s="15"/>
      <c r="E392" s="15"/>
      <c r="F392" s="15"/>
    </row>
    <row r="393">
      <c r="A393" s="24"/>
      <c r="B393" s="15"/>
      <c r="C393" s="15"/>
      <c r="D393" s="15"/>
      <c r="E393" s="15"/>
      <c r="F393" s="15"/>
    </row>
    <row r="394">
      <c r="A394" s="24"/>
      <c r="B394" s="15"/>
      <c r="C394" s="15"/>
      <c r="D394" s="15"/>
      <c r="E394" s="15"/>
      <c r="F394" s="15"/>
    </row>
    <row r="395">
      <c r="A395" s="24"/>
      <c r="B395" s="15"/>
      <c r="C395" s="15"/>
      <c r="D395" s="15"/>
      <c r="E395" s="15"/>
      <c r="F395" s="15"/>
    </row>
    <row r="396">
      <c r="A396" s="24"/>
      <c r="B396" s="15"/>
      <c r="C396" s="15"/>
      <c r="D396" s="15"/>
      <c r="E396" s="15"/>
      <c r="F396" s="15"/>
    </row>
    <row r="397">
      <c r="A397" s="24"/>
      <c r="B397" s="15"/>
      <c r="C397" s="15"/>
      <c r="D397" s="15"/>
      <c r="E397" s="15"/>
      <c r="F397" s="15"/>
    </row>
    <row r="398">
      <c r="A398" s="24"/>
      <c r="B398" s="15"/>
      <c r="C398" s="15"/>
      <c r="D398" s="15"/>
      <c r="E398" s="15"/>
      <c r="F398" s="15"/>
    </row>
    <row r="399">
      <c r="A399" s="24"/>
      <c r="B399" s="15"/>
      <c r="C399" s="15"/>
      <c r="D399" s="15"/>
      <c r="E399" s="15"/>
      <c r="F399" s="15"/>
    </row>
    <row r="400">
      <c r="A400" s="24"/>
      <c r="B400" s="15"/>
      <c r="C400" s="15"/>
      <c r="D400" s="15"/>
      <c r="E400" s="15"/>
      <c r="F400" s="15"/>
    </row>
    <row r="401">
      <c r="A401" s="24"/>
      <c r="B401" s="15"/>
      <c r="C401" s="15"/>
      <c r="D401" s="15"/>
      <c r="E401" s="15"/>
      <c r="F401" s="15"/>
    </row>
    <row r="402">
      <c r="A402" s="24"/>
      <c r="B402" s="15"/>
      <c r="C402" s="15"/>
      <c r="D402" s="15"/>
      <c r="E402" s="15"/>
      <c r="F402" s="15"/>
    </row>
    <row r="403">
      <c r="A403" s="24"/>
      <c r="B403" s="15"/>
      <c r="C403" s="15"/>
      <c r="D403" s="15"/>
      <c r="E403" s="15"/>
      <c r="F403" s="15"/>
    </row>
    <row r="404">
      <c r="A404" s="24"/>
      <c r="B404" s="15"/>
      <c r="C404" s="15"/>
      <c r="D404" s="15"/>
      <c r="E404" s="15"/>
      <c r="F404" s="15"/>
    </row>
    <row r="405">
      <c r="A405" s="24"/>
      <c r="B405" s="15"/>
      <c r="C405" s="15"/>
      <c r="D405" s="15"/>
      <c r="E405" s="15"/>
      <c r="F405" s="15"/>
    </row>
    <row r="406">
      <c r="A406" s="24"/>
      <c r="B406" s="15"/>
      <c r="C406" s="15"/>
      <c r="D406" s="15"/>
      <c r="E406" s="15"/>
      <c r="F406" s="15"/>
    </row>
    <row r="407">
      <c r="A407" s="24"/>
      <c r="B407" s="15"/>
      <c r="C407" s="15"/>
      <c r="D407" s="15"/>
      <c r="E407" s="15"/>
      <c r="F407" s="15"/>
    </row>
    <row r="408">
      <c r="A408" s="24"/>
      <c r="B408" s="15"/>
      <c r="C408" s="15"/>
      <c r="D408" s="15"/>
      <c r="E408" s="15"/>
      <c r="F408" s="15"/>
    </row>
    <row r="409">
      <c r="A409" s="24"/>
      <c r="B409" s="15"/>
      <c r="C409" s="15"/>
      <c r="D409" s="15"/>
      <c r="E409" s="15"/>
      <c r="F409" s="15"/>
    </row>
    <row r="410">
      <c r="A410" s="24"/>
      <c r="B410" s="15"/>
      <c r="C410" s="15"/>
      <c r="D410" s="15"/>
      <c r="E410" s="15"/>
      <c r="F410" s="15"/>
    </row>
    <row r="411">
      <c r="A411" s="24"/>
      <c r="B411" s="15"/>
      <c r="C411" s="15"/>
      <c r="D411" s="15"/>
      <c r="E411" s="15"/>
      <c r="F411" s="15"/>
    </row>
    <row r="412">
      <c r="A412" s="24"/>
      <c r="B412" s="15"/>
      <c r="C412" s="15"/>
      <c r="D412" s="15"/>
      <c r="E412" s="15"/>
      <c r="F412" s="15"/>
    </row>
    <row r="413">
      <c r="A413" s="24"/>
      <c r="B413" s="15"/>
      <c r="C413" s="15"/>
      <c r="D413" s="15"/>
      <c r="E413" s="15"/>
      <c r="F413" s="15"/>
    </row>
    <row r="414">
      <c r="A414" s="24"/>
      <c r="B414" s="15"/>
      <c r="C414" s="15"/>
      <c r="D414" s="15"/>
      <c r="E414" s="15"/>
      <c r="F414" s="15"/>
    </row>
    <row r="415">
      <c r="A415" s="24"/>
      <c r="B415" s="15"/>
      <c r="C415" s="15"/>
      <c r="D415" s="15"/>
      <c r="E415" s="15"/>
      <c r="F415" s="15"/>
    </row>
    <row r="416">
      <c r="A416" s="24"/>
      <c r="B416" s="15"/>
      <c r="C416" s="15"/>
      <c r="D416" s="15"/>
      <c r="E416" s="15"/>
      <c r="F416" s="15"/>
    </row>
    <row r="417">
      <c r="A417" s="24"/>
      <c r="B417" s="15"/>
      <c r="C417" s="15"/>
      <c r="D417" s="15"/>
      <c r="E417" s="15"/>
      <c r="F417" s="15"/>
    </row>
    <row r="418">
      <c r="A418" s="24"/>
      <c r="B418" s="15"/>
      <c r="C418" s="15"/>
      <c r="D418" s="15"/>
      <c r="E418" s="15"/>
      <c r="F418" s="15"/>
    </row>
    <row r="419">
      <c r="A419" s="24"/>
      <c r="B419" s="15"/>
      <c r="C419" s="15"/>
      <c r="D419" s="15"/>
      <c r="E419" s="15"/>
      <c r="F419" s="15"/>
    </row>
    <row r="420">
      <c r="A420" s="24"/>
      <c r="B420" s="15"/>
      <c r="C420" s="15"/>
      <c r="D420" s="15"/>
      <c r="E420" s="15"/>
      <c r="F420" s="15"/>
    </row>
    <row r="421">
      <c r="A421" s="24"/>
      <c r="B421" s="15"/>
      <c r="C421" s="15"/>
      <c r="D421" s="15"/>
      <c r="E421" s="15"/>
      <c r="F421" s="15"/>
    </row>
    <row r="422">
      <c r="A422" s="24"/>
      <c r="B422" s="15"/>
      <c r="C422" s="15"/>
      <c r="D422" s="15"/>
      <c r="E422" s="15"/>
      <c r="F422" s="15"/>
    </row>
    <row r="423">
      <c r="A423" s="24"/>
      <c r="B423" s="15"/>
      <c r="C423" s="15"/>
      <c r="D423" s="15"/>
      <c r="E423" s="15"/>
      <c r="F423" s="15"/>
    </row>
    <row r="424">
      <c r="A424" s="24"/>
      <c r="B424" s="15"/>
      <c r="C424" s="15"/>
      <c r="D424" s="15"/>
      <c r="E424" s="15"/>
      <c r="F424" s="15"/>
    </row>
    <row r="425">
      <c r="A425" s="24"/>
      <c r="B425" s="15"/>
      <c r="C425" s="15"/>
      <c r="D425" s="15"/>
      <c r="E425" s="15"/>
      <c r="F425" s="15"/>
    </row>
    <row r="426">
      <c r="A426" s="24"/>
      <c r="B426" s="15"/>
      <c r="C426" s="15"/>
      <c r="D426" s="15"/>
      <c r="E426" s="15"/>
      <c r="F426" s="15"/>
    </row>
    <row r="427">
      <c r="A427" s="24"/>
      <c r="B427" s="15"/>
      <c r="C427" s="15"/>
      <c r="D427" s="15"/>
      <c r="E427" s="15"/>
      <c r="F427" s="15"/>
    </row>
    <row r="428">
      <c r="A428" s="24"/>
      <c r="B428" s="15"/>
      <c r="C428" s="15"/>
      <c r="D428" s="15"/>
      <c r="E428" s="15"/>
      <c r="F428" s="15"/>
    </row>
    <row r="429">
      <c r="A429" s="24"/>
      <c r="B429" s="15"/>
      <c r="C429" s="15"/>
      <c r="D429" s="15"/>
      <c r="E429" s="15"/>
      <c r="F429" s="15"/>
    </row>
    <row r="430">
      <c r="A430" s="24"/>
      <c r="B430" s="15"/>
      <c r="C430" s="15"/>
      <c r="D430" s="15"/>
      <c r="E430" s="15"/>
      <c r="F430" s="15"/>
    </row>
    <row r="431">
      <c r="A431" s="24"/>
      <c r="B431" s="15"/>
      <c r="C431" s="15"/>
      <c r="D431" s="15"/>
      <c r="E431" s="15"/>
      <c r="F431" s="15"/>
    </row>
    <row r="432">
      <c r="A432" s="24"/>
      <c r="B432" s="15"/>
      <c r="C432" s="15"/>
      <c r="D432" s="15"/>
      <c r="E432" s="15"/>
      <c r="F432" s="15"/>
    </row>
    <row r="433">
      <c r="A433" s="24"/>
      <c r="B433" s="15"/>
      <c r="C433" s="15"/>
      <c r="D433" s="15"/>
      <c r="E433" s="15"/>
      <c r="F433" s="15"/>
    </row>
    <row r="434">
      <c r="A434" s="24"/>
      <c r="B434" s="15"/>
      <c r="C434" s="15"/>
      <c r="D434" s="15"/>
      <c r="E434" s="15"/>
      <c r="F434" s="15"/>
    </row>
    <row r="435">
      <c r="A435" s="24"/>
      <c r="B435" s="15"/>
      <c r="C435" s="15"/>
      <c r="D435" s="15"/>
      <c r="E435" s="15"/>
      <c r="F435" s="15"/>
    </row>
    <row r="436">
      <c r="A436" s="24"/>
      <c r="B436" s="15"/>
      <c r="C436" s="15"/>
      <c r="D436" s="15"/>
      <c r="E436" s="15"/>
      <c r="F436" s="15"/>
    </row>
    <row r="437">
      <c r="A437" s="24"/>
      <c r="B437" s="15"/>
      <c r="C437" s="15"/>
      <c r="D437" s="15"/>
      <c r="E437" s="15"/>
      <c r="F437" s="15"/>
    </row>
    <row r="438">
      <c r="A438" s="24"/>
      <c r="B438" s="15"/>
      <c r="C438" s="15"/>
      <c r="D438" s="15"/>
      <c r="E438" s="15"/>
      <c r="F438" s="15"/>
    </row>
    <row r="439">
      <c r="A439" s="24"/>
      <c r="B439" s="15"/>
      <c r="C439" s="15"/>
      <c r="D439" s="15"/>
      <c r="E439" s="15"/>
      <c r="F439" s="15"/>
    </row>
    <row r="440">
      <c r="A440" s="24"/>
      <c r="B440" s="15"/>
      <c r="C440" s="15"/>
      <c r="D440" s="15"/>
      <c r="E440" s="15"/>
      <c r="F440" s="15"/>
    </row>
    <row r="441">
      <c r="A441" s="24"/>
      <c r="B441" s="15"/>
      <c r="C441" s="15"/>
      <c r="D441" s="15"/>
      <c r="E441" s="15"/>
      <c r="F441" s="15"/>
    </row>
    <row r="442">
      <c r="A442" s="24"/>
      <c r="B442" s="15"/>
      <c r="C442" s="15"/>
      <c r="D442" s="15"/>
      <c r="E442" s="15"/>
      <c r="F442" s="15"/>
    </row>
    <row r="443">
      <c r="A443" s="24"/>
      <c r="B443" s="15"/>
      <c r="C443" s="15"/>
      <c r="D443" s="15"/>
      <c r="E443" s="15"/>
      <c r="F443" s="15"/>
    </row>
    <row r="444">
      <c r="A444" s="24"/>
      <c r="B444" s="15"/>
      <c r="C444" s="15"/>
      <c r="D444" s="15"/>
      <c r="E444" s="15"/>
      <c r="F444" s="15"/>
    </row>
    <row r="445">
      <c r="A445" s="24"/>
      <c r="B445" s="15"/>
      <c r="C445" s="15"/>
      <c r="D445" s="15"/>
      <c r="E445" s="15"/>
      <c r="F445" s="15"/>
    </row>
    <row r="446">
      <c r="A446" s="24"/>
      <c r="B446" s="15"/>
      <c r="C446" s="15"/>
      <c r="D446" s="15"/>
      <c r="E446" s="15"/>
      <c r="F446" s="15"/>
    </row>
    <row r="447">
      <c r="A447" s="24"/>
      <c r="B447" s="15"/>
      <c r="C447" s="15"/>
      <c r="D447" s="15"/>
      <c r="E447" s="15"/>
      <c r="F447" s="15"/>
    </row>
    <row r="448">
      <c r="A448" s="24"/>
      <c r="B448" s="15"/>
      <c r="C448" s="15"/>
      <c r="D448" s="15"/>
      <c r="E448" s="15"/>
      <c r="F448" s="15"/>
    </row>
    <row r="449">
      <c r="A449" s="24"/>
      <c r="B449" s="15"/>
      <c r="C449" s="15"/>
      <c r="D449" s="15"/>
      <c r="E449" s="15"/>
      <c r="F449" s="15"/>
    </row>
    <row r="450">
      <c r="A450" s="24"/>
      <c r="B450" s="15"/>
      <c r="C450" s="15"/>
      <c r="D450" s="15"/>
      <c r="E450" s="15"/>
      <c r="F450" s="15"/>
    </row>
    <row r="451">
      <c r="A451" s="24"/>
      <c r="B451" s="15"/>
      <c r="C451" s="15"/>
      <c r="D451" s="15"/>
      <c r="E451" s="15"/>
      <c r="F451" s="15"/>
    </row>
    <row r="452">
      <c r="A452" s="24"/>
      <c r="B452" s="15"/>
      <c r="C452" s="15"/>
      <c r="D452" s="15"/>
      <c r="E452" s="15"/>
      <c r="F452" s="15"/>
    </row>
    <row r="453">
      <c r="A453" s="24"/>
      <c r="B453" s="15"/>
      <c r="C453" s="15"/>
      <c r="D453" s="15"/>
      <c r="E453" s="15"/>
      <c r="F453" s="15"/>
    </row>
    <row r="454">
      <c r="A454" s="24"/>
      <c r="B454" s="15"/>
      <c r="C454" s="15"/>
      <c r="D454" s="15"/>
      <c r="E454" s="15"/>
      <c r="F454" s="15"/>
    </row>
    <row r="455">
      <c r="A455" s="24"/>
      <c r="B455" s="15"/>
      <c r="C455" s="15"/>
      <c r="D455" s="15"/>
      <c r="E455" s="15"/>
      <c r="F455" s="15"/>
    </row>
    <row r="456">
      <c r="A456" s="24"/>
      <c r="B456" s="15"/>
      <c r="C456" s="15"/>
      <c r="D456" s="15"/>
      <c r="E456" s="15"/>
      <c r="F456" s="15"/>
    </row>
    <row r="457">
      <c r="A457" s="24"/>
      <c r="B457" s="15"/>
      <c r="C457" s="15"/>
      <c r="D457" s="15"/>
      <c r="E457" s="15"/>
      <c r="F457" s="15"/>
    </row>
    <row r="458">
      <c r="A458" s="24"/>
      <c r="B458" s="15"/>
      <c r="C458" s="15"/>
      <c r="D458" s="15"/>
      <c r="E458" s="15"/>
      <c r="F458" s="15"/>
    </row>
    <row r="459">
      <c r="A459" s="24"/>
      <c r="B459" s="15"/>
      <c r="C459" s="15"/>
      <c r="D459" s="15"/>
      <c r="E459" s="15"/>
      <c r="F459" s="15"/>
    </row>
    <row r="460">
      <c r="A460" s="24"/>
      <c r="B460" s="15"/>
      <c r="C460" s="15"/>
      <c r="D460" s="15"/>
      <c r="E460" s="15"/>
      <c r="F460" s="15"/>
    </row>
    <row r="461">
      <c r="A461" s="24"/>
      <c r="B461" s="15"/>
      <c r="C461" s="15"/>
      <c r="D461" s="15"/>
      <c r="E461" s="15"/>
      <c r="F461" s="15"/>
    </row>
    <row r="462">
      <c r="A462" s="24"/>
      <c r="B462" s="15"/>
      <c r="C462" s="15"/>
      <c r="D462" s="15"/>
      <c r="E462" s="15"/>
      <c r="F462" s="15"/>
    </row>
    <row r="463">
      <c r="A463" s="24"/>
      <c r="B463" s="15"/>
      <c r="C463" s="15"/>
      <c r="D463" s="15"/>
      <c r="E463" s="15"/>
      <c r="F463" s="15"/>
    </row>
    <row r="464">
      <c r="A464" s="24"/>
      <c r="B464" s="15"/>
      <c r="C464" s="15"/>
      <c r="D464" s="15"/>
      <c r="E464" s="15"/>
      <c r="F464" s="15"/>
    </row>
    <row r="465">
      <c r="A465" s="24"/>
      <c r="B465" s="15"/>
      <c r="C465" s="15"/>
      <c r="D465" s="15"/>
      <c r="E465" s="15"/>
      <c r="F465" s="15"/>
    </row>
    <row r="466">
      <c r="A466" s="24"/>
      <c r="B466" s="15"/>
      <c r="C466" s="15"/>
      <c r="D466" s="15"/>
      <c r="E466" s="15"/>
      <c r="F466" s="15"/>
    </row>
    <row r="467">
      <c r="A467" s="24"/>
      <c r="B467" s="15"/>
      <c r="C467" s="15"/>
      <c r="D467" s="15"/>
      <c r="E467" s="15"/>
      <c r="F467" s="15"/>
    </row>
    <row r="468">
      <c r="A468" s="24"/>
      <c r="B468" s="15"/>
      <c r="C468" s="15"/>
      <c r="D468" s="15"/>
      <c r="E468" s="15"/>
      <c r="F468" s="15"/>
    </row>
    <row r="469">
      <c r="A469" s="24"/>
      <c r="B469" s="15"/>
      <c r="C469" s="15"/>
      <c r="D469" s="15"/>
      <c r="E469" s="15"/>
      <c r="F469" s="15"/>
    </row>
    <row r="470">
      <c r="A470" s="24"/>
      <c r="B470" s="15"/>
      <c r="C470" s="15"/>
      <c r="D470" s="15"/>
      <c r="E470" s="15"/>
      <c r="F470" s="15"/>
    </row>
    <row r="471">
      <c r="A471" s="24"/>
      <c r="B471" s="15"/>
      <c r="C471" s="15"/>
      <c r="D471" s="15"/>
      <c r="E471" s="15"/>
      <c r="F471" s="15"/>
    </row>
    <row r="472">
      <c r="A472" s="24"/>
      <c r="B472" s="15"/>
      <c r="C472" s="15"/>
      <c r="D472" s="15"/>
      <c r="E472" s="15"/>
      <c r="F472" s="15"/>
    </row>
    <row r="473">
      <c r="A473" s="24"/>
      <c r="B473" s="15"/>
      <c r="C473" s="15"/>
      <c r="D473" s="15"/>
      <c r="E473" s="15"/>
      <c r="F473" s="15"/>
    </row>
    <row r="474">
      <c r="A474" s="24"/>
      <c r="B474" s="15"/>
      <c r="C474" s="15"/>
      <c r="D474" s="15"/>
      <c r="E474" s="15"/>
      <c r="F474" s="15"/>
    </row>
    <row r="475">
      <c r="A475" s="24"/>
      <c r="B475" s="15"/>
      <c r="C475" s="15"/>
      <c r="D475" s="15"/>
      <c r="E475" s="15"/>
      <c r="F475" s="15"/>
    </row>
    <row r="476">
      <c r="A476" s="24"/>
      <c r="B476" s="15"/>
      <c r="C476" s="15"/>
      <c r="D476" s="15"/>
      <c r="E476" s="15"/>
      <c r="F476" s="15"/>
    </row>
    <row r="477">
      <c r="A477" s="24"/>
      <c r="B477" s="15"/>
      <c r="C477" s="15"/>
      <c r="D477" s="15"/>
      <c r="E477" s="15"/>
      <c r="F477" s="15"/>
    </row>
    <row r="478">
      <c r="A478" s="24"/>
      <c r="B478" s="15"/>
      <c r="C478" s="15"/>
      <c r="D478" s="15"/>
      <c r="E478" s="15"/>
      <c r="F478" s="15"/>
    </row>
    <row r="479">
      <c r="A479" s="24"/>
      <c r="B479" s="15"/>
      <c r="C479" s="15"/>
      <c r="D479" s="15"/>
      <c r="E479" s="15"/>
      <c r="F479" s="15"/>
    </row>
    <row r="480">
      <c r="A480" s="24"/>
      <c r="B480" s="15"/>
      <c r="C480" s="15"/>
      <c r="D480" s="15"/>
      <c r="E480" s="15"/>
      <c r="F480" s="15"/>
    </row>
    <row r="481">
      <c r="A481" s="24"/>
      <c r="B481" s="15"/>
      <c r="C481" s="15"/>
      <c r="D481" s="15"/>
      <c r="E481" s="15"/>
      <c r="F481" s="15"/>
    </row>
    <row r="482">
      <c r="A482" s="24"/>
      <c r="B482" s="15"/>
      <c r="C482" s="15"/>
      <c r="D482" s="15"/>
      <c r="E482" s="15"/>
      <c r="F482" s="15"/>
    </row>
    <row r="483">
      <c r="A483" s="24"/>
      <c r="B483" s="15"/>
      <c r="C483" s="15"/>
      <c r="D483" s="15"/>
      <c r="E483" s="15"/>
      <c r="F483" s="15"/>
    </row>
    <row r="484">
      <c r="A484" s="24"/>
      <c r="B484" s="15"/>
      <c r="C484" s="15"/>
      <c r="D484" s="15"/>
      <c r="E484" s="15"/>
      <c r="F484" s="15"/>
    </row>
    <row r="485">
      <c r="A485" s="24"/>
      <c r="B485" s="15"/>
      <c r="C485" s="15"/>
      <c r="D485" s="15"/>
      <c r="E485" s="15"/>
      <c r="F485" s="15"/>
    </row>
    <row r="486">
      <c r="A486" s="24"/>
      <c r="B486" s="15"/>
      <c r="C486" s="15"/>
      <c r="D486" s="15"/>
      <c r="E486" s="15"/>
      <c r="F486" s="15"/>
    </row>
    <row r="487">
      <c r="A487" s="24"/>
      <c r="B487" s="15"/>
      <c r="C487" s="15"/>
      <c r="D487" s="15"/>
      <c r="E487" s="15"/>
      <c r="F487" s="15"/>
    </row>
    <row r="488">
      <c r="A488" s="24"/>
      <c r="B488" s="15"/>
      <c r="C488" s="15"/>
      <c r="D488" s="15"/>
      <c r="E488" s="15"/>
      <c r="F488" s="15"/>
    </row>
    <row r="489">
      <c r="A489" s="24"/>
      <c r="B489" s="15"/>
      <c r="C489" s="15"/>
      <c r="D489" s="15"/>
      <c r="E489" s="15"/>
      <c r="F489" s="15"/>
    </row>
    <row r="490">
      <c r="A490" s="24"/>
      <c r="B490" s="15"/>
      <c r="C490" s="15"/>
      <c r="D490" s="15"/>
      <c r="E490" s="15"/>
      <c r="F490" s="15"/>
    </row>
    <row r="491">
      <c r="A491" s="24"/>
      <c r="B491" s="15"/>
      <c r="C491" s="15"/>
      <c r="D491" s="15"/>
      <c r="E491" s="15"/>
      <c r="F491" s="15"/>
    </row>
    <row r="492">
      <c r="A492" s="24"/>
      <c r="B492" s="15"/>
      <c r="C492" s="15"/>
      <c r="D492" s="15"/>
      <c r="E492" s="15"/>
      <c r="F492" s="15"/>
    </row>
    <row r="493">
      <c r="A493" s="24"/>
      <c r="B493" s="15"/>
      <c r="C493" s="15"/>
      <c r="D493" s="15"/>
      <c r="E493" s="15"/>
      <c r="F493" s="15"/>
    </row>
    <row r="494">
      <c r="A494" s="24"/>
      <c r="B494" s="15"/>
      <c r="C494" s="15"/>
      <c r="D494" s="15"/>
      <c r="E494" s="15"/>
      <c r="F494" s="15"/>
    </row>
    <row r="495">
      <c r="A495" s="24"/>
      <c r="B495" s="15"/>
      <c r="C495" s="15"/>
      <c r="D495" s="15"/>
      <c r="E495" s="15"/>
      <c r="F495" s="15"/>
    </row>
    <row r="496">
      <c r="A496" s="24"/>
      <c r="B496" s="15"/>
      <c r="C496" s="15"/>
      <c r="D496" s="15"/>
      <c r="E496" s="15"/>
      <c r="F496" s="15"/>
    </row>
    <row r="497">
      <c r="A497" s="24"/>
      <c r="B497" s="15"/>
      <c r="C497" s="15"/>
      <c r="D497" s="15"/>
      <c r="E497" s="15"/>
      <c r="F497" s="15"/>
    </row>
    <row r="498">
      <c r="A498" s="24"/>
      <c r="B498" s="15"/>
      <c r="C498" s="15"/>
      <c r="D498" s="15"/>
      <c r="E498" s="15"/>
      <c r="F498" s="15"/>
    </row>
    <row r="499">
      <c r="A499" s="24"/>
      <c r="B499" s="15"/>
      <c r="C499" s="15"/>
      <c r="D499" s="15"/>
      <c r="E499" s="15"/>
      <c r="F499" s="15"/>
    </row>
    <row r="500">
      <c r="A500" s="24"/>
      <c r="B500" s="15"/>
      <c r="C500" s="15"/>
      <c r="D500" s="15"/>
      <c r="E500" s="15"/>
      <c r="F500" s="15"/>
    </row>
    <row r="501">
      <c r="A501" s="24"/>
      <c r="B501" s="15"/>
      <c r="C501" s="15"/>
      <c r="D501" s="15"/>
      <c r="E501" s="15"/>
      <c r="F501" s="15"/>
    </row>
    <row r="502">
      <c r="A502" s="24"/>
      <c r="B502" s="15"/>
      <c r="C502" s="15"/>
      <c r="D502" s="15"/>
      <c r="E502" s="15"/>
      <c r="F502" s="15"/>
    </row>
    <row r="503">
      <c r="A503" s="24"/>
      <c r="B503" s="15"/>
      <c r="C503" s="15"/>
      <c r="D503" s="15"/>
      <c r="E503" s="15"/>
      <c r="F503" s="15"/>
    </row>
    <row r="504">
      <c r="A504" s="24"/>
      <c r="B504" s="15"/>
      <c r="C504" s="15"/>
      <c r="D504" s="15"/>
      <c r="E504" s="15"/>
      <c r="F504" s="15"/>
    </row>
    <row r="505">
      <c r="A505" s="24"/>
      <c r="B505" s="15"/>
      <c r="C505" s="15"/>
      <c r="D505" s="15"/>
      <c r="E505" s="15"/>
      <c r="F505" s="15"/>
    </row>
    <row r="506">
      <c r="A506" s="24"/>
      <c r="B506" s="15"/>
      <c r="C506" s="15"/>
      <c r="D506" s="15"/>
      <c r="E506" s="15"/>
      <c r="F506" s="15"/>
    </row>
    <row r="507">
      <c r="A507" s="24"/>
      <c r="B507" s="15"/>
      <c r="C507" s="15"/>
      <c r="D507" s="15"/>
      <c r="E507" s="15"/>
      <c r="F507" s="15"/>
    </row>
    <row r="508">
      <c r="A508" s="24"/>
      <c r="B508" s="15"/>
      <c r="C508" s="15"/>
      <c r="D508" s="15"/>
      <c r="E508" s="15"/>
      <c r="F508" s="15"/>
    </row>
    <row r="509">
      <c r="A509" s="24"/>
      <c r="B509" s="15"/>
      <c r="C509" s="15"/>
      <c r="D509" s="15"/>
      <c r="E509" s="15"/>
      <c r="F509" s="15"/>
    </row>
    <row r="510">
      <c r="A510" s="24"/>
      <c r="B510" s="15"/>
      <c r="C510" s="15"/>
      <c r="D510" s="15"/>
      <c r="E510" s="15"/>
      <c r="F510" s="15"/>
    </row>
    <row r="511">
      <c r="A511" s="24"/>
      <c r="B511" s="15"/>
      <c r="C511" s="15"/>
      <c r="D511" s="15"/>
      <c r="E511" s="15"/>
      <c r="F511" s="15"/>
    </row>
    <row r="512">
      <c r="A512" s="24"/>
      <c r="B512" s="15"/>
      <c r="C512" s="15"/>
      <c r="D512" s="15"/>
      <c r="E512" s="15"/>
      <c r="F512" s="15"/>
    </row>
    <row r="513">
      <c r="A513" s="24"/>
      <c r="B513" s="15"/>
      <c r="C513" s="15"/>
      <c r="D513" s="15"/>
      <c r="E513" s="15"/>
      <c r="F513" s="15"/>
    </row>
    <row r="514">
      <c r="A514" s="24"/>
      <c r="B514" s="15"/>
      <c r="C514" s="15"/>
      <c r="D514" s="15"/>
      <c r="E514" s="15"/>
      <c r="F514" s="15"/>
    </row>
    <row r="515">
      <c r="A515" s="24"/>
      <c r="B515" s="15"/>
      <c r="C515" s="15"/>
      <c r="D515" s="15"/>
      <c r="E515" s="15"/>
      <c r="F515" s="15"/>
    </row>
    <row r="516">
      <c r="A516" s="24"/>
      <c r="B516" s="15"/>
      <c r="C516" s="15"/>
      <c r="D516" s="15"/>
      <c r="E516" s="15"/>
      <c r="F516" s="15"/>
    </row>
    <row r="517">
      <c r="A517" s="24"/>
      <c r="B517" s="15"/>
      <c r="C517" s="15"/>
      <c r="D517" s="15"/>
      <c r="E517" s="15"/>
      <c r="F517" s="15"/>
    </row>
    <row r="518">
      <c r="A518" s="24"/>
      <c r="B518" s="15"/>
      <c r="C518" s="15"/>
      <c r="D518" s="15"/>
      <c r="E518" s="15"/>
      <c r="F518" s="15"/>
    </row>
    <row r="519">
      <c r="A519" s="24"/>
      <c r="B519" s="15"/>
      <c r="C519" s="15"/>
      <c r="D519" s="15"/>
      <c r="E519" s="15"/>
      <c r="F519" s="15"/>
    </row>
    <row r="520">
      <c r="A520" s="24"/>
      <c r="B520" s="15"/>
      <c r="C520" s="15"/>
      <c r="D520" s="15"/>
      <c r="E520" s="15"/>
      <c r="F520" s="15"/>
    </row>
    <row r="521">
      <c r="A521" s="24"/>
      <c r="B521" s="15"/>
      <c r="C521" s="15"/>
      <c r="D521" s="15"/>
      <c r="E521" s="15"/>
      <c r="F521" s="15"/>
    </row>
    <row r="522">
      <c r="A522" s="24"/>
      <c r="B522" s="15"/>
      <c r="C522" s="15"/>
      <c r="D522" s="15"/>
      <c r="E522" s="15"/>
      <c r="F522" s="15"/>
    </row>
    <row r="523">
      <c r="A523" s="24"/>
      <c r="B523" s="15"/>
      <c r="C523" s="15"/>
      <c r="D523" s="15"/>
      <c r="E523" s="15"/>
      <c r="F523" s="15"/>
    </row>
    <row r="524">
      <c r="A524" s="24"/>
      <c r="B524" s="15"/>
      <c r="C524" s="15"/>
      <c r="D524" s="15"/>
      <c r="E524" s="15"/>
      <c r="F524" s="15"/>
    </row>
    <row r="525">
      <c r="A525" s="24"/>
      <c r="B525" s="15"/>
      <c r="C525" s="15"/>
      <c r="D525" s="15"/>
      <c r="E525" s="15"/>
      <c r="F525" s="15"/>
    </row>
    <row r="526">
      <c r="A526" s="24"/>
      <c r="B526" s="15"/>
      <c r="C526" s="15"/>
      <c r="D526" s="15"/>
      <c r="E526" s="15"/>
      <c r="F526" s="15"/>
    </row>
    <row r="527">
      <c r="A527" s="24"/>
      <c r="B527" s="15"/>
      <c r="C527" s="15"/>
      <c r="D527" s="15"/>
      <c r="E527" s="15"/>
      <c r="F527" s="15"/>
    </row>
    <row r="528">
      <c r="A528" s="24"/>
      <c r="B528" s="15"/>
      <c r="C528" s="15"/>
      <c r="D528" s="15"/>
      <c r="E528" s="15"/>
      <c r="F528" s="15"/>
    </row>
    <row r="529">
      <c r="A529" s="24"/>
      <c r="B529" s="15"/>
      <c r="C529" s="15"/>
      <c r="D529" s="15"/>
      <c r="E529" s="15"/>
      <c r="F529" s="15"/>
    </row>
    <row r="530">
      <c r="A530" s="24"/>
      <c r="B530" s="15"/>
      <c r="C530" s="15"/>
      <c r="D530" s="15"/>
      <c r="E530" s="15"/>
      <c r="F530" s="15"/>
    </row>
    <row r="531">
      <c r="A531" s="24"/>
      <c r="B531" s="15"/>
      <c r="C531" s="15"/>
      <c r="D531" s="15"/>
      <c r="E531" s="15"/>
      <c r="F531" s="15"/>
    </row>
    <row r="532">
      <c r="A532" s="24"/>
      <c r="B532" s="15"/>
      <c r="C532" s="15"/>
      <c r="D532" s="15"/>
      <c r="E532" s="15"/>
      <c r="F532" s="15"/>
    </row>
    <row r="533">
      <c r="A533" s="24"/>
      <c r="B533" s="15"/>
      <c r="C533" s="15"/>
      <c r="D533" s="15"/>
      <c r="E533" s="15"/>
      <c r="F533" s="15"/>
    </row>
    <row r="534">
      <c r="A534" s="24"/>
      <c r="B534" s="15"/>
      <c r="C534" s="15"/>
      <c r="D534" s="15"/>
      <c r="E534" s="15"/>
      <c r="F534" s="15"/>
    </row>
    <row r="535">
      <c r="A535" s="24"/>
      <c r="B535" s="15"/>
      <c r="C535" s="15"/>
      <c r="D535" s="15"/>
      <c r="E535" s="15"/>
      <c r="F535" s="15"/>
    </row>
    <row r="536">
      <c r="A536" s="24"/>
      <c r="B536" s="15"/>
      <c r="C536" s="15"/>
      <c r="D536" s="15"/>
      <c r="E536" s="15"/>
      <c r="F536" s="15"/>
    </row>
    <row r="537">
      <c r="A537" s="24"/>
      <c r="B537" s="15"/>
      <c r="C537" s="15"/>
      <c r="D537" s="15"/>
      <c r="E537" s="15"/>
      <c r="F537" s="15"/>
    </row>
    <row r="538">
      <c r="A538" s="24"/>
      <c r="B538" s="15"/>
      <c r="C538" s="15"/>
      <c r="D538" s="15"/>
      <c r="E538" s="15"/>
      <c r="F538" s="15"/>
    </row>
    <row r="539">
      <c r="A539" s="24"/>
      <c r="B539" s="15"/>
      <c r="C539" s="15"/>
      <c r="D539" s="15"/>
      <c r="E539" s="15"/>
      <c r="F539" s="15"/>
    </row>
    <row r="540">
      <c r="A540" s="24"/>
      <c r="B540" s="15"/>
      <c r="C540" s="15"/>
      <c r="D540" s="15"/>
      <c r="E540" s="15"/>
      <c r="F540" s="15"/>
    </row>
    <row r="541">
      <c r="A541" s="24"/>
      <c r="B541" s="15"/>
      <c r="C541" s="15"/>
      <c r="D541" s="15"/>
      <c r="E541" s="15"/>
      <c r="F541" s="15"/>
    </row>
    <row r="542">
      <c r="A542" s="24"/>
      <c r="B542" s="15"/>
      <c r="C542" s="15"/>
      <c r="D542" s="15"/>
      <c r="E542" s="15"/>
      <c r="F542" s="15"/>
    </row>
    <row r="543">
      <c r="A543" s="24"/>
      <c r="B543" s="15"/>
      <c r="C543" s="15"/>
      <c r="D543" s="15"/>
      <c r="E543" s="15"/>
      <c r="F543" s="15"/>
    </row>
    <row r="544">
      <c r="A544" s="24"/>
      <c r="B544" s="15"/>
      <c r="C544" s="15"/>
      <c r="D544" s="15"/>
      <c r="E544" s="15"/>
      <c r="F544" s="15"/>
    </row>
    <row r="545">
      <c r="A545" s="24"/>
      <c r="B545" s="15"/>
      <c r="C545" s="15"/>
      <c r="D545" s="15"/>
      <c r="E545" s="15"/>
      <c r="F545" s="15"/>
    </row>
    <row r="546">
      <c r="A546" s="24"/>
      <c r="B546" s="15"/>
      <c r="C546" s="15"/>
      <c r="D546" s="15"/>
      <c r="E546" s="15"/>
      <c r="F546" s="15"/>
    </row>
    <row r="547">
      <c r="A547" s="24"/>
      <c r="B547" s="15"/>
      <c r="C547" s="15"/>
      <c r="D547" s="15"/>
      <c r="E547" s="15"/>
      <c r="F547" s="15"/>
    </row>
    <row r="548">
      <c r="A548" s="24"/>
      <c r="B548" s="15"/>
      <c r="C548" s="15"/>
      <c r="D548" s="15"/>
      <c r="E548" s="15"/>
      <c r="F548" s="15"/>
    </row>
    <row r="549">
      <c r="A549" s="24"/>
      <c r="B549" s="15"/>
      <c r="C549" s="15"/>
      <c r="D549" s="15"/>
      <c r="E549" s="15"/>
      <c r="F549" s="15"/>
    </row>
    <row r="550">
      <c r="A550" s="24"/>
      <c r="B550" s="15"/>
      <c r="C550" s="15"/>
      <c r="D550" s="15"/>
      <c r="E550" s="15"/>
      <c r="F550" s="15"/>
    </row>
    <row r="551">
      <c r="A551" s="24"/>
      <c r="B551" s="15"/>
      <c r="C551" s="15"/>
      <c r="D551" s="15"/>
      <c r="E551" s="15"/>
      <c r="F551" s="15"/>
    </row>
    <row r="552">
      <c r="A552" s="24"/>
      <c r="B552" s="15"/>
      <c r="C552" s="15"/>
      <c r="D552" s="15"/>
      <c r="E552" s="15"/>
      <c r="F552" s="15"/>
    </row>
    <row r="553">
      <c r="A553" s="24"/>
      <c r="B553" s="15"/>
      <c r="C553" s="15"/>
      <c r="D553" s="15"/>
      <c r="E553" s="15"/>
      <c r="F553" s="15"/>
    </row>
    <row r="554">
      <c r="A554" s="24"/>
      <c r="B554" s="15"/>
      <c r="C554" s="15"/>
      <c r="D554" s="15"/>
      <c r="E554" s="15"/>
      <c r="F554" s="15"/>
    </row>
    <row r="555">
      <c r="A555" s="24"/>
      <c r="B555" s="15"/>
      <c r="C555" s="15"/>
      <c r="D555" s="15"/>
      <c r="E555" s="15"/>
      <c r="F555" s="15"/>
    </row>
    <row r="556">
      <c r="A556" s="24"/>
      <c r="B556" s="15"/>
      <c r="C556" s="15"/>
      <c r="D556" s="15"/>
      <c r="E556" s="15"/>
      <c r="F556" s="15"/>
    </row>
    <row r="557">
      <c r="A557" s="24"/>
      <c r="B557" s="15"/>
      <c r="C557" s="15"/>
      <c r="D557" s="15"/>
      <c r="E557" s="15"/>
      <c r="F557" s="15"/>
    </row>
    <row r="558">
      <c r="A558" s="24"/>
      <c r="B558" s="15"/>
      <c r="C558" s="15"/>
      <c r="D558" s="15"/>
      <c r="E558" s="15"/>
      <c r="F558" s="15"/>
    </row>
    <row r="559">
      <c r="A559" s="24"/>
      <c r="B559" s="15"/>
      <c r="C559" s="15"/>
      <c r="D559" s="15"/>
      <c r="E559" s="15"/>
      <c r="F559" s="15"/>
    </row>
    <row r="560">
      <c r="A560" s="24"/>
      <c r="B560" s="15"/>
      <c r="C560" s="15"/>
      <c r="D560" s="15"/>
      <c r="E560" s="15"/>
      <c r="F560" s="15"/>
    </row>
    <row r="561">
      <c r="A561" s="24"/>
      <c r="B561" s="15"/>
      <c r="C561" s="15"/>
      <c r="D561" s="15"/>
      <c r="E561" s="15"/>
      <c r="F561" s="15"/>
    </row>
    <row r="562">
      <c r="A562" s="24"/>
      <c r="B562" s="15"/>
      <c r="C562" s="15"/>
      <c r="D562" s="15"/>
      <c r="E562" s="15"/>
      <c r="F562" s="15"/>
    </row>
    <row r="563">
      <c r="A563" s="24"/>
      <c r="B563" s="15"/>
      <c r="C563" s="15"/>
      <c r="D563" s="15"/>
      <c r="E563" s="15"/>
      <c r="F563" s="15"/>
    </row>
    <row r="564">
      <c r="A564" s="24"/>
      <c r="B564" s="15"/>
      <c r="C564" s="15"/>
      <c r="D564" s="15"/>
      <c r="E564" s="15"/>
      <c r="F564" s="15"/>
    </row>
    <row r="565">
      <c r="A565" s="24"/>
      <c r="B565" s="15"/>
      <c r="C565" s="15"/>
      <c r="D565" s="15"/>
      <c r="E565" s="15"/>
      <c r="F565" s="15"/>
    </row>
    <row r="566">
      <c r="A566" s="24"/>
      <c r="B566" s="15"/>
      <c r="C566" s="15"/>
      <c r="D566" s="15"/>
      <c r="E566" s="15"/>
      <c r="F566" s="15"/>
    </row>
    <row r="567">
      <c r="A567" s="24"/>
      <c r="B567" s="15"/>
      <c r="C567" s="15"/>
      <c r="D567" s="15"/>
      <c r="E567" s="15"/>
      <c r="F567" s="15"/>
    </row>
    <row r="568">
      <c r="A568" s="24"/>
      <c r="B568" s="15"/>
      <c r="C568" s="15"/>
      <c r="D568" s="15"/>
      <c r="E568" s="15"/>
      <c r="F568" s="15"/>
    </row>
    <row r="569">
      <c r="A569" s="24"/>
      <c r="B569" s="15"/>
      <c r="C569" s="15"/>
      <c r="D569" s="15"/>
      <c r="E569" s="15"/>
      <c r="F569" s="15"/>
    </row>
    <row r="570">
      <c r="A570" s="24"/>
      <c r="B570" s="15"/>
      <c r="C570" s="15"/>
      <c r="D570" s="15"/>
      <c r="E570" s="15"/>
      <c r="F570" s="15"/>
    </row>
    <row r="571">
      <c r="A571" s="24"/>
      <c r="B571" s="15"/>
      <c r="C571" s="15"/>
      <c r="D571" s="15"/>
      <c r="E571" s="15"/>
      <c r="F571" s="15"/>
    </row>
    <row r="572">
      <c r="A572" s="24"/>
      <c r="B572" s="15"/>
      <c r="C572" s="15"/>
      <c r="D572" s="15"/>
      <c r="E572" s="15"/>
      <c r="F572" s="15"/>
    </row>
    <row r="573">
      <c r="A573" s="24"/>
      <c r="B573" s="15"/>
      <c r="C573" s="15"/>
      <c r="D573" s="15"/>
      <c r="E573" s="15"/>
      <c r="F573" s="15"/>
    </row>
    <row r="574">
      <c r="A574" s="24"/>
      <c r="B574" s="15"/>
      <c r="C574" s="15"/>
      <c r="D574" s="15"/>
      <c r="E574" s="15"/>
      <c r="F574" s="15"/>
    </row>
    <row r="575">
      <c r="A575" s="24"/>
      <c r="B575" s="15"/>
      <c r="C575" s="15"/>
      <c r="D575" s="15"/>
      <c r="E575" s="15"/>
      <c r="F575" s="15"/>
    </row>
    <row r="576">
      <c r="A576" s="24"/>
      <c r="B576" s="15"/>
      <c r="C576" s="15"/>
      <c r="D576" s="15"/>
      <c r="E576" s="15"/>
      <c r="F576" s="15"/>
    </row>
    <row r="577">
      <c r="A577" s="24"/>
      <c r="B577" s="15"/>
      <c r="C577" s="15"/>
      <c r="D577" s="15"/>
      <c r="E577" s="15"/>
      <c r="F577" s="15"/>
    </row>
    <row r="578">
      <c r="A578" s="24"/>
      <c r="B578" s="15"/>
      <c r="C578" s="15"/>
      <c r="D578" s="15"/>
      <c r="E578" s="15"/>
      <c r="F578" s="15"/>
    </row>
    <row r="579">
      <c r="A579" s="24"/>
      <c r="B579" s="15"/>
      <c r="C579" s="15"/>
      <c r="D579" s="15"/>
      <c r="E579" s="15"/>
      <c r="F579" s="15"/>
    </row>
    <row r="580">
      <c r="A580" s="24"/>
      <c r="B580" s="15"/>
      <c r="C580" s="15"/>
      <c r="D580" s="15"/>
      <c r="E580" s="15"/>
      <c r="F580" s="15"/>
    </row>
    <row r="581">
      <c r="A581" s="24"/>
      <c r="B581" s="15"/>
      <c r="C581" s="15"/>
      <c r="D581" s="15"/>
      <c r="E581" s="15"/>
      <c r="F581" s="15"/>
    </row>
    <row r="582">
      <c r="A582" s="24"/>
      <c r="B582" s="15"/>
      <c r="C582" s="15"/>
      <c r="D582" s="15"/>
      <c r="E582" s="15"/>
      <c r="F582" s="15"/>
    </row>
    <row r="583">
      <c r="A583" s="24"/>
      <c r="B583" s="15"/>
      <c r="C583" s="15"/>
      <c r="D583" s="15"/>
      <c r="E583" s="15"/>
      <c r="F583" s="15"/>
    </row>
    <row r="584">
      <c r="A584" s="24"/>
      <c r="B584" s="15"/>
      <c r="C584" s="15"/>
      <c r="D584" s="15"/>
      <c r="E584" s="15"/>
      <c r="F584" s="15"/>
    </row>
    <row r="585">
      <c r="A585" s="24"/>
      <c r="B585" s="15"/>
      <c r="C585" s="15"/>
      <c r="D585" s="15"/>
      <c r="E585" s="15"/>
      <c r="F585" s="15"/>
    </row>
    <row r="586">
      <c r="A586" s="24"/>
      <c r="B586" s="15"/>
      <c r="C586" s="15"/>
      <c r="D586" s="15"/>
      <c r="E586" s="15"/>
      <c r="F586" s="15"/>
    </row>
    <row r="587">
      <c r="A587" s="24"/>
      <c r="B587" s="15"/>
      <c r="C587" s="15"/>
      <c r="D587" s="15"/>
      <c r="E587" s="15"/>
      <c r="F587" s="15"/>
    </row>
    <row r="588">
      <c r="A588" s="24"/>
      <c r="B588" s="15"/>
      <c r="C588" s="15"/>
      <c r="D588" s="15"/>
      <c r="E588" s="15"/>
      <c r="F588" s="15"/>
    </row>
    <row r="589">
      <c r="A589" s="24"/>
      <c r="B589" s="15"/>
      <c r="C589" s="15"/>
      <c r="D589" s="15"/>
      <c r="E589" s="15"/>
      <c r="F589" s="15"/>
    </row>
    <row r="590">
      <c r="A590" s="24"/>
      <c r="B590" s="15"/>
      <c r="C590" s="15"/>
      <c r="D590" s="15"/>
      <c r="E590" s="15"/>
      <c r="F590" s="15"/>
    </row>
    <row r="591">
      <c r="A591" s="24"/>
      <c r="B591" s="15"/>
      <c r="C591" s="15"/>
      <c r="D591" s="15"/>
      <c r="E591" s="15"/>
      <c r="F591" s="15"/>
    </row>
    <row r="592">
      <c r="A592" s="24"/>
      <c r="B592" s="15"/>
      <c r="C592" s="15"/>
      <c r="D592" s="15"/>
      <c r="E592" s="15"/>
      <c r="F592" s="15"/>
    </row>
    <row r="593">
      <c r="A593" s="24"/>
      <c r="B593" s="15"/>
      <c r="C593" s="15"/>
      <c r="D593" s="15"/>
      <c r="E593" s="15"/>
      <c r="F593" s="15"/>
    </row>
    <row r="594">
      <c r="A594" s="24"/>
      <c r="B594" s="15"/>
      <c r="C594" s="15"/>
      <c r="D594" s="15"/>
      <c r="E594" s="15"/>
      <c r="F594" s="15"/>
    </row>
    <row r="595">
      <c r="A595" s="24"/>
      <c r="B595" s="15"/>
      <c r="C595" s="15"/>
      <c r="D595" s="15"/>
      <c r="E595" s="15"/>
      <c r="F595" s="15"/>
    </row>
    <row r="596">
      <c r="A596" s="24"/>
      <c r="B596" s="15"/>
      <c r="C596" s="15"/>
      <c r="D596" s="15"/>
      <c r="E596" s="15"/>
      <c r="F596" s="15"/>
    </row>
    <row r="597">
      <c r="A597" s="24"/>
      <c r="B597" s="15"/>
      <c r="C597" s="15"/>
      <c r="D597" s="15"/>
      <c r="E597" s="15"/>
      <c r="F597" s="15"/>
    </row>
    <row r="598">
      <c r="A598" s="24"/>
      <c r="B598" s="15"/>
      <c r="C598" s="15"/>
      <c r="D598" s="15"/>
      <c r="E598" s="15"/>
      <c r="F598" s="15"/>
    </row>
    <row r="599">
      <c r="A599" s="24"/>
      <c r="B599" s="15"/>
      <c r="C599" s="15"/>
      <c r="D599" s="15"/>
      <c r="E599" s="15"/>
      <c r="F599" s="15"/>
    </row>
    <row r="600">
      <c r="A600" s="24"/>
      <c r="B600" s="15"/>
      <c r="C600" s="15"/>
      <c r="D600" s="15"/>
      <c r="E600" s="15"/>
      <c r="F600" s="15"/>
    </row>
    <row r="601">
      <c r="A601" s="24"/>
      <c r="B601" s="15"/>
      <c r="C601" s="15"/>
      <c r="D601" s="15"/>
      <c r="E601" s="15"/>
      <c r="F601" s="15"/>
    </row>
    <row r="602">
      <c r="A602" s="24"/>
      <c r="B602" s="15"/>
      <c r="C602" s="15"/>
      <c r="D602" s="15"/>
      <c r="E602" s="15"/>
      <c r="F602" s="15"/>
    </row>
    <row r="603">
      <c r="A603" s="24"/>
      <c r="B603" s="15"/>
      <c r="C603" s="15"/>
      <c r="D603" s="15"/>
      <c r="E603" s="15"/>
      <c r="F603" s="15"/>
    </row>
    <row r="604">
      <c r="A604" s="24"/>
      <c r="B604" s="15"/>
      <c r="C604" s="15"/>
      <c r="D604" s="15"/>
      <c r="E604" s="15"/>
      <c r="F604" s="15"/>
    </row>
    <row r="605">
      <c r="A605" s="24"/>
      <c r="B605" s="15"/>
      <c r="C605" s="15"/>
      <c r="D605" s="15"/>
      <c r="E605" s="15"/>
      <c r="F605" s="15"/>
    </row>
    <row r="606">
      <c r="A606" s="24"/>
      <c r="B606" s="15"/>
      <c r="C606" s="15"/>
      <c r="D606" s="15"/>
      <c r="E606" s="15"/>
      <c r="F606" s="15"/>
    </row>
    <row r="607">
      <c r="A607" s="24"/>
      <c r="B607" s="15"/>
      <c r="C607" s="15"/>
      <c r="D607" s="15"/>
      <c r="E607" s="15"/>
      <c r="F607" s="15"/>
    </row>
    <row r="608">
      <c r="A608" s="24"/>
      <c r="B608" s="15"/>
      <c r="C608" s="15"/>
      <c r="D608" s="15"/>
      <c r="E608" s="15"/>
      <c r="F608" s="15"/>
    </row>
    <row r="609">
      <c r="A609" s="24"/>
      <c r="B609" s="15"/>
      <c r="C609" s="15"/>
      <c r="D609" s="15"/>
      <c r="E609" s="15"/>
      <c r="F609" s="15"/>
    </row>
    <row r="610">
      <c r="A610" s="24"/>
      <c r="B610" s="15"/>
      <c r="C610" s="15"/>
      <c r="D610" s="15"/>
      <c r="E610" s="15"/>
      <c r="F610" s="15"/>
    </row>
    <row r="611">
      <c r="A611" s="24"/>
      <c r="B611" s="15"/>
      <c r="C611" s="15"/>
      <c r="D611" s="15"/>
      <c r="E611" s="15"/>
      <c r="F611" s="15"/>
    </row>
    <row r="612">
      <c r="A612" s="24"/>
      <c r="B612" s="15"/>
      <c r="C612" s="15"/>
      <c r="D612" s="15"/>
      <c r="E612" s="15"/>
      <c r="F612" s="15"/>
    </row>
    <row r="613">
      <c r="A613" s="24"/>
      <c r="B613" s="15"/>
      <c r="C613" s="15"/>
      <c r="D613" s="15"/>
      <c r="E613" s="15"/>
      <c r="F613" s="15"/>
    </row>
    <row r="614">
      <c r="A614" s="24"/>
      <c r="B614" s="15"/>
      <c r="C614" s="15"/>
      <c r="D614" s="15"/>
      <c r="E614" s="15"/>
      <c r="F614" s="15"/>
    </row>
    <row r="615">
      <c r="A615" s="24"/>
      <c r="B615" s="15"/>
      <c r="C615" s="15"/>
      <c r="D615" s="15"/>
      <c r="E615" s="15"/>
      <c r="F615" s="15"/>
    </row>
    <row r="616">
      <c r="A616" s="24"/>
      <c r="B616" s="15"/>
      <c r="C616" s="15"/>
      <c r="D616" s="15"/>
      <c r="E616" s="15"/>
      <c r="F616" s="15"/>
    </row>
    <row r="617">
      <c r="A617" s="24"/>
      <c r="B617" s="15"/>
      <c r="C617" s="15"/>
      <c r="D617" s="15"/>
      <c r="E617" s="15"/>
      <c r="F617" s="15"/>
    </row>
    <row r="618">
      <c r="A618" s="24"/>
      <c r="B618" s="15"/>
      <c r="C618" s="15"/>
      <c r="D618" s="15"/>
      <c r="E618" s="15"/>
      <c r="F618" s="15"/>
    </row>
    <row r="619">
      <c r="A619" s="24"/>
      <c r="B619" s="15"/>
      <c r="C619" s="15"/>
      <c r="D619" s="15"/>
      <c r="E619" s="15"/>
      <c r="F619" s="15"/>
    </row>
    <row r="620">
      <c r="A620" s="24"/>
      <c r="B620" s="15"/>
      <c r="C620" s="15"/>
      <c r="D620" s="15"/>
      <c r="E620" s="15"/>
      <c r="F620" s="15"/>
    </row>
    <row r="621">
      <c r="A621" s="24"/>
      <c r="B621" s="15"/>
      <c r="C621" s="15"/>
      <c r="D621" s="15"/>
      <c r="E621" s="15"/>
      <c r="F621" s="15"/>
    </row>
    <row r="622">
      <c r="A622" s="24"/>
      <c r="B622" s="15"/>
      <c r="C622" s="15"/>
      <c r="D622" s="15"/>
      <c r="E622" s="15"/>
      <c r="F622" s="15"/>
    </row>
    <row r="623">
      <c r="A623" s="24"/>
      <c r="B623" s="15"/>
      <c r="C623" s="15"/>
      <c r="D623" s="15"/>
      <c r="E623" s="15"/>
      <c r="F623" s="15"/>
    </row>
    <row r="624">
      <c r="A624" s="24"/>
      <c r="B624" s="15"/>
      <c r="C624" s="15"/>
      <c r="D624" s="15"/>
      <c r="E624" s="15"/>
      <c r="F624" s="15"/>
    </row>
    <row r="625">
      <c r="A625" s="24"/>
      <c r="B625" s="15"/>
      <c r="C625" s="15"/>
      <c r="D625" s="15"/>
      <c r="E625" s="15"/>
      <c r="F625" s="15"/>
    </row>
    <row r="626">
      <c r="A626" s="24"/>
      <c r="B626" s="15"/>
      <c r="C626" s="15"/>
      <c r="D626" s="15"/>
      <c r="E626" s="15"/>
      <c r="F626" s="15"/>
    </row>
    <row r="627">
      <c r="A627" s="24"/>
      <c r="B627" s="15"/>
      <c r="C627" s="15"/>
      <c r="D627" s="15"/>
      <c r="E627" s="15"/>
      <c r="F627" s="15"/>
    </row>
    <row r="628">
      <c r="A628" s="24"/>
      <c r="B628" s="15"/>
      <c r="C628" s="15"/>
      <c r="D628" s="15"/>
      <c r="E628" s="15"/>
      <c r="F628" s="15"/>
    </row>
    <row r="629">
      <c r="A629" s="24"/>
      <c r="B629" s="15"/>
      <c r="C629" s="15"/>
      <c r="D629" s="15"/>
      <c r="E629" s="15"/>
      <c r="F629" s="15"/>
    </row>
    <row r="630">
      <c r="A630" s="24"/>
      <c r="B630" s="15"/>
      <c r="C630" s="15"/>
      <c r="D630" s="15"/>
      <c r="E630" s="15"/>
      <c r="F630" s="15"/>
    </row>
    <row r="631">
      <c r="A631" s="24"/>
      <c r="B631" s="15"/>
      <c r="C631" s="15"/>
      <c r="D631" s="15"/>
      <c r="E631" s="15"/>
      <c r="F631" s="15"/>
    </row>
    <row r="632">
      <c r="A632" s="24"/>
      <c r="B632" s="15"/>
      <c r="C632" s="15"/>
      <c r="D632" s="15"/>
      <c r="E632" s="15"/>
      <c r="F632" s="15"/>
    </row>
    <row r="633">
      <c r="A633" s="24"/>
      <c r="B633" s="15"/>
      <c r="C633" s="15"/>
      <c r="D633" s="15"/>
      <c r="E633" s="15"/>
      <c r="F633" s="15"/>
    </row>
    <row r="634">
      <c r="A634" s="24"/>
      <c r="B634" s="15"/>
      <c r="C634" s="15"/>
      <c r="D634" s="15"/>
      <c r="E634" s="15"/>
      <c r="F634" s="15"/>
    </row>
    <row r="635">
      <c r="A635" s="24"/>
      <c r="B635" s="15"/>
      <c r="C635" s="15"/>
      <c r="D635" s="15"/>
      <c r="E635" s="15"/>
      <c r="F635" s="15"/>
    </row>
    <row r="636">
      <c r="A636" s="24"/>
      <c r="B636" s="15"/>
      <c r="C636" s="15"/>
      <c r="D636" s="15"/>
      <c r="E636" s="15"/>
      <c r="F636" s="15"/>
    </row>
    <row r="637">
      <c r="A637" s="24"/>
      <c r="B637" s="15"/>
      <c r="C637" s="15"/>
      <c r="D637" s="15"/>
      <c r="E637" s="15"/>
      <c r="F637" s="15"/>
    </row>
    <row r="638">
      <c r="A638" s="24"/>
      <c r="B638" s="15"/>
      <c r="C638" s="15"/>
      <c r="D638" s="15"/>
      <c r="E638" s="15"/>
      <c r="F638" s="15"/>
    </row>
    <row r="639">
      <c r="A639" s="24"/>
      <c r="B639" s="15"/>
      <c r="C639" s="15"/>
      <c r="D639" s="15"/>
      <c r="E639" s="15"/>
      <c r="F639" s="15"/>
    </row>
    <row r="640">
      <c r="A640" s="24"/>
      <c r="B640" s="15"/>
      <c r="C640" s="15"/>
      <c r="D640" s="15"/>
      <c r="E640" s="15"/>
      <c r="F640" s="15"/>
    </row>
    <row r="641">
      <c r="A641" s="24"/>
      <c r="B641" s="15"/>
      <c r="C641" s="15"/>
      <c r="D641" s="15"/>
      <c r="E641" s="15"/>
      <c r="F641" s="15"/>
    </row>
    <row r="642">
      <c r="A642" s="24"/>
      <c r="B642" s="15"/>
      <c r="C642" s="15"/>
      <c r="D642" s="15"/>
      <c r="E642" s="15"/>
      <c r="F642" s="15"/>
    </row>
    <row r="643">
      <c r="A643" s="24"/>
      <c r="B643" s="15"/>
      <c r="C643" s="15"/>
      <c r="D643" s="15"/>
      <c r="E643" s="15"/>
      <c r="F643" s="15"/>
    </row>
    <row r="644">
      <c r="A644" s="24"/>
      <c r="B644" s="15"/>
      <c r="C644" s="15"/>
      <c r="D644" s="15"/>
      <c r="E644" s="15"/>
      <c r="F644" s="15"/>
    </row>
    <row r="645">
      <c r="A645" s="24"/>
      <c r="B645" s="15"/>
      <c r="C645" s="15"/>
      <c r="D645" s="15"/>
      <c r="E645" s="15"/>
      <c r="F645" s="15"/>
    </row>
    <row r="646">
      <c r="A646" s="24"/>
      <c r="B646" s="15"/>
      <c r="C646" s="15"/>
      <c r="D646" s="15"/>
      <c r="E646" s="15"/>
      <c r="F646" s="15"/>
    </row>
    <row r="647">
      <c r="A647" s="24"/>
      <c r="B647" s="15"/>
      <c r="C647" s="15"/>
      <c r="D647" s="15"/>
      <c r="E647" s="15"/>
      <c r="F647" s="15"/>
    </row>
    <row r="648">
      <c r="A648" s="24"/>
      <c r="B648" s="15"/>
      <c r="C648" s="15"/>
      <c r="D648" s="15"/>
      <c r="E648" s="15"/>
      <c r="F648" s="15"/>
    </row>
    <row r="649">
      <c r="A649" s="24"/>
      <c r="B649" s="15"/>
      <c r="C649" s="15"/>
      <c r="D649" s="15"/>
      <c r="E649" s="15"/>
      <c r="F649" s="15"/>
    </row>
    <row r="650">
      <c r="A650" s="24"/>
      <c r="B650" s="15"/>
      <c r="C650" s="15"/>
      <c r="D650" s="15"/>
      <c r="E650" s="15"/>
      <c r="F650" s="15"/>
    </row>
    <row r="651">
      <c r="A651" s="24"/>
      <c r="B651" s="15"/>
      <c r="C651" s="15"/>
      <c r="D651" s="15"/>
      <c r="E651" s="15"/>
      <c r="F651" s="15"/>
    </row>
    <row r="652">
      <c r="A652" s="24"/>
      <c r="B652" s="15"/>
      <c r="C652" s="15"/>
      <c r="D652" s="15"/>
      <c r="E652" s="15"/>
      <c r="F652" s="15"/>
    </row>
    <row r="653">
      <c r="A653" s="24"/>
      <c r="B653" s="15"/>
      <c r="C653" s="15"/>
      <c r="D653" s="15"/>
      <c r="E653" s="15"/>
      <c r="F653" s="15"/>
    </row>
    <row r="654">
      <c r="A654" s="24"/>
      <c r="B654" s="15"/>
      <c r="C654" s="15"/>
      <c r="D654" s="15"/>
      <c r="E654" s="15"/>
      <c r="F654" s="15"/>
    </row>
    <row r="655">
      <c r="A655" s="24"/>
      <c r="B655" s="15"/>
      <c r="C655" s="15"/>
      <c r="D655" s="15"/>
      <c r="E655" s="15"/>
      <c r="F655" s="15"/>
    </row>
    <row r="656">
      <c r="A656" s="24"/>
      <c r="B656" s="15"/>
      <c r="C656" s="15"/>
      <c r="D656" s="15"/>
      <c r="E656" s="15"/>
      <c r="F656" s="15"/>
    </row>
    <row r="657">
      <c r="A657" s="24"/>
      <c r="B657" s="15"/>
      <c r="C657" s="15"/>
      <c r="D657" s="15"/>
      <c r="E657" s="15"/>
      <c r="F657" s="15"/>
    </row>
    <row r="658">
      <c r="A658" s="24"/>
      <c r="B658" s="15"/>
      <c r="C658" s="15"/>
      <c r="D658" s="15"/>
      <c r="E658" s="15"/>
      <c r="F658" s="15"/>
    </row>
    <row r="659">
      <c r="A659" s="24"/>
      <c r="B659" s="15"/>
      <c r="C659" s="15"/>
      <c r="D659" s="15"/>
      <c r="E659" s="15"/>
      <c r="F659" s="15"/>
    </row>
    <row r="660">
      <c r="A660" s="24"/>
      <c r="B660" s="15"/>
      <c r="C660" s="15"/>
      <c r="D660" s="15"/>
      <c r="E660" s="15"/>
      <c r="F660" s="15"/>
    </row>
    <row r="661">
      <c r="A661" s="24"/>
      <c r="B661" s="15"/>
      <c r="C661" s="15"/>
      <c r="D661" s="15"/>
      <c r="E661" s="15"/>
      <c r="F661" s="15"/>
    </row>
    <row r="662">
      <c r="A662" s="24"/>
      <c r="B662" s="15"/>
      <c r="C662" s="15"/>
      <c r="D662" s="15"/>
      <c r="E662" s="15"/>
      <c r="F662" s="15"/>
    </row>
    <row r="663">
      <c r="A663" s="24"/>
      <c r="B663" s="15"/>
      <c r="C663" s="15"/>
      <c r="D663" s="15"/>
      <c r="E663" s="15"/>
      <c r="F663" s="15"/>
    </row>
    <row r="664">
      <c r="A664" s="24"/>
      <c r="B664" s="15"/>
      <c r="C664" s="15"/>
      <c r="D664" s="15"/>
      <c r="E664" s="15"/>
      <c r="F664" s="15"/>
    </row>
    <row r="665">
      <c r="A665" s="24"/>
      <c r="B665" s="15"/>
      <c r="C665" s="15"/>
      <c r="D665" s="15"/>
      <c r="E665" s="15"/>
      <c r="F665" s="15"/>
    </row>
    <row r="666">
      <c r="A666" s="24"/>
      <c r="B666" s="15"/>
      <c r="C666" s="15"/>
      <c r="D666" s="15"/>
      <c r="E666" s="15"/>
      <c r="F666" s="15"/>
    </row>
    <row r="667">
      <c r="A667" s="24"/>
      <c r="B667" s="15"/>
      <c r="C667" s="15"/>
      <c r="D667" s="15"/>
      <c r="E667" s="15"/>
      <c r="F667" s="15"/>
    </row>
    <row r="668">
      <c r="A668" s="24"/>
      <c r="B668" s="15"/>
      <c r="C668" s="15"/>
      <c r="D668" s="15"/>
      <c r="E668" s="15"/>
      <c r="F668" s="15"/>
    </row>
    <row r="669">
      <c r="A669" s="24"/>
      <c r="B669" s="15"/>
      <c r="C669" s="15"/>
      <c r="D669" s="15"/>
      <c r="E669" s="15"/>
      <c r="F669" s="15"/>
    </row>
    <row r="670">
      <c r="A670" s="24"/>
      <c r="B670" s="15"/>
      <c r="C670" s="15"/>
      <c r="D670" s="15"/>
      <c r="E670" s="15"/>
      <c r="F670" s="15"/>
    </row>
    <row r="671">
      <c r="A671" s="24"/>
      <c r="B671" s="15"/>
      <c r="C671" s="15"/>
      <c r="D671" s="15"/>
      <c r="E671" s="15"/>
      <c r="F671" s="15"/>
    </row>
    <row r="672">
      <c r="A672" s="24"/>
      <c r="B672" s="15"/>
      <c r="C672" s="15"/>
      <c r="D672" s="15"/>
      <c r="E672" s="15"/>
      <c r="F672" s="15"/>
    </row>
    <row r="673">
      <c r="A673" s="24"/>
      <c r="B673" s="15"/>
      <c r="C673" s="15"/>
      <c r="D673" s="15"/>
      <c r="E673" s="15"/>
      <c r="F673" s="15"/>
    </row>
    <row r="674">
      <c r="A674" s="24"/>
      <c r="B674" s="15"/>
      <c r="C674" s="15"/>
      <c r="D674" s="15"/>
      <c r="E674" s="15"/>
      <c r="F674" s="15"/>
    </row>
    <row r="675">
      <c r="A675" s="24"/>
      <c r="B675" s="15"/>
      <c r="C675" s="15"/>
      <c r="D675" s="15"/>
      <c r="E675" s="15"/>
      <c r="F675" s="15"/>
    </row>
    <row r="676">
      <c r="A676" s="24"/>
      <c r="B676" s="15"/>
      <c r="C676" s="15"/>
      <c r="D676" s="15"/>
      <c r="E676" s="15"/>
      <c r="F676" s="15"/>
    </row>
    <row r="677">
      <c r="A677" s="24"/>
      <c r="B677" s="15"/>
      <c r="C677" s="15"/>
      <c r="D677" s="15"/>
      <c r="E677" s="15"/>
      <c r="F677" s="15"/>
    </row>
    <row r="678">
      <c r="A678" s="24"/>
      <c r="B678" s="15"/>
      <c r="C678" s="15"/>
      <c r="D678" s="15"/>
      <c r="E678" s="15"/>
      <c r="F678" s="15"/>
    </row>
    <row r="679">
      <c r="A679" s="24"/>
      <c r="B679" s="15"/>
      <c r="C679" s="15"/>
      <c r="D679" s="15"/>
      <c r="E679" s="15"/>
      <c r="F679" s="15"/>
    </row>
    <row r="680">
      <c r="A680" s="24"/>
      <c r="B680" s="15"/>
      <c r="C680" s="15"/>
      <c r="D680" s="15"/>
      <c r="E680" s="15"/>
      <c r="F680" s="15"/>
    </row>
    <row r="681">
      <c r="A681" s="24"/>
      <c r="B681" s="15"/>
      <c r="C681" s="15"/>
      <c r="D681" s="15"/>
      <c r="E681" s="15"/>
      <c r="F681" s="15"/>
    </row>
    <row r="682">
      <c r="A682" s="24"/>
      <c r="B682" s="15"/>
      <c r="C682" s="15"/>
      <c r="D682" s="15"/>
      <c r="E682" s="15"/>
      <c r="F682" s="15"/>
    </row>
    <row r="683">
      <c r="A683" s="24"/>
      <c r="B683" s="15"/>
      <c r="C683" s="15"/>
      <c r="D683" s="15"/>
      <c r="E683" s="15"/>
      <c r="F683" s="15"/>
    </row>
    <row r="684">
      <c r="A684" s="24"/>
      <c r="B684" s="15"/>
      <c r="C684" s="15"/>
      <c r="D684" s="15"/>
      <c r="E684" s="15"/>
      <c r="F684" s="15"/>
    </row>
    <row r="685">
      <c r="A685" s="24"/>
      <c r="B685" s="15"/>
      <c r="C685" s="15"/>
      <c r="D685" s="15"/>
      <c r="E685" s="15"/>
      <c r="F685" s="15"/>
    </row>
    <row r="686">
      <c r="A686" s="24"/>
      <c r="B686" s="15"/>
      <c r="C686" s="15"/>
      <c r="D686" s="15"/>
      <c r="E686" s="15"/>
      <c r="F686" s="15"/>
    </row>
    <row r="687">
      <c r="A687" s="24"/>
      <c r="B687" s="15"/>
      <c r="C687" s="15"/>
      <c r="D687" s="15"/>
      <c r="E687" s="15"/>
      <c r="F687" s="15"/>
    </row>
    <row r="688">
      <c r="A688" s="24"/>
      <c r="B688" s="15"/>
      <c r="C688" s="15"/>
      <c r="D688" s="15"/>
      <c r="E688" s="15"/>
      <c r="F688" s="15"/>
    </row>
    <row r="689">
      <c r="A689" s="24"/>
      <c r="B689" s="15"/>
      <c r="C689" s="15"/>
      <c r="D689" s="15"/>
      <c r="E689" s="15"/>
      <c r="F689" s="15"/>
    </row>
    <row r="690">
      <c r="A690" s="24"/>
      <c r="B690" s="15"/>
      <c r="C690" s="15"/>
      <c r="D690" s="15"/>
      <c r="E690" s="15"/>
      <c r="F690" s="15"/>
    </row>
    <row r="691">
      <c r="A691" s="24"/>
      <c r="B691" s="15"/>
      <c r="C691" s="15"/>
      <c r="D691" s="15"/>
      <c r="E691" s="15"/>
      <c r="F691" s="15"/>
    </row>
    <row r="692">
      <c r="A692" s="24"/>
      <c r="B692" s="15"/>
      <c r="C692" s="15"/>
      <c r="D692" s="15"/>
      <c r="E692" s="15"/>
      <c r="F692" s="15"/>
    </row>
    <row r="693">
      <c r="A693" s="24"/>
      <c r="B693" s="15"/>
      <c r="C693" s="15"/>
      <c r="D693" s="15"/>
      <c r="E693" s="15"/>
      <c r="F693" s="15"/>
    </row>
    <row r="694">
      <c r="A694" s="24"/>
      <c r="B694" s="15"/>
      <c r="C694" s="15"/>
      <c r="D694" s="15"/>
      <c r="E694" s="15"/>
      <c r="F694" s="15"/>
    </row>
    <row r="695">
      <c r="A695" s="24"/>
      <c r="B695" s="15"/>
      <c r="C695" s="15"/>
      <c r="D695" s="15"/>
      <c r="E695" s="15"/>
      <c r="F695" s="15"/>
    </row>
    <row r="696">
      <c r="A696" s="24"/>
      <c r="B696" s="15"/>
      <c r="C696" s="15"/>
      <c r="D696" s="15"/>
      <c r="E696" s="15"/>
      <c r="F696" s="15"/>
    </row>
    <row r="697">
      <c r="A697" s="24"/>
      <c r="B697" s="15"/>
      <c r="C697" s="15"/>
      <c r="D697" s="15"/>
      <c r="E697" s="15"/>
      <c r="F697" s="15"/>
    </row>
    <row r="698">
      <c r="A698" s="24"/>
      <c r="B698" s="15"/>
      <c r="C698" s="15"/>
      <c r="D698" s="15"/>
      <c r="E698" s="15"/>
      <c r="F698" s="15"/>
    </row>
    <row r="699">
      <c r="A699" s="24"/>
      <c r="B699" s="15"/>
      <c r="C699" s="15"/>
      <c r="D699" s="15"/>
      <c r="E699" s="15"/>
      <c r="F699" s="15"/>
    </row>
    <row r="700">
      <c r="A700" s="24"/>
      <c r="B700" s="15"/>
      <c r="C700" s="15"/>
      <c r="D700" s="15"/>
      <c r="E700" s="15"/>
      <c r="F700" s="15"/>
    </row>
    <row r="701">
      <c r="A701" s="24"/>
      <c r="B701" s="15"/>
      <c r="C701" s="15"/>
      <c r="D701" s="15"/>
      <c r="E701" s="15"/>
      <c r="F701" s="15"/>
    </row>
    <row r="702">
      <c r="A702" s="24"/>
      <c r="B702" s="15"/>
      <c r="C702" s="15"/>
      <c r="D702" s="15"/>
      <c r="E702" s="15"/>
      <c r="F702" s="15"/>
    </row>
    <row r="703">
      <c r="A703" s="24"/>
      <c r="B703" s="15"/>
      <c r="C703" s="15"/>
      <c r="D703" s="15"/>
      <c r="E703" s="15"/>
      <c r="F703" s="15"/>
    </row>
    <row r="704">
      <c r="A704" s="24"/>
      <c r="B704" s="15"/>
      <c r="C704" s="15"/>
      <c r="D704" s="15"/>
      <c r="E704" s="15"/>
      <c r="F704" s="15"/>
    </row>
    <row r="705">
      <c r="A705" s="24"/>
      <c r="B705" s="15"/>
      <c r="C705" s="15"/>
      <c r="D705" s="15"/>
      <c r="E705" s="15"/>
      <c r="F705" s="15"/>
    </row>
    <row r="706">
      <c r="A706" s="24"/>
      <c r="B706" s="15"/>
      <c r="C706" s="15"/>
      <c r="D706" s="15"/>
      <c r="E706" s="15"/>
      <c r="F706" s="15"/>
    </row>
    <row r="707">
      <c r="A707" s="24"/>
      <c r="B707" s="15"/>
      <c r="C707" s="15"/>
      <c r="D707" s="15"/>
      <c r="E707" s="15"/>
      <c r="F707" s="15"/>
    </row>
    <row r="708">
      <c r="A708" s="24"/>
      <c r="B708" s="15"/>
      <c r="C708" s="15"/>
      <c r="D708" s="15"/>
      <c r="E708" s="15"/>
      <c r="F708" s="15"/>
    </row>
    <row r="709">
      <c r="A709" s="24"/>
      <c r="B709" s="15"/>
      <c r="C709" s="15"/>
      <c r="D709" s="15"/>
      <c r="E709" s="15"/>
      <c r="F709" s="15"/>
    </row>
    <row r="710">
      <c r="A710" s="24"/>
      <c r="B710" s="15"/>
      <c r="C710" s="15"/>
      <c r="D710" s="15"/>
      <c r="E710" s="15"/>
      <c r="F710" s="15"/>
    </row>
    <row r="711">
      <c r="A711" s="24"/>
      <c r="B711" s="15"/>
      <c r="C711" s="15"/>
      <c r="D711" s="15"/>
      <c r="E711" s="15"/>
      <c r="F711" s="15"/>
    </row>
    <row r="712">
      <c r="A712" s="24"/>
      <c r="B712" s="15"/>
      <c r="C712" s="15"/>
      <c r="D712" s="15"/>
      <c r="E712" s="15"/>
      <c r="F712" s="15"/>
    </row>
    <row r="713">
      <c r="A713" s="24"/>
      <c r="B713" s="15"/>
      <c r="C713" s="15"/>
      <c r="D713" s="15"/>
      <c r="E713" s="15"/>
      <c r="F713" s="15"/>
    </row>
    <row r="714">
      <c r="A714" s="24"/>
      <c r="B714" s="15"/>
      <c r="C714" s="15"/>
      <c r="D714" s="15"/>
      <c r="E714" s="15"/>
      <c r="F714" s="15"/>
    </row>
    <row r="715">
      <c r="A715" s="24"/>
      <c r="B715" s="15"/>
      <c r="C715" s="15"/>
      <c r="D715" s="15"/>
      <c r="E715" s="15"/>
      <c r="F715" s="15"/>
    </row>
    <row r="716">
      <c r="A716" s="24"/>
      <c r="B716" s="15"/>
      <c r="C716" s="15"/>
      <c r="D716" s="15"/>
      <c r="E716" s="15"/>
      <c r="F716" s="15"/>
    </row>
    <row r="717">
      <c r="A717" s="24"/>
      <c r="B717" s="15"/>
      <c r="C717" s="15"/>
      <c r="D717" s="15"/>
      <c r="E717" s="15"/>
      <c r="F717" s="15"/>
    </row>
    <row r="718">
      <c r="A718" s="24"/>
      <c r="B718" s="15"/>
      <c r="C718" s="15"/>
      <c r="D718" s="15"/>
      <c r="E718" s="15"/>
      <c r="F718" s="15"/>
    </row>
    <row r="719">
      <c r="A719" s="24"/>
      <c r="B719" s="15"/>
      <c r="C719" s="15"/>
      <c r="D719" s="15"/>
      <c r="E719" s="15"/>
      <c r="F719" s="15"/>
    </row>
    <row r="720">
      <c r="A720" s="24"/>
      <c r="B720" s="15"/>
      <c r="C720" s="15"/>
      <c r="D720" s="15"/>
      <c r="E720" s="15"/>
      <c r="F720" s="15"/>
    </row>
    <row r="721">
      <c r="A721" s="24"/>
      <c r="B721" s="15"/>
      <c r="C721" s="15"/>
      <c r="D721" s="15"/>
      <c r="E721" s="15"/>
      <c r="F721" s="15"/>
    </row>
    <row r="722">
      <c r="A722" s="24"/>
      <c r="B722" s="15"/>
      <c r="C722" s="15"/>
      <c r="D722" s="15"/>
      <c r="E722" s="15"/>
      <c r="F722" s="15"/>
    </row>
    <row r="723">
      <c r="A723" s="24"/>
      <c r="B723" s="15"/>
      <c r="C723" s="15"/>
      <c r="D723" s="15"/>
      <c r="E723" s="15"/>
      <c r="F723" s="15"/>
    </row>
    <row r="724">
      <c r="A724" s="24"/>
      <c r="B724" s="15"/>
      <c r="C724" s="15"/>
      <c r="D724" s="15"/>
      <c r="E724" s="15"/>
      <c r="F724" s="15"/>
    </row>
    <row r="725">
      <c r="A725" s="24"/>
      <c r="B725" s="15"/>
      <c r="C725" s="15"/>
      <c r="D725" s="15"/>
      <c r="E725" s="15"/>
      <c r="F725" s="15"/>
    </row>
    <row r="726">
      <c r="A726" s="24"/>
      <c r="B726" s="15"/>
      <c r="C726" s="15"/>
      <c r="D726" s="15"/>
      <c r="E726" s="15"/>
      <c r="F726" s="15"/>
    </row>
    <row r="727">
      <c r="A727" s="24"/>
      <c r="B727" s="15"/>
      <c r="C727" s="15"/>
      <c r="D727" s="15"/>
      <c r="E727" s="15"/>
      <c r="F727" s="15"/>
    </row>
    <row r="728">
      <c r="A728" s="24"/>
      <c r="B728" s="15"/>
      <c r="C728" s="15"/>
      <c r="D728" s="15"/>
      <c r="E728" s="15"/>
      <c r="F728" s="15"/>
    </row>
    <row r="729">
      <c r="A729" s="24"/>
      <c r="B729" s="15"/>
      <c r="C729" s="15"/>
      <c r="D729" s="15"/>
      <c r="E729" s="15"/>
      <c r="F729" s="15"/>
    </row>
    <row r="730">
      <c r="A730" s="24"/>
      <c r="B730" s="15"/>
      <c r="C730" s="15"/>
      <c r="D730" s="15"/>
      <c r="E730" s="15"/>
      <c r="F730" s="15"/>
    </row>
    <row r="731">
      <c r="A731" s="24"/>
      <c r="B731" s="15"/>
      <c r="C731" s="15"/>
      <c r="D731" s="15"/>
      <c r="E731" s="15"/>
      <c r="F731" s="15"/>
    </row>
    <row r="732">
      <c r="A732" s="24"/>
      <c r="B732" s="15"/>
      <c r="C732" s="15"/>
      <c r="D732" s="15"/>
      <c r="E732" s="15"/>
      <c r="F732" s="15"/>
    </row>
    <row r="733">
      <c r="A733" s="24"/>
      <c r="B733" s="15"/>
      <c r="C733" s="15"/>
      <c r="D733" s="15"/>
      <c r="E733" s="15"/>
      <c r="F733" s="15"/>
    </row>
    <row r="734">
      <c r="A734" s="24"/>
      <c r="B734" s="15"/>
      <c r="C734" s="15"/>
      <c r="D734" s="15"/>
      <c r="E734" s="15"/>
      <c r="F734" s="15"/>
    </row>
    <row r="735">
      <c r="A735" s="24"/>
      <c r="B735" s="15"/>
      <c r="C735" s="15"/>
      <c r="D735" s="15"/>
      <c r="E735" s="15"/>
      <c r="F735" s="15"/>
    </row>
    <row r="736">
      <c r="A736" s="24"/>
      <c r="B736" s="15"/>
      <c r="C736" s="15"/>
      <c r="D736" s="15"/>
      <c r="E736" s="15"/>
      <c r="F736" s="15"/>
    </row>
    <row r="737">
      <c r="A737" s="24"/>
      <c r="B737" s="15"/>
      <c r="C737" s="15"/>
      <c r="D737" s="15"/>
      <c r="E737" s="15"/>
      <c r="F737" s="15"/>
    </row>
    <row r="738">
      <c r="A738" s="24"/>
      <c r="B738" s="15"/>
      <c r="C738" s="15"/>
      <c r="D738" s="15"/>
      <c r="E738" s="15"/>
      <c r="F738" s="15"/>
    </row>
    <row r="739">
      <c r="A739" s="24"/>
      <c r="B739" s="15"/>
      <c r="C739" s="15"/>
      <c r="D739" s="15"/>
      <c r="E739" s="15"/>
      <c r="F739" s="15"/>
    </row>
    <row r="740">
      <c r="A740" s="24"/>
      <c r="B740" s="15"/>
      <c r="C740" s="15"/>
      <c r="D740" s="15"/>
      <c r="E740" s="15"/>
      <c r="F740" s="15"/>
    </row>
    <row r="741">
      <c r="A741" s="24"/>
      <c r="B741" s="15"/>
      <c r="C741" s="15"/>
      <c r="D741" s="15"/>
      <c r="E741" s="15"/>
      <c r="F741" s="15"/>
    </row>
    <row r="742">
      <c r="A742" s="24"/>
      <c r="B742" s="15"/>
      <c r="C742" s="15"/>
      <c r="D742" s="15"/>
      <c r="E742" s="15"/>
      <c r="F742" s="15"/>
    </row>
    <row r="743">
      <c r="A743" s="24"/>
      <c r="B743" s="15"/>
      <c r="C743" s="15"/>
      <c r="D743" s="15"/>
      <c r="E743" s="15"/>
      <c r="F743" s="15"/>
    </row>
    <row r="744">
      <c r="A744" s="24"/>
      <c r="B744" s="15"/>
      <c r="C744" s="15"/>
      <c r="D744" s="15"/>
      <c r="E744" s="15"/>
      <c r="F744" s="15"/>
    </row>
    <row r="745">
      <c r="A745" s="24"/>
      <c r="B745" s="15"/>
      <c r="C745" s="15"/>
      <c r="D745" s="15"/>
      <c r="E745" s="15"/>
      <c r="F745" s="15"/>
    </row>
    <row r="746">
      <c r="A746" s="24"/>
      <c r="B746" s="15"/>
      <c r="C746" s="15"/>
      <c r="D746" s="15"/>
      <c r="E746" s="15"/>
      <c r="F746" s="15"/>
    </row>
    <row r="747">
      <c r="A747" s="24"/>
      <c r="B747" s="15"/>
      <c r="C747" s="15"/>
      <c r="D747" s="15"/>
      <c r="E747" s="15"/>
      <c r="F747" s="15"/>
    </row>
    <row r="748">
      <c r="A748" s="24"/>
      <c r="B748" s="15"/>
      <c r="C748" s="15"/>
      <c r="D748" s="15"/>
      <c r="E748" s="15"/>
      <c r="F748" s="15"/>
    </row>
    <row r="749">
      <c r="A749" s="24"/>
      <c r="B749" s="15"/>
      <c r="C749" s="15"/>
      <c r="D749" s="15"/>
      <c r="E749" s="15"/>
      <c r="F749" s="15"/>
    </row>
    <row r="750">
      <c r="A750" s="24"/>
      <c r="B750" s="15"/>
      <c r="C750" s="15"/>
      <c r="D750" s="15"/>
      <c r="E750" s="15"/>
      <c r="F750" s="15"/>
    </row>
    <row r="751">
      <c r="A751" s="24"/>
      <c r="B751" s="15"/>
      <c r="C751" s="15"/>
      <c r="D751" s="15"/>
      <c r="E751" s="15"/>
      <c r="F751" s="15"/>
    </row>
    <row r="752">
      <c r="A752" s="24"/>
      <c r="B752" s="15"/>
      <c r="C752" s="15"/>
      <c r="D752" s="15"/>
      <c r="E752" s="15"/>
      <c r="F752" s="15"/>
    </row>
    <row r="753">
      <c r="A753" s="24"/>
      <c r="B753" s="15"/>
      <c r="C753" s="15"/>
      <c r="D753" s="15"/>
      <c r="E753" s="15"/>
      <c r="F753" s="15"/>
    </row>
    <row r="754">
      <c r="A754" s="24"/>
      <c r="B754" s="15"/>
      <c r="C754" s="15"/>
      <c r="D754" s="15"/>
      <c r="E754" s="15"/>
      <c r="F754" s="15"/>
    </row>
    <row r="755">
      <c r="A755" s="24"/>
      <c r="B755" s="15"/>
      <c r="C755" s="15"/>
      <c r="D755" s="15"/>
      <c r="E755" s="15"/>
      <c r="F755" s="15"/>
    </row>
    <row r="756">
      <c r="A756" s="24"/>
      <c r="B756" s="15"/>
      <c r="C756" s="15"/>
      <c r="D756" s="15"/>
      <c r="E756" s="15"/>
      <c r="F756" s="15"/>
    </row>
    <row r="757">
      <c r="A757" s="24"/>
      <c r="B757" s="15"/>
      <c r="C757" s="15"/>
      <c r="D757" s="15"/>
      <c r="E757" s="15"/>
      <c r="F757" s="15"/>
    </row>
    <row r="758">
      <c r="A758" s="24"/>
      <c r="B758" s="15"/>
      <c r="C758" s="15"/>
      <c r="D758" s="15"/>
      <c r="E758" s="15"/>
      <c r="F758" s="15"/>
    </row>
    <row r="759">
      <c r="A759" s="24"/>
      <c r="B759" s="15"/>
      <c r="C759" s="15"/>
      <c r="D759" s="15"/>
      <c r="E759" s="15"/>
      <c r="F759" s="15"/>
    </row>
    <row r="760">
      <c r="A760" s="24"/>
      <c r="B760" s="15"/>
      <c r="C760" s="15"/>
      <c r="D760" s="15"/>
      <c r="E760" s="15"/>
      <c r="F760" s="15"/>
    </row>
    <row r="761">
      <c r="A761" s="24"/>
      <c r="B761" s="15"/>
      <c r="C761" s="15"/>
      <c r="D761" s="15"/>
      <c r="E761" s="15"/>
      <c r="F761" s="15"/>
    </row>
    <row r="762">
      <c r="A762" s="24"/>
      <c r="B762" s="15"/>
      <c r="C762" s="15"/>
      <c r="D762" s="15"/>
      <c r="E762" s="15"/>
      <c r="F762" s="15"/>
    </row>
    <row r="763">
      <c r="A763" s="24"/>
      <c r="B763" s="15"/>
      <c r="C763" s="15"/>
      <c r="D763" s="15"/>
      <c r="E763" s="15"/>
      <c r="F763" s="15"/>
    </row>
    <row r="764">
      <c r="A764" s="24"/>
      <c r="B764" s="15"/>
      <c r="C764" s="15"/>
      <c r="D764" s="15"/>
      <c r="E764" s="15"/>
      <c r="F764" s="15"/>
    </row>
    <row r="765">
      <c r="A765" s="24"/>
      <c r="B765" s="15"/>
      <c r="C765" s="15"/>
      <c r="D765" s="15"/>
      <c r="E765" s="15"/>
      <c r="F765" s="15"/>
    </row>
    <row r="766">
      <c r="A766" s="24"/>
      <c r="B766" s="15"/>
      <c r="C766" s="15"/>
      <c r="D766" s="15"/>
      <c r="E766" s="15"/>
      <c r="F766" s="15"/>
    </row>
    <row r="767">
      <c r="A767" s="24"/>
      <c r="B767" s="15"/>
      <c r="C767" s="15"/>
      <c r="D767" s="15"/>
      <c r="E767" s="15"/>
      <c r="F767" s="15"/>
    </row>
    <row r="768">
      <c r="A768" s="24"/>
      <c r="B768" s="15"/>
      <c r="C768" s="15"/>
      <c r="D768" s="15"/>
      <c r="E768" s="15"/>
      <c r="F768" s="15"/>
    </row>
    <row r="769">
      <c r="A769" s="24"/>
      <c r="B769" s="15"/>
      <c r="C769" s="15"/>
      <c r="D769" s="15"/>
      <c r="E769" s="15"/>
      <c r="F769" s="15"/>
    </row>
    <row r="770">
      <c r="A770" s="24"/>
      <c r="B770" s="15"/>
      <c r="C770" s="15"/>
      <c r="D770" s="15"/>
      <c r="E770" s="15"/>
      <c r="F770" s="15"/>
    </row>
    <row r="771">
      <c r="A771" s="24"/>
      <c r="B771" s="15"/>
      <c r="C771" s="15"/>
      <c r="D771" s="15"/>
      <c r="E771" s="15"/>
      <c r="F771" s="15"/>
    </row>
    <row r="772">
      <c r="A772" s="24"/>
      <c r="B772" s="15"/>
      <c r="C772" s="15"/>
      <c r="D772" s="15"/>
      <c r="E772" s="15"/>
      <c r="F772" s="15"/>
    </row>
    <row r="773">
      <c r="A773" s="24"/>
      <c r="B773" s="15"/>
      <c r="C773" s="15"/>
      <c r="D773" s="15"/>
      <c r="E773" s="15"/>
      <c r="F773" s="15"/>
    </row>
    <row r="774">
      <c r="A774" s="24"/>
      <c r="B774" s="15"/>
      <c r="C774" s="15"/>
      <c r="D774" s="15"/>
      <c r="E774" s="15"/>
      <c r="F774" s="15"/>
    </row>
    <row r="775">
      <c r="A775" s="24"/>
      <c r="B775" s="15"/>
      <c r="C775" s="15"/>
      <c r="D775" s="15"/>
      <c r="E775" s="15"/>
      <c r="F775" s="15"/>
    </row>
    <row r="776">
      <c r="A776" s="24"/>
      <c r="B776" s="15"/>
      <c r="C776" s="15"/>
      <c r="D776" s="15"/>
      <c r="E776" s="15"/>
      <c r="F776" s="15"/>
    </row>
    <row r="777">
      <c r="A777" s="24"/>
      <c r="B777" s="15"/>
      <c r="C777" s="15"/>
      <c r="D777" s="15"/>
      <c r="E777" s="15"/>
      <c r="F777" s="15"/>
    </row>
    <row r="778">
      <c r="A778" s="24"/>
      <c r="B778" s="15"/>
      <c r="C778" s="15"/>
      <c r="D778" s="15"/>
      <c r="E778" s="15"/>
      <c r="F778" s="15"/>
    </row>
    <row r="779">
      <c r="A779" s="24"/>
      <c r="B779" s="15"/>
      <c r="C779" s="15"/>
      <c r="D779" s="15"/>
      <c r="E779" s="15"/>
      <c r="F779" s="15"/>
    </row>
    <row r="780">
      <c r="A780" s="24"/>
      <c r="B780" s="15"/>
      <c r="C780" s="15"/>
      <c r="D780" s="15"/>
      <c r="E780" s="15"/>
      <c r="F780" s="15"/>
    </row>
    <row r="781">
      <c r="A781" s="24"/>
      <c r="B781" s="15"/>
      <c r="C781" s="15"/>
      <c r="D781" s="15"/>
      <c r="E781" s="15"/>
      <c r="F781" s="15"/>
    </row>
    <row r="782">
      <c r="A782" s="24"/>
      <c r="B782" s="15"/>
      <c r="C782" s="15"/>
      <c r="D782" s="15"/>
      <c r="E782" s="15"/>
      <c r="F782" s="15"/>
    </row>
    <row r="783">
      <c r="A783" s="24"/>
      <c r="B783" s="15"/>
      <c r="C783" s="15"/>
      <c r="D783" s="15"/>
      <c r="E783" s="15"/>
      <c r="F783" s="15"/>
    </row>
    <row r="784">
      <c r="A784" s="24"/>
      <c r="B784" s="15"/>
      <c r="C784" s="15"/>
      <c r="D784" s="15"/>
      <c r="E784" s="15"/>
      <c r="F784" s="15"/>
    </row>
    <row r="785">
      <c r="A785" s="24"/>
      <c r="B785" s="15"/>
      <c r="C785" s="15"/>
      <c r="D785" s="15"/>
      <c r="E785" s="15"/>
      <c r="F785" s="15"/>
    </row>
    <row r="786">
      <c r="A786" s="24"/>
      <c r="B786" s="15"/>
      <c r="C786" s="15"/>
      <c r="D786" s="15"/>
      <c r="E786" s="15"/>
      <c r="F786" s="15"/>
    </row>
    <row r="787">
      <c r="A787" s="24"/>
      <c r="B787" s="15"/>
      <c r="C787" s="15"/>
      <c r="D787" s="15"/>
      <c r="E787" s="15"/>
      <c r="F787" s="15"/>
    </row>
    <row r="788">
      <c r="A788" s="24"/>
      <c r="B788" s="15"/>
      <c r="C788" s="15"/>
      <c r="D788" s="15"/>
      <c r="E788" s="15"/>
      <c r="F788" s="15"/>
    </row>
    <row r="789">
      <c r="A789" s="24"/>
      <c r="B789" s="15"/>
      <c r="C789" s="15"/>
      <c r="D789" s="15"/>
      <c r="E789" s="15"/>
      <c r="F789" s="15"/>
    </row>
    <row r="790">
      <c r="A790" s="24"/>
      <c r="B790" s="15"/>
      <c r="C790" s="15"/>
      <c r="D790" s="15"/>
      <c r="E790" s="15"/>
      <c r="F790" s="15"/>
    </row>
    <row r="791">
      <c r="A791" s="24"/>
      <c r="B791" s="15"/>
      <c r="C791" s="15"/>
      <c r="D791" s="15"/>
      <c r="E791" s="15"/>
      <c r="F791" s="15"/>
    </row>
    <row r="792">
      <c r="A792" s="24"/>
      <c r="B792" s="15"/>
      <c r="C792" s="15"/>
      <c r="D792" s="15"/>
      <c r="E792" s="15"/>
      <c r="F792" s="15"/>
    </row>
    <row r="793">
      <c r="A793" s="24"/>
      <c r="B793" s="15"/>
      <c r="C793" s="15"/>
      <c r="D793" s="15"/>
      <c r="E793" s="15"/>
      <c r="F793" s="15"/>
    </row>
    <row r="794">
      <c r="A794" s="24"/>
      <c r="B794" s="15"/>
      <c r="C794" s="15"/>
      <c r="D794" s="15"/>
      <c r="E794" s="15"/>
      <c r="F794" s="15"/>
    </row>
    <row r="795">
      <c r="A795" s="24"/>
      <c r="B795" s="15"/>
      <c r="C795" s="15"/>
      <c r="D795" s="15"/>
      <c r="E795" s="15"/>
      <c r="F795" s="15"/>
    </row>
    <row r="796">
      <c r="A796" s="24"/>
      <c r="B796" s="15"/>
      <c r="C796" s="15"/>
      <c r="D796" s="15"/>
      <c r="E796" s="15"/>
      <c r="F796" s="15"/>
    </row>
    <row r="797">
      <c r="A797" s="24"/>
      <c r="B797" s="15"/>
      <c r="C797" s="15"/>
      <c r="D797" s="15"/>
      <c r="E797" s="15"/>
      <c r="F797" s="15"/>
    </row>
    <row r="798">
      <c r="A798" s="24"/>
      <c r="B798" s="15"/>
      <c r="C798" s="15"/>
      <c r="D798" s="15"/>
      <c r="E798" s="15"/>
      <c r="F798" s="15"/>
    </row>
    <row r="799">
      <c r="A799" s="24"/>
      <c r="B799" s="15"/>
      <c r="C799" s="15"/>
      <c r="D799" s="15"/>
      <c r="E799" s="15"/>
      <c r="F799" s="15"/>
    </row>
    <row r="800">
      <c r="A800" s="24"/>
      <c r="B800" s="15"/>
      <c r="C800" s="15"/>
      <c r="D800" s="15"/>
      <c r="E800" s="15"/>
      <c r="F800" s="15"/>
    </row>
    <row r="801">
      <c r="A801" s="24"/>
      <c r="B801" s="15"/>
      <c r="C801" s="15"/>
      <c r="D801" s="15"/>
      <c r="E801" s="15"/>
      <c r="F801" s="15"/>
    </row>
    <row r="802">
      <c r="A802" s="24"/>
      <c r="B802" s="15"/>
      <c r="C802" s="15"/>
      <c r="D802" s="15"/>
      <c r="E802" s="15"/>
      <c r="F802" s="15"/>
    </row>
    <row r="803">
      <c r="A803" s="24"/>
      <c r="B803" s="15"/>
      <c r="C803" s="15"/>
      <c r="D803" s="15"/>
      <c r="E803" s="15"/>
      <c r="F803" s="15"/>
    </row>
    <row r="804">
      <c r="A804" s="24"/>
      <c r="B804" s="15"/>
      <c r="C804" s="15"/>
      <c r="D804" s="15"/>
      <c r="E804" s="15"/>
      <c r="F804" s="15"/>
    </row>
    <row r="805">
      <c r="A805" s="24"/>
      <c r="B805" s="15"/>
      <c r="C805" s="15"/>
      <c r="D805" s="15"/>
      <c r="E805" s="15"/>
      <c r="F805" s="15"/>
    </row>
    <row r="806">
      <c r="A806" s="24"/>
      <c r="B806" s="15"/>
      <c r="C806" s="15"/>
      <c r="D806" s="15"/>
      <c r="E806" s="15"/>
      <c r="F806" s="15"/>
    </row>
    <row r="807">
      <c r="A807" s="24"/>
      <c r="B807" s="15"/>
      <c r="C807" s="15"/>
      <c r="D807" s="15"/>
      <c r="E807" s="15"/>
      <c r="F807" s="15"/>
    </row>
    <row r="808">
      <c r="A808" s="24"/>
      <c r="B808" s="15"/>
      <c r="C808" s="15"/>
      <c r="D808" s="15"/>
      <c r="E808" s="15"/>
      <c r="F808" s="15"/>
    </row>
    <row r="809">
      <c r="A809" s="24"/>
      <c r="B809" s="15"/>
      <c r="C809" s="15"/>
      <c r="D809" s="15"/>
      <c r="E809" s="15"/>
      <c r="F809" s="15"/>
    </row>
    <row r="810">
      <c r="A810" s="24"/>
      <c r="B810" s="15"/>
      <c r="C810" s="15"/>
      <c r="D810" s="15"/>
      <c r="E810" s="15"/>
      <c r="F810" s="15"/>
    </row>
    <row r="811">
      <c r="A811" s="24"/>
      <c r="B811" s="15"/>
      <c r="C811" s="15"/>
      <c r="D811" s="15"/>
      <c r="E811" s="15"/>
      <c r="F811" s="15"/>
    </row>
    <row r="812">
      <c r="A812" s="24"/>
      <c r="B812" s="15"/>
      <c r="C812" s="15"/>
      <c r="D812" s="15"/>
      <c r="E812" s="15"/>
      <c r="F812" s="15"/>
    </row>
    <row r="813">
      <c r="A813" s="24"/>
      <c r="B813" s="15"/>
      <c r="C813" s="15"/>
      <c r="D813" s="15"/>
      <c r="E813" s="15"/>
      <c r="F813" s="15"/>
    </row>
    <row r="814">
      <c r="A814" s="24"/>
      <c r="B814" s="15"/>
      <c r="C814" s="15"/>
      <c r="D814" s="15"/>
      <c r="E814" s="15"/>
      <c r="F814" s="15"/>
    </row>
    <row r="815">
      <c r="A815" s="24"/>
      <c r="B815" s="15"/>
      <c r="C815" s="15"/>
      <c r="D815" s="15"/>
      <c r="E815" s="15"/>
      <c r="F815" s="15"/>
    </row>
    <row r="816">
      <c r="A816" s="24"/>
      <c r="B816" s="15"/>
      <c r="C816" s="15"/>
      <c r="D816" s="15"/>
      <c r="E816" s="15"/>
      <c r="F816" s="15"/>
    </row>
    <row r="817">
      <c r="A817" s="24"/>
      <c r="B817" s="15"/>
      <c r="C817" s="15"/>
      <c r="D817" s="15"/>
      <c r="E817" s="15"/>
      <c r="F817" s="15"/>
    </row>
    <row r="818">
      <c r="A818" s="24"/>
      <c r="B818" s="15"/>
      <c r="C818" s="15"/>
      <c r="D818" s="15"/>
      <c r="E818" s="15"/>
      <c r="F818" s="15"/>
    </row>
    <row r="819">
      <c r="A819" s="24"/>
      <c r="B819" s="15"/>
      <c r="C819" s="15"/>
      <c r="D819" s="15"/>
      <c r="E819" s="15"/>
      <c r="F819" s="15"/>
    </row>
    <row r="820">
      <c r="A820" s="24"/>
      <c r="B820" s="15"/>
      <c r="C820" s="15"/>
      <c r="D820" s="15"/>
      <c r="E820" s="15"/>
      <c r="F820" s="15"/>
    </row>
    <row r="821">
      <c r="A821" s="24"/>
      <c r="B821" s="15"/>
      <c r="C821" s="15"/>
      <c r="D821" s="15"/>
      <c r="E821" s="15"/>
      <c r="F821" s="15"/>
    </row>
    <row r="822">
      <c r="A822" s="24"/>
      <c r="B822" s="15"/>
      <c r="C822" s="15"/>
      <c r="D822" s="15"/>
      <c r="E822" s="15"/>
      <c r="F822" s="15"/>
    </row>
    <row r="823">
      <c r="A823" s="24"/>
      <c r="B823" s="15"/>
      <c r="C823" s="15"/>
      <c r="D823" s="15"/>
      <c r="E823" s="15"/>
      <c r="F823" s="15"/>
    </row>
    <row r="824">
      <c r="A824" s="24"/>
      <c r="B824" s="15"/>
      <c r="C824" s="15"/>
      <c r="D824" s="15"/>
      <c r="E824" s="15"/>
      <c r="F824" s="15"/>
    </row>
    <row r="825">
      <c r="A825" s="24"/>
      <c r="B825" s="15"/>
      <c r="C825" s="15"/>
      <c r="D825" s="15"/>
      <c r="E825" s="15"/>
      <c r="F825" s="15"/>
    </row>
    <row r="826">
      <c r="A826" s="24"/>
      <c r="B826" s="15"/>
      <c r="C826" s="15"/>
      <c r="D826" s="15"/>
      <c r="E826" s="15"/>
      <c r="F826" s="15"/>
    </row>
    <row r="827">
      <c r="A827" s="24"/>
      <c r="B827" s="15"/>
      <c r="C827" s="15"/>
      <c r="D827" s="15"/>
      <c r="E827" s="15"/>
      <c r="F827" s="15"/>
    </row>
    <row r="828">
      <c r="A828" s="24"/>
      <c r="B828" s="15"/>
      <c r="C828" s="15"/>
      <c r="D828" s="15"/>
      <c r="E828" s="15"/>
      <c r="F828" s="15"/>
    </row>
    <row r="829">
      <c r="A829" s="24"/>
      <c r="B829" s="15"/>
      <c r="C829" s="15"/>
      <c r="D829" s="15"/>
      <c r="E829" s="15"/>
      <c r="F829" s="15"/>
    </row>
    <row r="830">
      <c r="A830" s="24"/>
      <c r="B830" s="15"/>
      <c r="C830" s="15"/>
      <c r="D830" s="15"/>
      <c r="E830" s="15"/>
      <c r="F830" s="15"/>
    </row>
    <row r="831">
      <c r="A831" s="24"/>
      <c r="B831" s="15"/>
      <c r="C831" s="15"/>
      <c r="D831" s="15"/>
      <c r="E831" s="15"/>
      <c r="F831" s="15"/>
    </row>
    <row r="832">
      <c r="A832" s="24"/>
      <c r="B832" s="15"/>
      <c r="C832" s="15"/>
      <c r="D832" s="15"/>
      <c r="E832" s="15"/>
      <c r="F832" s="15"/>
    </row>
    <row r="833">
      <c r="A833" s="24"/>
      <c r="B833" s="15"/>
      <c r="C833" s="15"/>
      <c r="D833" s="15"/>
      <c r="E833" s="15"/>
      <c r="F833" s="15"/>
    </row>
    <row r="834">
      <c r="A834" s="24"/>
      <c r="B834" s="15"/>
      <c r="C834" s="15"/>
      <c r="D834" s="15"/>
      <c r="E834" s="15"/>
      <c r="F834" s="15"/>
    </row>
    <row r="835">
      <c r="A835" s="24"/>
      <c r="B835" s="15"/>
      <c r="C835" s="15"/>
      <c r="D835" s="15"/>
      <c r="E835" s="15"/>
      <c r="F835" s="15"/>
    </row>
    <row r="836">
      <c r="A836" s="24"/>
      <c r="B836" s="15"/>
      <c r="C836" s="15"/>
      <c r="D836" s="15"/>
      <c r="E836" s="15"/>
      <c r="F836" s="15"/>
    </row>
    <row r="837">
      <c r="A837" s="24"/>
      <c r="B837" s="15"/>
      <c r="C837" s="15"/>
      <c r="D837" s="15"/>
      <c r="E837" s="15"/>
      <c r="F837" s="15"/>
    </row>
    <row r="838">
      <c r="A838" s="24"/>
      <c r="B838" s="15"/>
      <c r="C838" s="15"/>
      <c r="D838" s="15"/>
      <c r="E838" s="15"/>
      <c r="F838" s="15"/>
    </row>
    <row r="839">
      <c r="A839" s="24"/>
      <c r="B839" s="15"/>
      <c r="C839" s="15"/>
      <c r="D839" s="15"/>
      <c r="E839" s="15"/>
      <c r="F839" s="15"/>
    </row>
    <row r="840">
      <c r="A840" s="24"/>
      <c r="B840" s="15"/>
      <c r="C840" s="15"/>
      <c r="D840" s="15"/>
      <c r="E840" s="15"/>
      <c r="F840" s="15"/>
    </row>
    <row r="841">
      <c r="A841" s="24"/>
      <c r="B841" s="15"/>
      <c r="C841" s="15"/>
      <c r="D841" s="15"/>
      <c r="E841" s="15"/>
      <c r="F841" s="15"/>
    </row>
    <row r="842">
      <c r="A842" s="24"/>
      <c r="B842" s="15"/>
      <c r="C842" s="15"/>
      <c r="D842" s="15"/>
      <c r="E842" s="15"/>
      <c r="F842" s="15"/>
    </row>
    <row r="843">
      <c r="A843" s="24"/>
      <c r="B843" s="15"/>
      <c r="C843" s="15"/>
      <c r="D843" s="15"/>
      <c r="E843" s="15"/>
      <c r="F843" s="15"/>
    </row>
    <row r="844">
      <c r="A844" s="24"/>
      <c r="B844" s="15"/>
      <c r="C844" s="15"/>
      <c r="D844" s="15"/>
      <c r="E844" s="15"/>
      <c r="F844" s="15"/>
    </row>
    <row r="845">
      <c r="A845" s="24"/>
      <c r="B845" s="15"/>
      <c r="C845" s="15"/>
      <c r="D845" s="15"/>
      <c r="E845" s="15"/>
      <c r="F845" s="15"/>
    </row>
    <row r="846">
      <c r="A846" s="24"/>
      <c r="B846" s="15"/>
      <c r="C846" s="15"/>
      <c r="D846" s="15"/>
      <c r="E846" s="15"/>
      <c r="F846" s="15"/>
    </row>
    <row r="847">
      <c r="A847" s="24"/>
      <c r="B847" s="15"/>
      <c r="C847" s="15"/>
      <c r="D847" s="15"/>
      <c r="E847" s="15"/>
      <c r="F847" s="15"/>
    </row>
    <row r="848">
      <c r="A848" s="24"/>
      <c r="B848" s="15"/>
      <c r="C848" s="15"/>
      <c r="D848" s="15"/>
      <c r="E848" s="15"/>
      <c r="F848" s="15"/>
    </row>
    <row r="849">
      <c r="A849" s="24"/>
      <c r="B849" s="15"/>
      <c r="C849" s="15"/>
      <c r="D849" s="15"/>
      <c r="E849" s="15"/>
      <c r="F849" s="15"/>
    </row>
    <row r="850">
      <c r="A850" s="24"/>
      <c r="B850" s="15"/>
      <c r="C850" s="15"/>
      <c r="D850" s="15"/>
      <c r="E850" s="15"/>
      <c r="F850" s="15"/>
    </row>
    <row r="851">
      <c r="A851" s="24"/>
      <c r="B851" s="15"/>
      <c r="C851" s="15"/>
      <c r="D851" s="15"/>
      <c r="E851" s="15"/>
      <c r="F851" s="15"/>
    </row>
    <row r="852">
      <c r="A852" s="24"/>
      <c r="B852" s="15"/>
      <c r="C852" s="15"/>
      <c r="D852" s="15"/>
      <c r="E852" s="15"/>
      <c r="F852" s="15"/>
    </row>
    <row r="853">
      <c r="A853" s="24"/>
      <c r="B853" s="15"/>
      <c r="C853" s="15"/>
      <c r="D853" s="15"/>
      <c r="E853" s="15"/>
      <c r="F853" s="15"/>
    </row>
    <row r="854">
      <c r="A854" s="24"/>
      <c r="B854" s="15"/>
      <c r="C854" s="15"/>
      <c r="D854" s="15"/>
      <c r="E854" s="15"/>
      <c r="F854" s="15"/>
    </row>
    <row r="855">
      <c r="A855" s="24"/>
      <c r="B855" s="15"/>
      <c r="C855" s="15"/>
      <c r="D855" s="15"/>
      <c r="E855" s="15"/>
      <c r="F855" s="15"/>
    </row>
    <row r="856">
      <c r="A856" s="24"/>
      <c r="B856" s="15"/>
      <c r="C856" s="15"/>
      <c r="D856" s="15"/>
      <c r="E856" s="15"/>
      <c r="F856" s="15"/>
    </row>
    <row r="857">
      <c r="A857" s="24"/>
      <c r="B857" s="15"/>
      <c r="C857" s="15"/>
      <c r="D857" s="15"/>
      <c r="E857" s="15"/>
      <c r="F857" s="15"/>
    </row>
    <row r="858">
      <c r="A858" s="24"/>
      <c r="B858" s="15"/>
      <c r="C858" s="15"/>
      <c r="D858" s="15"/>
      <c r="E858" s="15"/>
      <c r="F858" s="15"/>
    </row>
    <row r="859">
      <c r="A859" s="24"/>
      <c r="B859" s="15"/>
      <c r="C859" s="15"/>
      <c r="D859" s="15"/>
      <c r="E859" s="15"/>
      <c r="F859" s="15"/>
    </row>
    <row r="860">
      <c r="A860" s="24"/>
      <c r="B860" s="15"/>
      <c r="C860" s="15"/>
      <c r="D860" s="15"/>
      <c r="E860" s="15"/>
      <c r="F860" s="15"/>
    </row>
    <row r="861">
      <c r="A861" s="24"/>
      <c r="B861" s="15"/>
      <c r="C861" s="15"/>
      <c r="D861" s="15"/>
      <c r="E861" s="15"/>
      <c r="F861" s="15"/>
    </row>
    <row r="862">
      <c r="A862" s="24"/>
      <c r="B862" s="15"/>
      <c r="C862" s="15"/>
      <c r="D862" s="15"/>
      <c r="E862" s="15"/>
      <c r="F862" s="15"/>
    </row>
    <row r="863">
      <c r="A863" s="24"/>
      <c r="B863" s="15"/>
      <c r="C863" s="15"/>
      <c r="D863" s="15"/>
      <c r="E863" s="15"/>
      <c r="F863" s="15"/>
    </row>
    <row r="864">
      <c r="A864" s="24"/>
      <c r="B864" s="15"/>
      <c r="C864" s="15"/>
      <c r="D864" s="15"/>
      <c r="E864" s="15"/>
      <c r="F864" s="15"/>
    </row>
    <row r="865">
      <c r="A865" s="24"/>
      <c r="B865" s="15"/>
      <c r="C865" s="15"/>
      <c r="D865" s="15"/>
      <c r="E865" s="15"/>
      <c r="F865" s="15"/>
    </row>
    <row r="866">
      <c r="A866" s="24"/>
      <c r="B866" s="15"/>
      <c r="C866" s="15"/>
      <c r="D866" s="15"/>
      <c r="E866" s="15"/>
      <c r="F866" s="15"/>
    </row>
    <row r="867">
      <c r="A867" s="24"/>
      <c r="B867" s="15"/>
      <c r="C867" s="15"/>
      <c r="D867" s="15"/>
      <c r="E867" s="15"/>
      <c r="F867" s="15"/>
    </row>
    <row r="868">
      <c r="A868" s="24"/>
      <c r="B868" s="15"/>
      <c r="C868" s="15"/>
      <c r="D868" s="15"/>
      <c r="E868" s="15"/>
      <c r="F868" s="15"/>
    </row>
    <row r="869">
      <c r="A869" s="24"/>
      <c r="B869" s="15"/>
      <c r="C869" s="15"/>
      <c r="D869" s="15"/>
      <c r="E869" s="15"/>
      <c r="F869" s="15"/>
    </row>
    <row r="870">
      <c r="A870" s="24"/>
      <c r="B870" s="15"/>
      <c r="C870" s="15"/>
      <c r="D870" s="15"/>
      <c r="E870" s="15"/>
      <c r="F870" s="15"/>
    </row>
    <row r="871">
      <c r="A871" s="24"/>
      <c r="B871" s="15"/>
      <c r="C871" s="15"/>
      <c r="D871" s="15"/>
      <c r="E871" s="15"/>
      <c r="F871" s="15"/>
    </row>
    <row r="872">
      <c r="A872" s="24"/>
      <c r="B872" s="15"/>
      <c r="C872" s="15"/>
      <c r="D872" s="15"/>
      <c r="E872" s="15"/>
      <c r="F872" s="15"/>
    </row>
    <row r="873">
      <c r="A873" s="24"/>
      <c r="B873" s="15"/>
      <c r="C873" s="15"/>
      <c r="D873" s="15"/>
      <c r="E873" s="15"/>
      <c r="F873" s="15"/>
    </row>
    <row r="874">
      <c r="A874" s="24"/>
      <c r="B874" s="15"/>
      <c r="C874" s="15"/>
      <c r="D874" s="15"/>
      <c r="E874" s="15"/>
      <c r="F874" s="15"/>
    </row>
    <row r="875">
      <c r="A875" s="24"/>
      <c r="B875" s="15"/>
      <c r="C875" s="15"/>
      <c r="D875" s="15"/>
      <c r="E875" s="15"/>
      <c r="F875" s="15"/>
    </row>
    <row r="876">
      <c r="A876" s="24"/>
      <c r="B876" s="15"/>
      <c r="C876" s="15"/>
      <c r="D876" s="15"/>
      <c r="E876" s="15"/>
      <c r="F876" s="15"/>
    </row>
    <row r="877">
      <c r="A877" s="24"/>
      <c r="B877" s="15"/>
      <c r="C877" s="15"/>
      <c r="D877" s="15"/>
      <c r="E877" s="15"/>
      <c r="F877" s="15"/>
    </row>
    <row r="878">
      <c r="A878" s="24"/>
      <c r="B878" s="15"/>
      <c r="C878" s="15"/>
      <c r="D878" s="15"/>
      <c r="E878" s="15"/>
      <c r="F878" s="15"/>
    </row>
    <row r="879">
      <c r="A879" s="24"/>
      <c r="B879" s="15"/>
      <c r="C879" s="15"/>
      <c r="D879" s="15"/>
      <c r="E879" s="15"/>
      <c r="F879" s="15"/>
    </row>
    <row r="880">
      <c r="A880" s="24"/>
      <c r="B880" s="15"/>
      <c r="C880" s="15"/>
      <c r="D880" s="15"/>
      <c r="E880" s="15"/>
      <c r="F880" s="15"/>
    </row>
    <row r="881">
      <c r="A881" s="24"/>
      <c r="B881" s="15"/>
      <c r="C881" s="15"/>
      <c r="D881" s="15"/>
      <c r="E881" s="15"/>
      <c r="F881" s="15"/>
    </row>
    <row r="882">
      <c r="A882" s="24"/>
      <c r="B882" s="15"/>
      <c r="C882" s="15"/>
      <c r="D882" s="15"/>
      <c r="E882" s="15"/>
      <c r="F882" s="15"/>
    </row>
    <row r="883">
      <c r="A883" s="24"/>
      <c r="B883" s="15"/>
      <c r="C883" s="15"/>
      <c r="D883" s="15"/>
      <c r="E883" s="15"/>
      <c r="F883" s="15"/>
    </row>
    <row r="884">
      <c r="A884" s="24"/>
      <c r="B884" s="15"/>
      <c r="C884" s="15"/>
      <c r="D884" s="15"/>
      <c r="E884" s="15"/>
      <c r="F884" s="15"/>
    </row>
    <row r="885">
      <c r="A885" s="24"/>
      <c r="B885" s="15"/>
      <c r="C885" s="15"/>
      <c r="D885" s="15"/>
      <c r="E885" s="15"/>
      <c r="F885" s="15"/>
    </row>
    <row r="886">
      <c r="A886" s="24"/>
      <c r="B886" s="15"/>
      <c r="C886" s="15"/>
      <c r="D886" s="15"/>
      <c r="E886" s="15"/>
      <c r="F886" s="15"/>
    </row>
    <row r="887">
      <c r="A887" s="24"/>
      <c r="B887" s="15"/>
      <c r="C887" s="15"/>
      <c r="D887" s="15"/>
      <c r="E887" s="15"/>
      <c r="F887" s="15"/>
    </row>
    <row r="888">
      <c r="A888" s="24"/>
      <c r="B888" s="15"/>
      <c r="C888" s="15"/>
      <c r="D888" s="15"/>
      <c r="E888" s="15"/>
      <c r="F888" s="15"/>
    </row>
    <row r="889">
      <c r="A889" s="24"/>
      <c r="B889" s="15"/>
      <c r="C889" s="15"/>
      <c r="D889" s="15"/>
      <c r="E889" s="15"/>
      <c r="F889" s="15"/>
    </row>
    <row r="890">
      <c r="A890" s="24"/>
      <c r="B890" s="15"/>
      <c r="C890" s="15"/>
      <c r="D890" s="15"/>
      <c r="E890" s="15"/>
      <c r="F890" s="15"/>
    </row>
    <row r="891">
      <c r="A891" s="24"/>
      <c r="B891" s="15"/>
      <c r="C891" s="15"/>
      <c r="D891" s="15"/>
      <c r="E891" s="15"/>
      <c r="F891" s="15"/>
    </row>
    <row r="892">
      <c r="A892" s="24"/>
      <c r="B892" s="15"/>
      <c r="C892" s="15"/>
      <c r="D892" s="15"/>
      <c r="E892" s="15"/>
      <c r="F892" s="15"/>
    </row>
    <row r="893">
      <c r="A893" s="24"/>
      <c r="B893" s="15"/>
      <c r="C893" s="15"/>
      <c r="D893" s="15"/>
      <c r="E893" s="15"/>
      <c r="F893" s="15"/>
    </row>
    <row r="894">
      <c r="A894" s="24"/>
      <c r="B894" s="15"/>
      <c r="C894" s="15"/>
      <c r="D894" s="15"/>
      <c r="E894" s="15"/>
      <c r="F894" s="15"/>
    </row>
    <row r="895">
      <c r="A895" s="24"/>
      <c r="B895" s="15"/>
      <c r="C895" s="15"/>
      <c r="D895" s="15"/>
      <c r="E895" s="15"/>
      <c r="F895" s="15"/>
    </row>
    <row r="896">
      <c r="A896" s="24"/>
      <c r="B896" s="15"/>
      <c r="C896" s="15"/>
      <c r="D896" s="15"/>
      <c r="E896" s="15"/>
      <c r="F896" s="15"/>
    </row>
    <row r="897">
      <c r="A897" s="24"/>
      <c r="B897" s="15"/>
      <c r="C897" s="15"/>
      <c r="D897" s="15"/>
      <c r="E897" s="15"/>
      <c r="F897" s="15"/>
    </row>
    <row r="898">
      <c r="A898" s="24"/>
      <c r="B898" s="15"/>
      <c r="C898" s="15"/>
      <c r="D898" s="15"/>
      <c r="E898" s="15"/>
      <c r="F898" s="15"/>
    </row>
    <row r="899">
      <c r="A899" s="24"/>
      <c r="B899" s="15"/>
      <c r="C899" s="15"/>
      <c r="D899" s="15"/>
      <c r="E899" s="15"/>
      <c r="F899" s="15"/>
    </row>
    <row r="900">
      <c r="A900" s="24"/>
      <c r="B900" s="15"/>
      <c r="C900" s="15"/>
      <c r="D900" s="15"/>
      <c r="E900" s="15"/>
      <c r="F900" s="15"/>
    </row>
    <row r="901">
      <c r="A901" s="24"/>
      <c r="B901" s="15"/>
      <c r="C901" s="15"/>
      <c r="D901" s="15"/>
      <c r="E901" s="15"/>
      <c r="F901" s="15"/>
    </row>
    <row r="902">
      <c r="A902" s="24"/>
      <c r="B902" s="15"/>
      <c r="C902" s="15"/>
      <c r="D902" s="15"/>
      <c r="E902" s="15"/>
      <c r="F902" s="15"/>
    </row>
    <row r="903">
      <c r="A903" s="24"/>
      <c r="B903" s="15"/>
      <c r="C903" s="15"/>
      <c r="D903" s="15"/>
      <c r="E903" s="15"/>
      <c r="F903" s="15"/>
    </row>
    <row r="904">
      <c r="A904" s="24"/>
      <c r="B904" s="15"/>
      <c r="C904" s="15"/>
      <c r="D904" s="15"/>
      <c r="E904" s="15"/>
      <c r="F904" s="15"/>
    </row>
    <row r="905">
      <c r="A905" s="24"/>
      <c r="B905" s="15"/>
      <c r="C905" s="15"/>
      <c r="D905" s="15"/>
      <c r="E905" s="15"/>
      <c r="F905" s="15"/>
    </row>
    <row r="906">
      <c r="A906" s="24"/>
      <c r="B906" s="15"/>
      <c r="C906" s="15"/>
      <c r="D906" s="15"/>
      <c r="E906" s="15"/>
      <c r="F906" s="15"/>
    </row>
    <row r="907">
      <c r="A907" s="24"/>
      <c r="B907" s="15"/>
      <c r="C907" s="15"/>
      <c r="D907" s="15"/>
      <c r="E907" s="15"/>
      <c r="F907" s="15"/>
    </row>
    <row r="908">
      <c r="A908" s="24"/>
      <c r="B908" s="15"/>
      <c r="C908" s="15"/>
      <c r="D908" s="15"/>
      <c r="E908" s="15"/>
      <c r="F908" s="15"/>
    </row>
    <row r="909">
      <c r="A909" s="24"/>
      <c r="B909" s="15"/>
      <c r="C909" s="15"/>
      <c r="D909" s="15"/>
      <c r="E909" s="15"/>
      <c r="F909" s="15"/>
    </row>
    <row r="910">
      <c r="A910" s="24"/>
      <c r="B910" s="15"/>
      <c r="C910" s="15"/>
      <c r="D910" s="15"/>
      <c r="E910" s="15"/>
      <c r="F910" s="15"/>
    </row>
    <row r="911">
      <c r="A911" s="24"/>
      <c r="B911" s="15"/>
      <c r="C911" s="15"/>
      <c r="D911" s="15"/>
      <c r="E911" s="15"/>
      <c r="F911" s="15"/>
    </row>
    <row r="912">
      <c r="A912" s="24"/>
      <c r="B912" s="15"/>
      <c r="C912" s="15"/>
      <c r="D912" s="15"/>
      <c r="E912" s="15"/>
      <c r="F912" s="15"/>
    </row>
    <row r="913">
      <c r="A913" s="24"/>
      <c r="B913" s="15"/>
      <c r="C913" s="15"/>
      <c r="D913" s="15"/>
      <c r="E913" s="15"/>
      <c r="F913" s="15"/>
    </row>
    <row r="914">
      <c r="A914" s="24"/>
      <c r="B914" s="15"/>
      <c r="C914" s="15"/>
      <c r="D914" s="15"/>
      <c r="E914" s="15"/>
      <c r="F914" s="15"/>
    </row>
    <row r="915">
      <c r="A915" s="24"/>
      <c r="B915" s="15"/>
      <c r="C915" s="15"/>
      <c r="D915" s="15"/>
      <c r="E915" s="15"/>
      <c r="F915" s="15"/>
    </row>
    <row r="916">
      <c r="A916" s="24"/>
      <c r="B916" s="15"/>
      <c r="C916" s="15"/>
      <c r="D916" s="15"/>
      <c r="E916" s="15"/>
      <c r="F916" s="15"/>
    </row>
    <row r="917">
      <c r="A917" s="24"/>
      <c r="B917" s="15"/>
      <c r="C917" s="15"/>
      <c r="D917" s="15"/>
      <c r="E917" s="15"/>
      <c r="F917" s="15"/>
    </row>
    <row r="918">
      <c r="A918" s="24"/>
      <c r="B918" s="15"/>
      <c r="C918" s="15"/>
      <c r="D918" s="15"/>
      <c r="E918" s="15"/>
      <c r="F918" s="15"/>
    </row>
    <row r="919">
      <c r="A919" s="24"/>
      <c r="B919" s="15"/>
      <c r="C919" s="15"/>
      <c r="D919" s="15"/>
      <c r="E919" s="15"/>
      <c r="F919" s="15"/>
    </row>
    <row r="920">
      <c r="A920" s="24"/>
      <c r="B920" s="15"/>
      <c r="C920" s="15"/>
      <c r="D920" s="15"/>
      <c r="E920" s="15"/>
      <c r="F920" s="15"/>
    </row>
    <row r="921">
      <c r="A921" s="24"/>
      <c r="B921" s="15"/>
      <c r="C921" s="15"/>
      <c r="D921" s="15"/>
      <c r="E921" s="15"/>
      <c r="F921" s="15"/>
    </row>
    <row r="922">
      <c r="A922" s="24"/>
      <c r="B922" s="15"/>
      <c r="C922" s="15"/>
      <c r="D922" s="15"/>
      <c r="E922" s="15"/>
      <c r="F922" s="15"/>
    </row>
    <row r="923">
      <c r="A923" s="24"/>
      <c r="B923" s="15"/>
      <c r="C923" s="15"/>
      <c r="D923" s="15"/>
      <c r="E923" s="15"/>
      <c r="F923" s="15"/>
    </row>
    <row r="924">
      <c r="A924" s="24"/>
      <c r="B924" s="15"/>
      <c r="C924" s="15"/>
      <c r="D924" s="15"/>
      <c r="E924" s="15"/>
      <c r="F924" s="15"/>
    </row>
    <row r="925">
      <c r="A925" s="24"/>
      <c r="B925" s="15"/>
      <c r="C925" s="15"/>
      <c r="D925" s="15"/>
      <c r="E925" s="15"/>
      <c r="F925" s="15"/>
    </row>
    <row r="926">
      <c r="A926" s="24"/>
      <c r="B926" s="15"/>
      <c r="C926" s="15"/>
      <c r="D926" s="15"/>
      <c r="E926" s="15"/>
      <c r="F926" s="15"/>
    </row>
    <row r="927">
      <c r="A927" s="24"/>
      <c r="B927" s="15"/>
      <c r="C927" s="15"/>
      <c r="D927" s="15"/>
      <c r="E927" s="15"/>
      <c r="F927" s="15"/>
    </row>
    <row r="928">
      <c r="A928" s="24"/>
      <c r="B928" s="15"/>
      <c r="C928" s="15"/>
      <c r="D928" s="15"/>
      <c r="E928" s="15"/>
      <c r="F928" s="15"/>
    </row>
    <row r="929">
      <c r="A929" s="24"/>
      <c r="B929" s="15"/>
      <c r="C929" s="15"/>
      <c r="D929" s="15"/>
      <c r="E929" s="15"/>
      <c r="F929" s="15"/>
    </row>
    <row r="930">
      <c r="A930" s="24"/>
      <c r="B930" s="15"/>
      <c r="C930" s="15"/>
      <c r="D930" s="15"/>
      <c r="E930" s="15"/>
      <c r="F930" s="15"/>
    </row>
    <row r="931">
      <c r="A931" s="24"/>
      <c r="B931" s="15"/>
      <c r="C931" s="15"/>
      <c r="D931" s="15"/>
      <c r="E931" s="15"/>
      <c r="F931" s="15"/>
    </row>
    <row r="932">
      <c r="A932" s="24"/>
      <c r="B932" s="15"/>
      <c r="C932" s="15"/>
      <c r="D932" s="15"/>
      <c r="E932" s="15"/>
      <c r="F932" s="15"/>
    </row>
    <row r="933">
      <c r="A933" s="24"/>
      <c r="B933" s="15"/>
      <c r="C933" s="15"/>
      <c r="D933" s="15"/>
      <c r="E933" s="15"/>
      <c r="F933" s="15"/>
    </row>
    <row r="934">
      <c r="A934" s="24"/>
      <c r="B934" s="15"/>
      <c r="C934" s="15"/>
      <c r="D934" s="15"/>
      <c r="E934" s="15"/>
      <c r="F934" s="15"/>
    </row>
    <row r="935">
      <c r="A935" s="24"/>
      <c r="B935" s="15"/>
      <c r="C935" s="15"/>
      <c r="D935" s="15"/>
      <c r="E935" s="15"/>
      <c r="F935" s="15"/>
    </row>
    <row r="936">
      <c r="A936" s="24"/>
      <c r="B936" s="15"/>
      <c r="C936" s="15"/>
      <c r="D936" s="15"/>
      <c r="E936" s="15"/>
      <c r="F936" s="15"/>
    </row>
    <row r="937">
      <c r="A937" s="24"/>
      <c r="B937" s="15"/>
      <c r="C937" s="15"/>
      <c r="D937" s="15"/>
      <c r="E937" s="15"/>
      <c r="F937" s="15"/>
    </row>
    <row r="938">
      <c r="A938" s="24"/>
      <c r="B938" s="15"/>
      <c r="C938" s="15"/>
      <c r="D938" s="15"/>
      <c r="E938" s="15"/>
      <c r="F938" s="15"/>
    </row>
    <row r="939">
      <c r="A939" s="24"/>
      <c r="B939" s="15"/>
      <c r="C939" s="15"/>
      <c r="D939" s="15"/>
      <c r="E939" s="15"/>
      <c r="F939" s="15"/>
    </row>
    <row r="940">
      <c r="A940" s="24"/>
      <c r="B940" s="15"/>
      <c r="C940" s="15"/>
      <c r="D940" s="15"/>
      <c r="E940" s="15"/>
      <c r="F940" s="15"/>
    </row>
    <row r="941">
      <c r="A941" s="24"/>
      <c r="B941" s="15"/>
      <c r="C941" s="15"/>
      <c r="D941" s="15"/>
      <c r="E941" s="15"/>
      <c r="F941" s="15"/>
    </row>
    <row r="942">
      <c r="A942" s="24"/>
      <c r="B942" s="15"/>
      <c r="C942" s="15"/>
      <c r="D942" s="15"/>
      <c r="E942" s="15"/>
      <c r="F942" s="15"/>
    </row>
    <row r="943">
      <c r="A943" s="24"/>
      <c r="B943" s="15"/>
      <c r="C943" s="15"/>
      <c r="D943" s="15"/>
      <c r="E943" s="15"/>
      <c r="F943" s="15"/>
    </row>
    <row r="944">
      <c r="A944" s="24"/>
      <c r="B944" s="15"/>
      <c r="C944" s="15"/>
      <c r="D944" s="15"/>
      <c r="E944" s="15"/>
      <c r="F944" s="15"/>
    </row>
    <row r="945">
      <c r="A945" s="24"/>
      <c r="B945" s="15"/>
      <c r="C945" s="15"/>
      <c r="D945" s="15"/>
      <c r="E945" s="15"/>
      <c r="F945" s="15"/>
    </row>
    <row r="946">
      <c r="A946" s="24"/>
      <c r="B946" s="15"/>
      <c r="C946" s="15"/>
      <c r="D946" s="15"/>
      <c r="E946" s="15"/>
      <c r="F946" s="15"/>
    </row>
    <row r="947">
      <c r="A947" s="24"/>
      <c r="B947" s="15"/>
      <c r="C947" s="15"/>
      <c r="D947" s="15"/>
      <c r="E947" s="15"/>
      <c r="F947" s="15"/>
    </row>
    <row r="948">
      <c r="A948" s="24"/>
      <c r="B948" s="15"/>
      <c r="C948" s="15"/>
      <c r="D948" s="15"/>
      <c r="E948" s="15"/>
      <c r="F948" s="15"/>
    </row>
    <row r="949">
      <c r="A949" s="24"/>
      <c r="B949" s="15"/>
      <c r="C949" s="15"/>
      <c r="D949" s="15"/>
      <c r="E949" s="15"/>
      <c r="F949" s="15"/>
    </row>
    <row r="950">
      <c r="A950" s="24"/>
      <c r="B950" s="15"/>
      <c r="C950" s="15"/>
      <c r="D950" s="15"/>
      <c r="E950" s="15"/>
      <c r="F950" s="15"/>
    </row>
    <row r="951">
      <c r="A951" s="24"/>
      <c r="B951" s="15"/>
      <c r="C951" s="15"/>
      <c r="D951" s="15"/>
      <c r="E951" s="15"/>
      <c r="F951" s="15"/>
    </row>
    <row r="952">
      <c r="A952" s="24"/>
      <c r="B952" s="15"/>
      <c r="C952" s="15"/>
      <c r="D952" s="15"/>
      <c r="E952" s="15"/>
      <c r="F952" s="15"/>
    </row>
    <row r="953">
      <c r="A953" s="24"/>
      <c r="B953" s="15"/>
      <c r="C953" s="15"/>
      <c r="D953" s="15"/>
      <c r="E953" s="15"/>
      <c r="F953" s="15"/>
    </row>
    <row r="954">
      <c r="A954" s="24"/>
      <c r="B954" s="15"/>
      <c r="C954" s="15"/>
      <c r="D954" s="15"/>
      <c r="E954" s="15"/>
      <c r="F954" s="15"/>
    </row>
    <row r="955">
      <c r="A955" s="24"/>
      <c r="B955" s="15"/>
      <c r="C955" s="15"/>
      <c r="D955" s="15"/>
      <c r="E955" s="15"/>
      <c r="F955" s="15"/>
    </row>
    <row r="956">
      <c r="A956" s="24"/>
      <c r="B956" s="15"/>
      <c r="C956" s="15"/>
      <c r="D956" s="15"/>
      <c r="E956" s="15"/>
      <c r="F956" s="15"/>
    </row>
    <row r="957">
      <c r="A957" s="24"/>
      <c r="B957" s="15"/>
      <c r="C957" s="15"/>
      <c r="D957" s="15"/>
      <c r="E957" s="15"/>
      <c r="F957" s="15"/>
    </row>
    <row r="958">
      <c r="A958" s="24"/>
      <c r="B958" s="15"/>
      <c r="C958" s="15"/>
      <c r="D958" s="15"/>
      <c r="E958" s="15"/>
      <c r="F958" s="15"/>
    </row>
    <row r="959">
      <c r="A959" s="24"/>
      <c r="B959" s="15"/>
      <c r="C959" s="15"/>
      <c r="D959" s="15"/>
      <c r="E959" s="15"/>
      <c r="F959" s="15"/>
    </row>
    <row r="960">
      <c r="A960" s="24"/>
      <c r="B960" s="15"/>
      <c r="C960" s="15"/>
      <c r="D960" s="15"/>
      <c r="E960" s="15"/>
      <c r="F960" s="15"/>
    </row>
    <row r="961">
      <c r="A961" s="24"/>
      <c r="B961" s="15"/>
      <c r="C961" s="15"/>
      <c r="D961" s="15"/>
      <c r="E961" s="15"/>
      <c r="F961" s="15"/>
    </row>
    <row r="962">
      <c r="A962" s="24"/>
      <c r="B962" s="15"/>
      <c r="C962" s="15"/>
      <c r="D962" s="15"/>
      <c r="E962" s="15"/>
      <c r="F962" s="15"/>
    </row>
    <row r="963">
      <c r="A963" s="24"/>
      <c r="B963" s="15"/>
      <c r="C963" s="15"/>
      <c r="D963" s="15"/>
      <c r="E963" s="15"/>
      <c r="F963" s="15"/>
    </row>
    <row r="964">
      <c r="A964" s="24"/>
      <c r="B964" s="15"/>
      <c r="C964" s="15"/>
      <c r="D964" s="15"/>
      <c r="E964" s="15"/>
      <c r="F964" s="15"/>
    </row>
    <row r="965">
      <c r="A965" s="24"/>
      <c r="B965" s="15"/>
      <c r="C965" s="15"/>
      <c r="D965" s="15"/>
      <c r="E965" s="15"/>
      <c r="F965" s="15"/>
    </row>
    <row r="966">
      <c r="A966" s="24"/>
      <c r="B966" s="15"/>
      <c r="C966" s="15"/>
      <c r="D966" s="15"/>
      <c r="E966" s="15"/>
      <c r="F966" s="15"/>
    </row>
    <row r="967">
      <c r="A967" s="24"/>
      <c r="B967" s="15"/>
      <c r="C967" s="15"/>
      <c r="D967" s="15"/>
      <c r="E967" s="15"/>
      <c r="F967" s="15"/>
    </row>
    <row r="968">
      <c r="A968" s="24"/>
      <c r="B968" s="15"/>
      <c r="C968" s="15"/>
      <c r="D968" s="15"/>
      <c r="E968" s="15"/>
      <c r="F968" s="15"/>
    </row>
    <row r="969">
      <c r="A969" s="24"/>
      <c r="B969" s="15"/>
      <c r="C969" s="15"/>
      <c r="D969" s="15"/>
      <c r="E969" s="15"/>
      <c r="F969" s="15"/>
    </row>
    <row r="970">
      <c r="A970" s="24"/>
      <c r="B970" s="15"/>
      <c r="C970" s="15"/>
      <c r="D970" s="15"/>
      <c r="E970" s="15"/>
      <c r="F970" s="15"/>
    </row>
    <row r="971">
      <c r="A971" s="24"/>
      <c r="B971" s="15"/>
      <c r="C971" s="15"/>
      <c r="D971" s="15"/>
      <c r="E971" s="15"/>
      <c r="F971" s="15"/>
    </row>
    <row r="972">
      <c r="A972" s="24"/>
      <c r="B972" s="15"/>
      <c r="C972" s="15"/>
      <c r="D972" s="15"/>
      <c r="E972" s="15"/>
      <c r="F972" s="15"/>
    </row>
    <row r="973">
      <c r="A973" s="24"/>
      <c r="B973" s="15"/>
      <c r="C973" s="15"/>
      <c r="D973" s="15"/>
      <c r="E973" s="15"/>
      <c r="F973" s="15"/>
    </row>
    <row r="974">
      <c r="A974" s="24"/>
      <c r="B974" s="15"/>
      <c r="C974" s="15"/>
      <c r="D974" s="15"/>
      <c r="E974" s="15"/>
      <c r="F974" s="15"/>
    </row>
    <row r="975">
      <c r="A975" s="24"/>
      <c r="B975" s="15"/>
      <c r="C975" s="15"/>
      <c r="D975" s="15"/>
      <c r="E975" s="15"/>
      <c r="F975" s="15"/>
    </row>
    <row r="976">
      <c r="A976" s="24"/>
      <c r="B976" s="15"/>
      <c r="C976" s="15"/>
      <c r="D976" s="15"/>
      <c r="E976" s="15"/>
      <c r="F976" s="15"/>
    </row>
    <row r="977">
      <c r="A977" s="24"/>
      <c r="B977" s="15"/>
      <c r="C977" s="15"/>
      <c r="D977" s="15"/>
      <c r="E977" s="15"/>
      <c r="F977" s="15"/>
    </row>
    <row r="978">
      <c r="A978" s="24"/>
      <c r="B978" s="15"/>
      <c r="C978" s="15"/>
      <c r="D978" s="15"/>
      <c r="E978" s="15"/>
      <c r="F978" s="15"/>
    </row>
    <row r="979">
      <c r="A979" s="24"/>
      <c r="B979" s="15"/>
      <c r="C979" s="15"/>
      <c r="D979" s="15"/>
      <c r="E979" s="15"/>
      <c r="F979" s="15"/>
    </row>
    <row r="980">
      <c r="A980" s="24"/>
      <c r="B980" s="15"/>
      <c r="C980" s="15"/>
      <c r="D980" s="15"/>
      <c r="E980" s="15"/>
      <c r="F980" s="15"/>
    </row>
    <row r="981">
      <c r="A981" s="24"/>
      <c r="B981" s="15"/>
      <c r="C981" s="15"/>
      <c r="D981" s="15"/>
      <c r="E981" s="15"/>
      <c r="F981" s="15"/>
    </row>
    <row r="982">
      <c r="A982" s="24"/>
      <c r="B982" s="15"/>
      <c r="C982" s="15"/>
      <c r="D982" s="15"/>
      <c r="E982" s="15"/>
      <c r="F982" s="15"/>
    </row>
    <row r="983">
      <c r="A983" s="24"/>
      <c r="B983" s="15"/>
      <c r="C983" s="15"/>
      <c r="D983" s="15"/>
      <c r="E983" s="15"/>
      <c r="F983" s="15"/>
    </row>
    <row r="984">
      <c r="A984" s="24"/>
      <c r="B984" s="15"/>
      <c r="C984" s="15"/>
      <c r="D984" s="15"/>
      <c r="E984" s="15"/>
      <c r="F984" s="15"/>
    </row>
    <row r="985">
      <c r="A985" s="24"/>
      <c r="B985" s="15"/>
      <c r="C985" s="15"/>
      <c r="D985" s="15"/>
      <c r="E985" s="15"/>
      <c r="F985" s="15"/>
    </row>
    <row r="986">
      <c r="A986" s="24"/>
      <c r="B986" s="15"/>
      <c r="C986" s="15"/>
      <c r="D986" s="15"/>
      <c r="E986" s="15"/>
      <c r="F986" s="15"/>
    </row>
    <row r="987">
      <c r="A987" s="24"/>
      <c r="B987" s="15"/>
      <c r="C987" s="15"/>
      <c r="D987" s="15"/>
      <c r="E987" s="15"/>
      <c r="F987" s="15"/>
    </row>
    <row r="988">
      <c r="A988" s="24"/>
      <c r="B988" s="15"/>
      <c r="C988" s="15"/>
      <c r="D988" s="15"/>
      <c r="E988" s="15"/>
      <c r="F988" s="15"/>
    </row>
    <row r="989">
      <c r="A989" s="24"/>
      <c r="B989" s="15"/>
      <c r="C989" s="15"/>
      <c r="D989" s="15"/>
      <c r="E989" s="15"/>
      <c r="F989" s="15"/>
    </row>
    <row r="990">
      <c r="A990" s="24"/>
      <c r="B990" s="15"/>
      <c r="C990" s="15"/>
      <c r="D990" s="15"/>
      <c r="E990" s="15"/>
      <c r="F990" s="15"/>
    </row>
    <row r="991">
      <c r="A991" s="24"/>
      <c r="B991" s="15"/>
      <c r="C991" s="15"/>
      <c r="D991" s="15"/>
      <c r="E991" s="15"/>
      <c r="F991" s="15"/>
    </row>
    <row r="992">
      <c r="A992" s="24"/>
      <c r="B992" s="15"/>
      <c r="C992" s="15"/>
      <c r="D992" s="15"/>
      <c r="E992" s="15"/>
      <c r="F992" s="15"/>
    </row>
    <row r="993">
      <c r="A993" s="24"/>
      <c r="B993" s="15"/>
      <c r="C993" s="15"/>
      <c r="D993" s="15"/>
      <c r="E993" s="15"/>
      <c r="F993" s="15"/>
    </row>
    <row r="994">
      <c r="A994" s="24"/>
      <c r="B994" s="15"/>
      <c r="C994" s="15"/>
      <c r="D994" s="15"/>
      <c r="E994" s="15"/>
      <c r="F994" s="15"/>
    </row>
    <row r="995">
      <c r="A995" s="24"/>
      <c r="B995" s="15"/>
      <c r="C995" s="15"/>
      <c r="D995" s="15"/>
      <c r="E995" s="15"/>
      <c r="F995" s="15"/>
    </row>
    <row r="996">
      <c r="A996" s="24"/>
      <c r="B996" s="15"/>
      <c r="C996" s="15"/>
      <c r="D996" s="15"/>
      <c r="E996" s="15"/>
      <c r="F996" s="15"/>
    </row>
    <row r="997">
      <c r="A997" s="24"/>
      <c r="B997" s="15"/>
      <c r="C997" s="15"/>
      <c r="D997" s="15"/>
      <c r="E997" s="15"/>
      <c r="F997" s="15"/>
    </row>
    <row r="998">
      <c r="A998" s="24"/>
      <c r="B998" s="15"/>
      <c r="C998" s="15"/>
      <c r="D998" s="15"/>
      <c r="E998" s="15"/>
      <c r="F998" s="15"/>
    </row>
    <row r="999">
      <c r="A999" s="24"/>
      <c r="B999" s="15"/>
      <c r="C999" s="15"/>
      <c r="D999" s="15"/>
      <c r="E999" s="15"/>
      <c r="F999" s="15"/>
    </row>
    <row r="1000">
      <c r="A1000" s="24"/>
      <c r="B1000" s="15"/>
      <c r="C1000" s="15"/>
      <c r="D1000" s="15"/>
      <c r="E1000" s="15"/>
      <c r="F1000" s="15"/>
    </row>
  </sheetData>
  <conditionalFormatting sqref="A1:F1000">
    <cfRule type="containsBlanks" dxfId="0" priority="1">
      <formula>LEN(TRIM(A1))=0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6.75"/>
    <col customWidth="1" min="8" max="8" width="16.63"/>
    <col customWidth="1" min="13" max="13" width="15.88"/>
  </cols>
  <sheetData>
    <row r="1">
      <c r="A1" s="2" t="s">
        <v>8</v>
      </c>
      <c r="B1" s="5" t="s">
        <v>9</v>
      </c>
      <c r="C1" s="2" t="s">
        <v>11</v>
      </c>
      <c r="D1" s="2" t="s">
        <v>14</v>
      </c>
      <c r="E1" s="2" t="s">
        <v>17</v>
      </c>
      <c r="F1" s="2" t="s">
        <v>20</v>
      </c>
      <c r="G1" s="2" t="s">
        <v>23</v>
      </c>
      <c r="H1" s="2" t="s">
        <v>26</v>
      </c>
      <c r="I1" s="2" t="s">
        <v>30</v>
      </c>
      <c r="J1" s="2" t="s">
        <v>32</v>
      </c>
      <c r="K1" s="2" t="s">
        <v>34</v>
      </c>
      <c r="L1" s="2" t="s">
        <v>6</v>
      </c>
      <c r="M1" s="2" t="s">
        <v>7</v>
      </c>
      <c r="N1" s="2" t="s">
        <v>38</v>
      </c>
      <c r="O1" s="2" t="s">
        <v>40</v>
      </c>
      <c r="P1" s="2" t="s">
        <v>44</v>
      </c>
      <c r="Q1" s="2" t="s">
        <v>47</v>
      </c>
      <c r="R1" s="2" t="s">
        <v>49</v>
      </c>
      <c r="S1" s="2" t="s">
        <v>51</v>
      </c>
      <c r="T1" s="4" t="s">
        <v>54</v>
      </c>
      <c r="U1" s="2" t="s">
        <v>59</v>
      </c>
      <c r="V1" s="2" t="s">
        <v>60</v>
      </c>
      <c r="W1" s="10" t="s">
        <v>64</v>
      </c>
    </row>
    <row r="2">
      <c r="A2" s="7">
        <v>1.00640618E8</v>
      </c>
      <c r="B2" s="12">
        <v>41920.0</v>
      </c>
      <c r="C2" s="7">
        <f t="shared" ref="C2:C1331" si="1">YEAR(B2)</f>
        <v>2014</v>
      </c>
      <c r="D2" s="14" t="str">
        <f t="shared" ref="D2:D1331" si="2">TEXT(B2,"MM - MMM")</f>
        <v>10 - Oct</v>
      </c>
      <c r="E2" s="15" t="str">
        <f t="shared" ref="E2:E1331" si="3">CHOOSE(WEEKDAY(B2,2),"Mon","Tue","Wed","Thu","Fri","Sat","Sun")</f>
        <v>Wed</v>
      </c>
      <c r="F2" s="15">
        <f t="shared" ref="F2:F1331" si="4">MATCH(E2,{"Mon","Tue","Wed","Thu","Fri","Sat","Sun"}, 0)</f>
        <v>3</v>
      </c>
      <c r="G2" s="16">
        <v>41930.0</v>
      </c>
      <c r="H2" s="14">
        <f t="shared" ref="H2:H1331" si="5">(DATEDIF(B2,G2,"D"))</f>
        <v>10</v>
      </c>
      <c r="I2" s="7" t="s">
        <v>232</v>
      </c>
      <c r="J2" s="7" t="s">
        <v>233</v>
      </c>
      <c r="K2" s="7" t="str">
        <f>VLOOKUP(J2,countries,2,false)</f>
        <v>Norway</v>
      </c>
      <c r="L2" s="7" t="str">
        <f>VLOOKUP($J2,countries,5,false)</f>
        <v>Europe</v>
      </c>
      <c r="M2" s="7" t="str">
        <f>VLOOKUP($J2,countries,6,false)</f>
        <v>Northern Europe</v>
      </c>
      <c r="N2" s="7">
        <v>2103.0</v>
      </c>
      <c r="O2" s="7" t="str">
        <f>VLOOKUP(N2, products, 2, FALSE)</f>
        <v>Cereal</v>
      </c>
      <c r="P2" s="7" t="s">
        <v>264</v>
      </c>
      <c r="Q2" s="7">
        <v>650.0</v>
      </c>
      <c r="R2" s="17">
        <v>205.7</v>
      </c>
      <c r="S2" s="17">
        <v>117.11</v>
      </c>
      <c r="U2" s="18">
        <f t="shared" ref="U2:U1331" si="6">Q2*R2</f>
        <v>133705</v>
      </c>
      <c r="V2" s="18">
        <f t="shared" ref="V2:V1331" si="7">Q2*S2</f>
        <v>76121.5</v>
      </c>
      <c r="W2" s="19">
        <f t="shared" ref="W2:W1331" si="8">U2-V2</f>
        <v>57583.5</v>
      </c>
    </row>
    <row r="3">
      <c r="A3" s="7">
        <v>1.00983083E8</v>
      </c>
      <c r="B3" s="12">
        <v>42593.0</v>
      </c>
      <c r="C3" s="7">
        <f t="shared" si="1"/>
        <v>2016</v>
      </c>
      <c r="D3" s="14" t="str">
        <f t="shared" si="2"/>
        <v>08 - Aug</v>
      </c>
      <c r="E3" s="15" t="str">
        <f t="shared" si="3"/>
        <v>Thu</v>
      </c>
      <c r="F3" s="15">
        <f t="shared" si="4"/>
        <v>4</v>
      </c>
      <c r="G3" s="16">
        <v>42593.0</v>
      </c>
      <c r="H3" s="14">
        <f t="shared" si="5"/>
        <v>0</v>
      </c>
      <c r="I3" s="7" t="s">
        <v>305</v>
      </c>
      <c r="J3" s="7" t="s">
        <v>306</v>
      </c>
      <c r="K3" s="7" t="str">
        <f>VLOOKUP(J3,countries,2,false)</f>
        <v>Serbia</v>
      </c>
      <c r="L3" s="7" t="str">
        <f>VLOOKUP($J3,countries,5,false)</f>
        <v>Europe</v>
      </c>
      <c r="M3" s="7" t="str">
        <f>VLOOKUP($J3,countries,6,false)</f>
        <v>Southern Europe</v>
      </c>
      <c r="N3" s="7">
        <v>2103.0</v>
      </c>
      <c r="O3" s="7" t="str">
        <f>VLOOKUP(N3, products, 2, FALSE)</f>
        <v>Cereal</v>
      </c>
      <c r="P3" s="7" t="s">
        <v>334</v>
      </c>
      <c r="Q3" s="7">
        <v>1993.0</v>
      </c>
      <c r="R3" s="17">
        <v>205.7</v>
      </c>
      <c r="S3" s="17">
        <v>117.11</v>
      </c>
      <c r="U3" s="18">
        <f t="shared" si="6"/>
        <v>409960.1</v>
      </c>
      <c r="V3" s="18">
        <f t="shared" si="7"/>
        <v>233400.23</v>
      </c>
      <c r="W3" s="19">
        <f t="shared" si="8"/>
        <v>176559.87</v>
      </c>
    </row>
    <row r="4">
      <c r="A4" s="7">
        <v>1.01025998E8</v>
      </c>
      <c r="B4" s="12">
        <v>41838.0</v>
      </c>
      <c r="C4" s="7">
        <f t="shared" si="1"/>
        <v>2014</v>
      </c>
      <c r="D4" s="14" t="str">
        <f t="shared" si="2"/>
        <v>07 - Jul</v>
      </c>
      <c r="E4" s="15" t="str">
        <f t="shared" si="3"/>
        <v>Fri</v>
      </c>
      <c r="F4" s="15">
        <f t="shared" si="4"/>
        <v>5</v>
      </c>
      <c r="G4" s="16">
        <v>41862.0</v>
      </c>
      <c r="H4" s="14">
        <f t="shared" si="5"/>
        <v>24</v>
      </c>
      <c r="I4" s="7" t="s">
        <v>232</v>
      </c>
      <c r="J4" s="7" t="s">
        <v>348</v>
      </c>
      <c r="K4" s="7" t="s">
        <v>348</v>
      </c>
      <c r="L4" s="7" t="s">
        <v>348</v>
      </c>
      <c r="M4" s="7" t="s">
        <v>348</v>
      </c>
      <c r="N4" s="7">
        <v>7940.0</v>
      </c>
      <c r="O4" s="7" t="str">
        <f>VLOOKUP(N4, products, 2, FALSE)</f>
        <v>Household</v>
      </c>
      <c r="P4" s="7" t="s">
        <v>264</v>
      </c>
      <c r="Q4" s="7">
        <v>4693.0</v>
      </c>
      <c r="R4" s="17">
        <v>668.27</v>
      </c>
      <c r="S4" s="17">
        <v>502.54</v>
      </c>
      <c r="U4" s="18">
        <f t="shared" si="6"/>
        <v>3136191.11</v>
      </c>
      <c r="V4" s="18">
        <f t="shared" si="7"/>
        <v>2358420.22</v>
      </c>
      <c r="W4" s="19">
        <f t="shared" si="8"/>
        <v>777770.89</v>
      </c>
    </row>
    <row r="5">
      <c r="A5" s="7">
        <v>1.02230632E8</v>
      </c>
      <c r="B5" s="12">
        <v>42868.0</v>
      </c>
      <c r="C5" s="7">
        <f t="shared" si="1"/>
        <v>2017</v>
      </c>
      <c r="D5" s="14" t="str">
        <f t="shared" si="2"/>
        <v>05 - May</v>
      </c>
      <c r="E5" s="15" t="str">
        <f t="shared" si="3"/>
        <v>Sat</v>
      </c>
      <c r="F5" s="15">
        <f t="shared" si="4"/>
        <v>6</v>
      </c>
      <c r="G5" s="16">
        <v>42899.0</v>
      </c>
      <c r="H5" s="14">
        <f t="shared" si="5"/>
        <v>31</v>
      </c>
      <c r="I5" s="7" t="s">
        <v>364</v>
      </c>
      <c r="J5" s="7" t="s">
        <v>365</v>
      </c>
      <c r="K5" s="7" t="str">
        <f>VLOOKUP(J5,countries,2,false)</f>
        <v>Montenegro</v>
      </c>
      <c r="L5" s="7" t="str">
        <f>VLOOKUP($J5,countries,5,false)</f>
        <v>Europe</v>
      </c>
      <c r="M5" s="7" t="str">
        <f>VLOOKUP($J5,countries,6,false)</f>
        <v>Southern Europe</v>
      </c>
      <c r="N5" s="7">
        <v>2455.0</v>
      </c>
      <c r="O5" s="7" t="str">
        <f>VLOOKUP(N5, products, 2, FALSE)</f>
        <v>Clothes</v>
      </c>
      <c r="P5" s="7" t="s">
        <v>264</v>
      </c>
      <c r="Q5" s="7">
        <v>1171.0</v>
      </c>
      <c r="R5" s="17">
        <v>109.28</v>
      </c>
      <c r="S5" s="17">
        <v>35.84</v>
      </c>
      <c r="U5" s="18">
        <f t="shared" si="6"/>
        <v>127966.88</v>
      </c>
      <c r="V5" s="18">
        <f t="shared" si="7"/>
        <v>41968.64</v>
      </c>
      <c r="W5" s="19">
        <f t="shared" si="8"/>
        <v>85998.24</v>
      </c>
    </row>
    <row r="6">
      <c r="A6" s="7">
        <v>1.03435266E8</v>
      </c>
      <c r="B6" s="12">
        <v>41132.0</v>
      </c>
      <c r="C6" s="7">
        <f t="shared" si="1"/>
        <v>2012</v>
      </c>
      <c r="D6" s="14" t="str">
        <f t="shared" si="2"/>
        <v>08 - Aug</v>
      </c>
      <c r="E6" s="15" t="str">
        <f t="shared" si="3"/>
        <v>Sat</v>
      </c>
      <c r="F6" s="15">
        <f t="shared" si="4"/>
        <v>6</v>
      </c>
      <c r="G6" s="16">
        <v>41170.0</v>
      </c>
      <c r="H6" s="14">
        <f t="shared" si="5"/>
        <v>38</v>
      </c>
      <c r="I6" s="7" t="s">
        <v>399</v>
      </c>
      <c r="J6" s="7" t="s">
        <v>306</v>
      </c>
      <c r="K6" s="7" t="str">
        <f>VLOOKUP(J6,countries,2,false)</f>
        <v>Serbia</v>
      </c>
      <c r="L6" s="7" t="str">
        <f>VLOOKUP($J6,countries,5,false)</f>
        <v>Europe</v>
      </c>
      <c r="M6" s="7" t="str">
        <f>VLOOKUP($J6,countries,6,false)</f>
        <v>Southern Europe</v>
      </c>
      <c r="N6" s="7">
        <v>1270.0</v>
      </c>
      <c r="O6" s="7" t="str">
        <f>VLOOKUP(N6, products, 2, FALSE)</f>
        <v>Beverages</v>
      </c>
      <c r="P6" s="7" t="s">
        <v>334</v>
      </c>
      <c r="Q6" s="7">
        <v>7648.0</v>
      </c>
      <c r="R6" s="17">
        <v>47.45</v>
      </c>
      <c r="S6" s="17">
        <v>31.79</v>
      </c>
      <c r="U6" s="18">
        <f t="shared" si="6"/>
        <v>362897.6</v>
      </c>
      <c r="V6" s="18">
        <f t="shared" si="7"/>
        <v>243129.92</v>
      </c>
      <c r="W6" s="19">
        <f t="shared" si="8"/>
        <v>119767.68</v>
      </c>
    </row>
    <row r="7">
      <c r="A7" s="7">
        <v>1.03450715E8</v>
      </c>
      <c r="B7" s="12">
        <v>42078.0</v>
      </c>
      <c r="C7" s="7">
        <f t="shared" si="1"/>
        <v>2015</v>
      </c>
      <c r="D7" s="14" t="str">
        <f t="shared" si="2"/>
        <v>03 - Mar</v>
      </c>
      <c r="E7" s="15" t="str">
        <f t="shared" si="3"/>
        <v>Sun</v>
      </c>
      <c r="F7" s="15">
        <f t="shared" si="4"/>
        <v>7</v>
      </c>
      <c r="G7" s="16">
        <v>42112.0</v>
      </c>
      <c r="H7" s="14">
        <f t="shared" si="5"/>
        <v>34</v>
      </c>
      <c r="I7" s="7" t="s">
        <v>399</v>
      </c>
      <c r="J7" s="7" t="s">
        <v>435</v>
      </c>
      <c r="K7" s="7" t="str">
        <f>VLOOKUP(J7,countries,2,false)</f>
        <v>Slovakia</v>
      </c>
      <c r="L7" s="7" t="str">
        <f>VLOOKUP($J7,countries,5,false)</f>
        <v>Europe</v>
      </c>
      <c r="M7" s="7" t="str">
        <f>VLOOKUP($J7,countries,6,false)</f>
        <v>Eastern Europe</v>
      </c>
      <c r="N7" s="7">
        <v>8681.0</v>
      </c>
      <c r="O7" s="7" t="str">
        <f>VLOOKUP(N7, products, 2, FALSE)</f>
        <v>Office Supplies</v>
      </c>
      <c r="P7" s="7" t="s">
        <v>264</v>
      </c>
      <c r="Q7" s="7">
        <v>2220.0</v>
      </c>
      <c r="R7" s="17">
        <v>651.21</v>
      </c>
      <c r="S7" s="17">
        <v>524.96</v>
      </c>
      <c r="U7" s="18">
        <f t="shared" si="6"/>
        <v>1445686.2</v>
      </c>
      <c r="V7" s="18">
        <f t="shared" si="7"/>
        <v>1165411.2</v>
      </c>
      <c r="W7" s="19">
        <f t="shared" si="8"/>
        <v>280275</v>
      </c>
    </row>
    <row r="8">
      <c r="A8" s="7">
        <v>1.03499639E8</v>
      </c>
      <c r="B8" s="12">
        <v>41384.0</v>
      </c>
      <c r="C8" s="7">
        <f t="shared" si="1"/>
        <v>2013</v>
      </c>
      <c r="D8" s="14" t="str">
        <f t="shared" si="2"/>
        <v>04 - Apr</v>
      </c>
      <c r="E8" s="15" t="str">
        <f t="shared" si="3"/>
        <v>Sat</v>
      </c>
      <c r="F8" s="15">
        <f t="shared" si="4"/>
        <v>6</v>
      </c>
      <c r="G8" s="16">
        <v>41431.0</v>
      </c>
      <c r="H8" s="14">
        <f t="shared" si="5"/>
        <v>47</v>
      </c>
      <c r="I8" s="7" t="s">
        <v>364</v>
      </c>
      <c r="J8" s="7" t="s">
        <v>296</v>
      </c>
      <c r="K8" s="7" t="str">
        <f>VLOOKUP(J8,countries,2,false)</f>
        <v>France</v>
      </c>
      <c r="L8" s="7" t="str">
        <f>VLOOKUP($J8,countries,5,false)</f>
        <v>Europe</v>
      </c>
      <c r="M8" s="7" t="str">
        <f>VLOOKUP($J8,countries,6,false)</f>
        <v>Western Europe</v>
      </c>
      <c r="N8" s="7">
        <v>4594.0</v>
      </c>
      <c r="O8" s="7" t="str">
        <f>VLOOKUP(N8, products, 2, FALSE)</f>
        <v>Fruits</v>
      </c>
      <c r="P8" s="7" t="s">
        <v>264</v>
      </c>
      <c r="Q8" s="7">
        <v>6698.0</v>
      </c>
      <c r="R8" s="17">
        <v>9.33</v>
      </c>
      <c r="S8" s="17">
        <v>6.92</v>
      </c>
      <c r="U8" s="18">
        <f t="shared" si="6"/>
        <v>62492.34</v>
      </c>
      <c r="V8" s="18">
        <f t="shared" si="7"/>
        <v>46350.16</v>
      </c>
      <c r="W8" s="19">
        <f t="shared" si="8"/>
        <v>16142.18</v>
      </c>
    </row>
    <row r="9">
      <c r="A9" s="7">
        <v>1.0376228E8</v>
      </c>
      <c r="B9" s="12">
        <v>40859.0</v>
      </c>
      <c r="C9" s="7">
        <f t="shared" si="1"/>
        <v>2011</v>
      </c>
      <c r="D9" s="14" t="str">
        <f t="shared" si="2"/>
        <v>11 - Nov</v>
      </c>
      <c r="E9" s="15" t="str">
        <f t="shared" si="3"/>
        <v>Sat</v>
      </c>
      <c r="F9" s="15">
        <f t="shared" si="4"/>
        <v>6</v>
      </c>
      <c r="G9" s="16">
        <v>40891.0</v>
      </c>
      <c r="H9" s="14">
        <f t="shared" si="5"/>
        <v>32</v>
      </c>
      <c r="I9" s="7" t="s">
        <v>232</v>
      </c>
      <c r="J9" s="7" t="s">
        <v>517</v>
      </c>
      <c r="K9" s="7" t="str">
        <f>VLOOKUP(J9,countries,2,false)</f>
        <v>Spain</v>
      </c>
      <c r="L9" s="7" t="str">
        <f>VLOOKUP($J9,countries,5,false)</f>
        <v>Europe</v>
      </c>
      <c r="M9" s="7" t="str">
        <f>VLOOKUP($J9,countries,6,false)</f>
        <v>Southern Europe</v>
      </c>
      <c r="N9" s="7">
        <v>5988.0</v>
      </c>
      <c r="O9" s="7" t="str">
        <f>VLOOKUP(N9, products, 2, FALSE)</f>
        <v>Vegetables</v>
      </c>
      <c r="P9" s="7" t="s">
        <v>264</v>
      </c>
      <c r="Q9" s="7">
        <v>4419.0</v>
      </c>
      <c r="R9" s="17">
        <v>154.06</v>
      </c>
      <c r="S9" s="17">
        <v>90.93</v>
      </c>
      <c r="U9" s="18">
        <f t="shared" si="6"/>
        <v>680791.14</v>
      </c>
      <c r="V9" s="18">
        <f t="shared" si="7"/>
        <v>401819.67</v>
      </c>
      <c r="W9" s="19">
        <f t="shared" si="8"/>
        <v>278971.47</v>
      </c>
    </row>
    <row r="10">
      <c r="A10" s="7">
        <v>1.03832662E8</v>
      </c>
      <c r="B10" s="12">
        <v>41171.0</v>
      </c>
      <c r="C10" s="7">
        <f t="shared" si="1"/>
        <v>2012</v>
      </c>
      <c r="D10" s="14" t="str">
        <f t="shared" si="2"/>
        <v>09 - Sep</v>
      </c>
      <c r="E10" s="15" t="str">
        <f t="shared" si="3"/>
        <v>Wed</v>
      </c>
      <c r="F10" s="15">
        <f t="shared" si="4"/>
        <v>3</v>
      </c>
      <c r="G10" s="16">
        <v>41202.0</v>
      </c>
      <c r="H10" s="14">
        <f t="shared" si="5"/>
        <v>31</v>
      </c>
      <c r="I10" s="7" t="s">
        <v>399</v>
      </c>
      <c r="J10" s="7" t="s">
        <v>229</v>
      </c>
      <c r="K10" s="7" t="str">
        <f>VLOOKUP(J10,countries,2,false)</f>
        <v>Croatia</v>
      </c>
      <c r="L10" s="7" t="str">
        <f>VLOOKUP($J10,countries,5,false)</f>
        <v>Europe</v>
      </c>
      <c r="M10" s="7" t="str">
        <f>VLOOKUP($J10,countries,6,false)</f>
        <v>Southern Europe</v>
      </c>
      <c r="N10" s="7">
        <v>7331.0</v>
      </c>
      <c r="O10" s="7" t="str">
        <f>VLOOKUP(N10, products, 2, FALSE)</f>
        <v>Baby Food</v>
      </c>
      <c r="P10" s="7" t="s">
        <v>334</v>
      </c>
      <c r="Q10" s="7">
        <v>5247.0</v>
      </c>
      <c r="R10" s="17">
        <v>255.28</v>
      </c>
      <c r="S10" s="17">
        <v>159.42</v>
      </c>
      <c r="U10" s="18">
        <f t="shared" si="6"/>
        <v>1339454.16</v>
      </c>
      <c r="V10" s="18">
        <f t="shared" si="7"/>
        <v>836476.74</v>
      </c>
      <c r="W10" s="19">
        <f t="shared" si="8"/>
        <v>502977.42</v>
      </c>
    </row>
    <row r="11">
      <c r="A11" s="7">
        <v>1.04008615E8</v>
      </c>
      <c r="B11" s="12">
        <v>40566.0</v>
      </c>
      <c r="C11" s="7">
        <f t="shared" si="1"/>
        <v>2011</v>
      </c>
      <c r="D11" s="14" t="str">
        <f t="shared" si="2"/>
        <v>01 - Jan</v>
      </c>
      <c r="E11" s="15" t="str">
        <f t="shared" si="3"/>
        <v>Sun</v>
      </c>
      <c r="F11" s="15">
        <f t="shared" si="4"/>
        <v>7</v>
      </c>
      <c r="G11" s="16">
        <v>40596.0</v>
      </c>
      <c r="H11" s="14">
        <f t="shared" si="5"/>
        <v>30</v>
      </c>
      <c r="I11" s="7" t="s">
        <v>232</v>
      </c>
      <c r="J11" s="7" t="s">
        <v>319</v>
      </c>
      <c r="K11" s="7" t="str">
        <f>VLOOKUP(J11,countries,2,false)</f>
        <v>Germany</v>
      </c>
      <c r="L11" s="7" t="str">
        <f>VLOOKUP($J11,countries,5,false)</f>
        <v>Europe</v>
      </c>
      <c r="M11" s="7" t="str">
        <f>VLOOKUP($J11,countries,6,false)</f>
        <v>Western Europe</v>
      </c>
      <c r="N11" s="7">
        <v>2103.0</v>
      </c>
      <c r="O11" s="7" t="str">
        <f>VLOOKUP(N11, products, 2, FALSE)</f>
        <v>Cereal</v>
      </c>
      <c r="P11" s="7" t="s">
        <v>264</v>
      </c>
      <c r="Q11" s="7">
        <v>7315.0</v>
      </c>
      <c r="R11" s="17">
        <v>205.7</v>
      </c>
      <c r="S11" s="17">
        <v>117.11</v>
      </c>
      <c r="U11" s="18">
        <f t="shared" si="6"/>
        <v>1504695.5</v>
      </c>
      <c r="V11" s="18">
        <f t="shared" si="7"/>
        <v>856659.65</v>
      </c>
      <c r="W11" s="19">
        <f t="shared" si="8"/>
        <v>648035.85</v>
      </c>
    </row>
    <row r="12">
      <c r="A12" s="7">
        <v>1.04165685E8</v>
      </c>
      <c r="B12" s="12">
        <v>40958.0</v>
      </c>
      <c r="C12" s="7">
        <f t="shared" si="1"/>
        <v>2012</v>
      </c>
      <c r="D12" s="14" t="str">
        <f t="shared" si="2"/>
        <v>02 - Feb</v>
      </c>
      <c r="E12" s="15" t="str">
        <f t="shared" si="3"/>
        <v>Sun</v>
      </c>
      <c r="F12" s="15">
        <f t="shared" si="4"/>
        <v>7</v>
      </c>
      <c r="G12" s="16">
        <v>40974.0</v>
      </c>
      <c r="H12" s="14">
        <f t="shared" si="5"/>
        <v>16</v>
      </c>
      <c r="I12" s="7" t="s">
        <v>364</v>
      </c>
      <c r="J12" s="7" t="s">
        <v>90</v>
      </c>
      <c r="K12" s="7" t="str">
        <f>VLOOKUP(J12,countries,2,false)</f>
        <v>Armenia</v>
      </c>
      <c r="L12" s="7" t="str">
        <f>VLOOKUP($J12,countries,5,false)</f>
        <v>Asia</v>
      </c>
      <c r="M12" s="7" t="str">
        <f>VLOOKUP($J12,countries,6,false)</f>
        <v>Western Asia</v>
      </c>
      <c r="N12" s="7">
        <v>7940.0</v>
      </c>
      <c r="O12" s="7" t="str">
        <f>VLOOKUP(N12, products, 2, FALSE)</f>
        <v>Household</v>
      </c>
      <c r="P12" s="7" t="s">
        <v>264</v>
      </c>
      <c r="Q12" s="7">
        <v>3796.0</v>
      </c>
      <c r="R12" s="17">
        <v>668.27</v>
      </c>
      <c r="S12" s="17">
        <v>502.54</v>
      </c>
      <c r="U12" s="18">
        <f t="shared" si="6"/>
        <v>2536752.92</v>
      </c>
      <c r="V12" s="18">
        <f t="shared" si="7"/>
        <v>1907641.84</v>
      </c>
      <c r="W12" s="19">
        <f t="shared" si="8"/>
        <v>629111.08</v>
      </c>
    </row>
    <row r="13">
      <c r="A13" s="7">
        <v>1.04190576E8</v>
      </c>
      <c r="B13" s="12">
        <v>42788.0</v>
      </c>
      <c r="C13" s="7">
        <f t="shared" si="1"/>
        <v>2017</v>
      </c>
      <c r="D13" s="14" t="str">
        <f t="shared" si="2"/>
        <v>02 - Feb</v>
      </c>
      <c r="E13" s="15" t="str">
        <f t="shared" si="3"/>
        <v>Wed</v>
      </c>
      <c r="F13" s="15">
        <f t="shared" si="4"/>
        <v>3</v>
      </c>
      <c r="G13" s="16">
        <v>42806.0</v>
      </c>
      <c r="H13" s="14">
        <f t="shared" si="5"/>
        <v>18</v>
      </c>
      <c r="I13" s="7" t="s">
        <v>305</v>
      </c>
      <c r="J13" s="7" t="s">
        <v>316</v>
      </c>
      <c r="K13" s="7" t="str">
        <f>VLOOKUP(J13,countries,2,false)</f>
        <v>Georgia</v>
      </c>
      <c r="L13" s="7" t="str">
        <f>VLOOKUP($J13,countries,5,false)</f>
        <v>Asia</v>
      </c>
      <c r="M13" s="7" t="str">
        <f>VLOOKUP($J13,countries,6,false)</f>
        <v>Western Asia</v>
      </c>
      <c r="N13" s="7">
        <v>8875.0</v>
      </c>
      <c r="O13" s="7" t="str">
        <f>VLOOKUP(N13, products, 2, FALSE)</f>
        <v>Meat</v>
      </c>
      <c r="P13" s="7" t="s">
        <v>334</v>
      </c>
      <c r="Q13" s="7">
        <v>1162.0</v>
      </c>
      <c r="R13" s="17">
        <v>421.89</v>
      </c>
      <c r="S13" s="17">
        <v>364.69</v>
      </c>
      <c r="U13" s="18">
        <f t="shared" si="6"/>
        <v>490236.18</v>
      </c>
      <c r="V13" s="18">
        <f t="shared" si="7"/>
        <v>423769.78</v>
      </c>
      <c r="W13" s="19">
        <f t="shared" si="8"/>
        <v>66466.4</v>
      </c>
    </row>
    <row r="14">
      <c r="A14" s="7">
        <v>1.04245078E8</v>
      </c>
      <c r="B14" s="12">
        <v>41360.0</v>
      </c>
      <c r="C14" s="7">
        <f t="shared" si="1"/>
        <v>2013</v>
      </c>
      <c r="D14" s="14" t="str">
        <f t="shared" si="2"/>
        <v>03 - Mar</v>
      </c>
      <c r="E14" s="15" t="str">
        <f t="shared" si="3"/>
        <v>Wed</v>
      </c>
      <c r="F14" s="15">
        <f t="shared" si="4"/>
        <v>3</v>
      </c>
      <c r="G14" s="16">
        <v>41385.0</v>
      </c>
      <c r="H14" s="14">
        <f t="shared" si="5"/>
        <v>25</v>
      </c>
      <c r="I14" s="7" t="s">
        <v>232</v>
      </c>
      <c r="J14" s="7" t="s">
        <v>681</v>
      </c>
      <c r="K14" s="7" t="str">
        <f>VLOOKUP(J14,countries,2,false)</f>
        <v>United Kingdom</v>
      </c>
      <c r="L14" s="7" t="str">
        <f>VLOOKUP($J14,countries,5,false)</f>
        <v>Europe</v>
      </c>
      <c r="M14" s="7" t="str">
        <f>VLOOKUP($J14,countries,6,false)</f>
        <v>Northern Europe</v>
      </c>
      <c r="N14" s="7">
        <v>4594.0</v>
      </c>
      <c r="O14" s="7" t="str">
        <f>VLOOKUP(N14, products, 2, FALSE)</f>
        <v>Fruits</v>
      </c>
      <c r="P14" s="7" t="s">
        <v>334</v>
      </c>
      <c r="Q14" s="7">
        <v>7290.0</v>
      </c>
      <c r="R14" s="17">
        <v>9.33</v>
      </c>
      <c r="S14" s="17">
        <v>6.92</v>
      </c>
      <c r="U14" s="18">
        <f t="shared" si="6"/>
        <v>68015.7</v>
      </c>
      <c r="V14" s="18">
        <f t="shared" si="7"/>
        <v>50446.8</v>
      </c>
      <c r="W14" s="19">
        <f t="shared" si="8"/>
        <v>17568.9</v>
      </c>
    </row>
    <row r="15">
      <c r="A15" s="7">
        <v>1.0454849E8</v>
      </c>
      <c r="B15" s="12">
        <v>41640.0</v>
      </c>
      <c r="C15" s="7">
        <f t="shared" si="1"/>
        <v>2014</v>
      </c>
      <c r="D15" s="14" t="str">
        <f t="shared" si="2"/>
        <v>01 - Jan</v>
      </c>
      <c r="E15" s="15" t="str">
        <f t="shared" si="3"/>
        <v>Wed</v>
      </c>
      <c r="F15" s="15">
        <f t="shared" si="4"/>
        <v>3</v>
      </c>
      <c r="G15" s="16">
        <v>41644.0</v>
      </c>
      <c r="H15" s="14">
        <f t="shared" si="5"/>
        <v>4</v>
      </c>
      <c r="I15" s="7" t="s">
        <v>232</v>
      </c>
      <c r="J15" s="7" t="s">
        <v>348</v>
      </c>
      <c r="K15" s="7" t="s">
        <v>348</v>
      </c>
      <c r="L15" s="7" t="s">
        <v>348</v>
      </c>
      <c r="M15" s="7" t="s">
        <v>348</v>
      </c>
      <c r="N15" s="7">
        <v>7331.0</v>
      </c>
      <c r="O15" s="7" t="str">
        <f>VLOOKUP(N15, products, 2, FALSE)</f>
        <v>Baby Food</v>
      </c>
      <c r="P15" s="7" t="s">
        <v>264</v>
      </c>
      <c r="Q15" s="7">
        <v>7076.0</v>
      </c>
      <c r="R15" s="17">
        <v>255.28</v>
      </c>
      <c r="S15" s="17">
        <v>159.42</v>
      </c>
      <c r="U15" s="18">
        <f t="shared" si="6"/>
        <v>1806361.28</v>
      </c>
      <c r="V15" s="18">
        <f t="shared" si="7"/>
        <v>1128055.92</v>
      </c>
      <c r="W15" s="19">
        <f t="shared" si="8"/>
        <v>678305.36</v>
      </c>
    </row>
    <row r="16">
      <c r="A16" s="7">
        <v>1.0503E8</v>
      </c>
      <c r="B16" s="12">
        <v>42523.0</v>
      </c>
      <c r="C16" s="7">
        <f t="shared" si="1"/>
        <v>2016</v>
      </c>
      <c r="D16" s="14" t="str">
        <f t="shared" si="2"/>
        <v>06 - Jun</v>
      </c>
      <c r="E16" s="15" t="str">
        <f t="shared" si="3"/>
        <v>Thu</v>
      </c>
      <c r="F16" s="15">
        <f t="shared" si="4"/>
        <v>4</v>
      </c>
      <c r="G16" s="16">
        <v>42534.0</v>
      </c>
      <c r="H16" s="14">
        <f t="shared" si="5"/>
        <v>11</v>
      </c>
      <c r="I16" s="7" t="s">
        <v>305</v>
      </c>
      <c r="J16" s="7" t="s">
        <v>685</v>
      </c>
      <c r="K16" s="7" t="str">
        <f>VLOOKUP(J16,countries,2,false)</f>
        <v>Slovenia</v>
      </c>
      <c r="L16" s="7" t="str">
        <f>VLOOKUP($J16,countries,5,false)</f>
        <v>Europe</v>
      </c>
      <c r="M16" s="7" t="str">
        <f>VLOOKUP($J16,countries,6,false)</f>
        <v>Southern Europe</v>
      </c>
      <c r="N16" s="7">
        <v>2455.0</v>
      </c>
      <c r="O16" s="7" t="str">
        <f>VLOOKUP(N16, products, 2, FALSE)</f>
        <v>Clothes</v>
      </c>
      <c r="P16" s="7" t="s">
        <v>334</v>
      </c>
      <c r="Q16" s="7">
        <v>9566.0</v>
      </c>
      <c r="R16" s="17">
        <v>109.28</v>
      </c>
      <c r="S16" s="17">
        <v>35.84</v>
      </c>
      <c r="U16" s="18">
        <f t="shared" si="6"/>
        <v>1045372.48</v>
      </c>
      <c r="V16" s="18">
        <f t="shared" si="7"/>
        <v>342845.44</v>
      </c>
      <c r="W16" s="19">
        <f t="shared" si="8"/>
        <v>702527.04</v>
      </c>
    </row>
    <row r="17">
      <c r="A17" s="7">
        <v>1.07651269E8</v>
      </c>
      <c r="B17" s="12">
        <v>41575.0</v>
      </c>
      <c r="C17" s="7">
        <f t="shared" si="1"/>
        <v>2013</v>
      </c>
      <c r="D17" s="14" t="str">
        <f t="shared" si="2"/>
        <v>10 - Oct</v>
      </c>
      <c r="E17" s="15" t="str">
        <f t="shared" si="3"/>
        <v>Mon</v>
      </c>
      <c r="F17" s="15">
        <f t="shared" si="4"/>
        <v>1</v>
      </c>
      <c r="G17" s="16">
        <v>41589.0</v>
      </c>
      <c r="H17" s="14">
        <f t="shared" si="5"/>
        <v>14</v>
      </c>
      <c r="I17" s="7" t="s">
        <v>232</v>
      </c>
      <c r="J17" s="7" t="s">
        <v>229</v>
      </c>
      <c r="K17" s="7" t="str">
        <f>VLOOKUP(J17,countries,2,false)</f>
        <v>Croatia</v>
      </c>
      <c r="L17" s="7" t="str">
        <f>VLOOKUP($J17,countries,5,false)</f>
        <v>Europe</v>
      </c>
      <c r="M17" s="7" t="str">
        <f>VLOOKUP($J17,countries,6,false)</f>
        <v>Southern Europe</v>
      </c>
      <c r="N17" s="7">
        <v>7940.0</v>
      </c>
      <c r="O17" s="7" t="str">
        <f>VLOOKUP(N17, products, 2, FALSE)</f>
        <v>Household</v>
      </c>
      <c r="P17" s="7" t="s">
        <v>264</v>
      </c>
      <c r="Q17" s="7">
        <v>5258.0</v>
      </c>
      <c r="R17" s="17">
        <v>668.27</v>
      </c>
      <c r="S17" s="17">
        <v>502.54</v>
      </c>
      <c r="U17" s="18">
        <f t="shared" si="6"/>
        <v>3513763.66</v>
      </c>
      <c r="V17" s="18">
        <f t="shared" si="7"/>
        <v>2642355.32</v>
      </c>
      <c r="W17" s="19">
        <f t="shared" si="8"/>
        <v>871408.34</v>
      </c>
    </row>
    <row r="18">
      <c r="A18" s="7">
        <v>1.08407437E8</v>
      </c>
      <c r="B18" s="12">
        <v>42054.0</v>
      </c>
      <c r="C18" s="7">
        <f t="shared" si="1"/>
        <v>2015</v>
      </c>
      <c r="D18" s="14" t="str">
        <f t="shared" si="2"/>
        <v>02 - Feb</v>
      </c>
      <c r="E18" s="15" t="str">
        <f t="shared" si="3"/>
        <v>Thu</v>
      </c>
      <c r="F18" s="15">
        <f t="shared" si="4"/>
        <v>4</v>
      </c>
      <c r="G18" s="16">
        <v>42090.0</v>
      </c>
      <c r="H18" s="14">
        <f t="shared" si="5"/>
        <v>36</v>
      </c>
      <c r="I18" s="7" t="s">
        <v>305</v>
      </c>
      <c r="J18" s="7" t="s">
        <v>623</v>
      </c>
      <c r="K18" s="7" t="str">
        <f>VLOOKUP(J18,countries,2,false)</f>
        <v>Romania</v>
      </c>
      <c r="L18" s="7" t="str">
        <f>VLOOKUP($J18,countries,5,false)</f>
        <v>Europe</v>
      </c>
      <c r="M18" s="7" t="str">
        <f>VLOOKUP($J18,countries,6,false)</f>
        <v>Eastern Europe</v>
      </c>
      <c r="N18" s="7">
        <v>7331.0</v>
      </c>
      <c r="O18" s="7" t="str">
        <f>VLOOKUP(N18, products, 2, FALSE)</f>
        <v>Baby Food</v>
      </c>
      <c r="P18" s="7" t="s">
        <v>334</v>
      </c>
      <c r="Q18" s="7">
        <v>9025.0</v>
      </c>
      <c r="R18" s="17">
        <v>255.28</v>
      </c>
      <c r="S18" s="17">
        <v>159.42</v>
      </c>
      <c r="U18" s="18">
        <f t="shared" si="6"/>
        <v>2303902</v>
      </c>
      <c r="V18" s="18">
        <f t="shared" si="7"/>
        <v>1438765.5</v>
      </c>
      <c r="W18" s="19">
        <f t="shared" si="8"/>
        <v>865136.5</v>
      </c>
    </row>
    <row r="19">
      <c r="A19" s="7">
        <v>1.09914195E8</v>
      </c>
      <c r="B19" s="12">
        <v>40980.0</v>
      </c>
      <c r="C19" s="7">
        <f t="shared" si="1"/>
        <v>2012</v>
      </c>
      <c r="D19" s="14" t="str">
        <f t="shared" si="2"/>
        <v>03 - Mar</v>
      </c>
      <c r="E19" s="15" t="str">
        <f t="shared" si="3"/>
        <v>Mon</v>
      </c>
      <c r="F19" s="15">
        <f t="shared" si="4"/>
        <v>1</v>
      </c>
      <c r="G19" s="16">
        <v>41015.0</v>
      </c>
      <c r="H19" s="14">
        <f t="shared" si="5"/>
        <v>35</v>
      </c>
      <c r="I19" s="7" t="s">
        <v>232</v>
      </c>
      <c r="J19" s="7" t="s">
        <v>608</v>
      </c>
      <c r="K19" s="7" t="str">
        <f>VLOOKUP(J19,countries,2,false)</f>
        <v>Poland</v>
      </c>
      <c r="L19" s="7" t="str">
        <f>VLOOKUP($J19,countries,5,false)</f>
        <v>Europe</v>
      </c>
      <c r="M19" s="7" t="str">
        <f>VLOOKUP($J19,countries,6,false)</f>
        <v>Eastern Europe</v>
      </c>
      <c r="N19" s="7">
        <v>2455.0</v>
      </c>
      <c r="O19" s="7" t="str">
        <f>VLOOKUP(N19, products, 2, FALSE)</f>
        <v>Clothes</v>
      </c>
      <c r="P19" s="7" t="s">
        <v>334</v>
      </c>
      <c r="Q19" s="7">
        <v>4908.0</v>
      </c>
      <c r="R19" s="17">
        <v>109.28</v>
      </c>
      <c r="S19" s="17">
        <v>35.84</v>
      </c>
      <c r="U19" s="18">
        <f t="shared" si="6"/>
        <v>536346.24</v>
      </c>
      <c r="V19" s="18">
        <f t="shared" si="7"/>
        <v>175902.72</v>
      </c>
      <c r="W19" s="19">
        <f t="shared" si="8"/>
        <v>360443.52</v>
      </c>
    </row>
    <row r="20">
      <c r="A20" s="7">
        <v>1.11063039E8</v>
      </c>
      <c r="B20" s="12">
        <v>41055.0</v>
      </c>
      <c r="C20" s="7">
        <f t="shared" si="1"/>
        <v>2012</v>
      </c>
      <c r="D20" s="14" t="str">
        <f t="shared" si="2"/>
        <v>05 - May</v>
      </c>
      <c r="E20" s="15" t="str">
        <f t="shared" si="3"/>
        <v>Sat</v>
      </c>
      <c r="F20" s="15">
        <f t="shared" si="4"/>
        <v>6</v>
      </c>
      <c r="G20" s="16">
        <v>41103.0</v>
      </c>
      <c r="H20" s="14">
        <f t="shared" si="5"/>
        <v>48</v>
      </c>
      <c r="I20" s="7" t="s">
        <v>364</v>
      </c>
      <c r="J20" s="7" t="s">
        <v>468</v>
      </c>
      <c r="K20" s="7" t="str">
        <f>VLOOKUP(J20,countries,2,false)</f>
        <v>Luxembourg</v>
      </c>
      <c r="L20" s="7" t="str">
        <f>VLOOKUP($J20,countries,5,false)</f>
        <v>Europe</v>
      </c>
      <c r="M20" s="7" t="str">
        <f>VLOOKUP($J20,countries,6,false)</f>
        <v>Western Europe</v>
      </c>
      <c r="N20" s="7">
        <v>7331.0</v>
      </c>
      <c r="O20" s="7" t="str">
        <f>VLOOKUP(N20, products, 2, FALSE)</f>
        <v>Baby Food</v>
      </c>
      <c r="P20" s="7" t="s">
        <v>264</v>
      </c>
      <c r="Q20" s="7">
        <v>4876.0</v>
      </c>
      <c r="R20" s="17">
        <v>255.28</v>
      </c>
      <c r="S20" s="17">
        <v>159.42</v>
      </c>
      <c r="U20" s="18">
        <f t="shared" si="6"/>
        <v>1244745.28</v>
      </c>
      <c r="V20" s="18">
        <f t="shared" si="7"/>
        <v>777331.92</v>
      </c>
      <c r="W20" s="19">
        <f t="shared" si="8"/>
        <v>467413.36</v>
      </c>
    </row>
    <row r="21">
      <c r="A21" s="7">
        <v>1.11246287E8</v>
      </c>
      <c r="B21" s="12">
        <v>42895.0</v>
      </c>
      <c r="C21" s="7">
        <f t="shared" si="1"/>
        <v>2017</v>
      </c>
      <c r="D21" s="14" t="str">
        <f t="shared" si="2"/>
        <v>06 - Jun</v>
      </c>
      <c r="E21" s="15" t="str">
        <f t="shared" si="3"/>
        <v>Fri</v>
      </c>
      <c r="F21" s="15">
        <f t="shared" si="4"/>
        <v>5</v>
      </c>
      <c r="G21" s="16">
        <v>42918.0</v>
      </c>
      <c r="H21" s="14">
        <f t="shared" si="5"/>
        <v>23</v>
      </c>
      <c r="I21" s="7" t="s">
        <v>232</v>
      </c>
      <c r="J21" s="7" t="s">
        <v>240</v>
      </c>
      <c r="K21" s="7" t="str">
        <f>VLOOKUP(J21,countries,2,false)</f>
        <v>Cyprus</v>
      </c>
      <c r="L21" s="7" t="str">
        <f>VLOOKUP($J21,countries,5,false)</f>
        <v>Asia</v>
      </c>
      <c r="M21" s="7" t="str">
        <f>VLOOKUP($J21,countries,6,false)</f>
        <v>Western Asia</v>
      </c>
      <c r="N21" s="7">
        <v>8875.0</v>
      </c>
      <c r="O21" s="7" t="str">
        <f>VLOOKUP(N21, products, 2, FALSE)</f>
        <v>Meat</v>
      </c>
      <c r="P21" s="7" t="s">
        <v>334</v>
      </c>
      <c r="Q21" s="7">
        <v>9103.0</v>
      </c>
      <c r="R21" s="17">
        <v>421.89</v>
      </c>
      <c r="S21" s="17">
        <v>364.69</v>
      </c>
      <c r="U21" s="18">
        <f t="shared" si="6"/>
        <v>3840464.67</v>
      </c>
      <c r="V21" s="18">
        <f t="shared" si="7"/>
        <v>3319773.07</v>
      </c>
      <c r="W21" s="19">
        <f t="shared" si="8"/>
        <v>520691.6</v>
      </c>
    </row>
    <row r="22">
      <c r="A22" s="7">
        <v>1.11496055E8</v>
      </c>
      <c r="B22" s="12">
        <v>40661.0</v>
      </c>
      <c r="C22" s="7">
        <f t="shared" si="1"/>
        <v>2011</v>
      </c>
      <c r="D22" s="14" t="str">
        <f t="shared" si="2"/>
        <v>04 - Apr</v>
      </c>
      <c r="E22" s="15" t="str">
        <f t="shared" si="3"/>
        <v>Thu</v>
      </c>
      <c r="F22" s="15">
        <f t="shared" si="4"/>
        <v>4</v>
      </c>
      <c r="G22" s="16">
        <v>40698.0</v>
      </c>
      <c r="H22" s="14">
        <f t="shared" si="5"/>
        <v>37</v>
      </c>
      <c r="I22" s="7" t="s">
        <v>232</v>
      </c>
      <c r="J22" s="7" t="s">
        <v>124</v>
      </c>
      <c r="K22" s="7" t="str">
        <f>VLOOKUP(J22,countries,2,false)</f>
        <v>Belgium</v>
      </c>
      <c r="L22" s="7" t="str">
        <f>VLOOKUP($J22,countries,5,false)</f>
        <v>Europe</v>
      </c>
      <c r="M22" s="7" t="str">
        <f>VLOOKUP($J22,countries,6,false)</f>
        <v>Western Europe</v>
      </c>
      <c r="N22" s="7">
        <v>4594.0</v>
      </c>
      <c r="O22" s="7" t="str">
        <f>VLOOKUP(N22, products, 2, FALSE)</f>
        <v>Fruits</v>
      </c>
      <c r="P22" s="7" t="s">
        <v>264</v>
      </c>
      <c r="Q22" s="7">
        <v>3015.0</v>
      </c>
      <c r="R22" s="17">
        <v>9.33</v>
      </c>
      <c r="S22" s="17">
        <v>6.92</v>
      </c>
      <c r="U22" s="18">
        <f t="shared" si="6"/>
        <v>28129.95</v>
      </c>
      <c r="V22" s="18">
        <f t="shared" si="7"/>
        <v>20863.8</v>
      </c>
      <c r="W22" s="19">
        <f t="shared" si="8"/>
        <v>7266.15</v>
      </c>
    </row>
    <row r="23">
      <c r="A23" s="7">
        <v>1.11893022E8</v>
      </c>
      <c r="B23" s="12">
        <v>42671.0</v>
      </c>
      <c r="C23" s="7">
        <f t="shared" si="1"/>
        <v>2016</v>
      </c>
      <c r="D23" s="14" t="str">
        <f t="shared" si="2"/>
        <v>10 - Oct</v>
      </c>
      <c r="E23" s="15" t="str">
        <f t="shared" si="3"/>
        <v>Fri</v>
      </c>
      <c r="F23" s="15">
        <f t="shared" si="4"/>
        <v>5</v>
      </c>
      <c r="G23" s="16">
        <v>42706.0</v>
      </c>
      <c r="H23" s="14">
        <f t="shared" si="5"/>
        <v>35</v>
      </c>
      <c r="I23" s="7" t="s">
        <v>364</v>
      </c>
      <c r="J23" s="7" t="s">
        <v>685</v>
      </c>
      <c r="K23" s="7" t="str">
        <f>VLOOKUP(J23,countries,2,false)</f>
        <v>Slovenia</v>
      </c>
      <c r="L23" s="7" t="str">
        <f>VLOOKUP($J23,countries,5,false)</f>
        <v>Europe</v>
      </c>
      <c r="M23" s="7" t="str">
        <f>VLOOKUP($J23,countries,6,false)</f>
        <v>Southern Europe</v>
      </c>
      <c r="N23" s="7">
        <v>7331.0</v>
      </c>
      <c r="O23" s="7" t="str">
        <f>VLOOKUP(N23, products, 2, FALSE)</f>
        <v>Baby Food</v>
      </c>
      <c r="P23" s="7" t="s">
        <v>264</v>
      </c>
      <c r="Q23" s="7">
        <v>486.0</v>
      </c>
      <c r="R23" s="17">
        <v>255.28</v>
      </c>
      <c r="S23" s="17">
        <v>159.42</v>
      </c>
      <c r="U23" s="18">
        <f t="shared" si="6"/>
        <v>124066.08</v>
      </c>
      <c r="V23" s="18">
        <f t="shared" si="7"/>
        <v>77478.12</v>
      </c>
      <c r="W23" s="19">
        <f t="shared" si="8"/>
        <v>46587.96</v>
      </c>
    </row>
    <row r="24">
      <c r="A24" s="7">
        <v>1.12330758E8</v>
      </c>
      <c r="B24" s="12">
        <v>42719.0</v>
      </c>
      <c r="C24" s="7">
        <f t="shared" si="1"/>
        <v>2016</v>
      </c>
      <c r="D24" s="14" t="str">
        <f t="shared" si="2"/>
        <v>12 - Dec</v>
      </c>
      <c r="E24" s="15" t="str">
        <f t="shared" si="3"/>
        <v>Thu</v>
      </c>
      <c r="F24" s="15">
        <f t="shared" si="4"/>
        <v>4</v>
      </c>
      <c r="G24" s="16">
        <v>42746.0</v>
      </c>
      <c r="H24" s="14">
        <f t="shared" si="5"/>
        <v>27</v>
      </c>
      <c r="I24" s="7" t="s">
        <v>305</v>
      </c>
      <c r="J24" s="7" t="s">
        <v>465</v>
      </c>
      <c r="K24" s="7" t="str">
        <f>VLOOKUP(J24,countries,2,false)</f>
        <v>Lithuania</v>
      </c>
      <c r="L24" s="7" t="str">
        <f>VLOOKUP($J24,countries,5,false)</f>
        <v>Europe</v>
      </c>
      <c r="M24" s="7" t="str">
        <f>VLOOKUP($J24,countries,6,false)</f>
        <v>Northern Europe</v>
      </c>
      <c r="N24" s="7">
        <v>8681.0</v>
      </c>
      <c r="O24" s="7" t="str">
        <f>VLOOKUP(N24, products, 2, FALSE)</f>
        <v>Office Supplies</v>
      </c>
      <c r="P24" s="7" t="s">
        <v>334</v>
      </c>
      <c r="Q24" s="7">
        <v>22.0</v>
      </c>
      <c r="R24" s="17">
        <v>651.21</v>
      </c>
      <c r="S24" s="17">
        <v>524.96</v>
      </c>
      <c r="U24" s="18">
        <f t="shared" si="6"/>
        <v>14326.62</v>
      </c>
      <c r="V24" s="18">
        <f t="shared" si="7"/>
        <v>11549.12</v>
      </c>
      <c r="W24" s="19">
        <f t="shared" si="8"/>
        <v>2777.5</v>
      </c>
    </row>
    <row r="25">
      <c r="A25" s="7">
        <v>1.13524663E8</v>
      </c>
      <c r="B25" s="12">
        <v>40480.0</v>
      </c>
      <c r="C25" s="7">
        <f t="shared" si="1"/>
        <v>2010</v>
      </c>
      <c r="D25" s="14" t="str">
        <f t="shared" si="2"/>
        <v>10 - Oct</v>
      </c>
      <c r="E25" s="15" t="str">
        <f t="shared" si="3"/>
        <v>Fri</v>
      </c>
      <c r="F25" s="15">
        <f t="shared" si="4"/>
        <v>5</v>
      </c>
      <c r="G25" s="16">
        <v>40521.0</v>
      </c>
      <c r="H25" s="14">
        <f t="shared" si="5"/>
        <v>41</v>
      </c>
      <c r="I25" s="7" t="s">
        <v>364</v>
      </c>
      <c r="J25" s="7" t="s">
        <v>626</v>
      </c>
      <c r="K25" s="7" t="str">
        <f>VLOOKUP(J25,countries,2,false)</f>
        <v>Russia</v>
      </c>
      <c r="L25" s="7" t="str">
        <f>VLOOKUP($J25,countries,5,false)</f>
        <v>Europe</v>
      </c>
      <c r="M25" s="7" t="str">
        <f>VLOOKUP($J25,countries,6,false)</f>
        <v>Eastern Europe</v>
      </c>
      <c r="N25" s="7">
        <v>8293.0</v>
      </c>
      <c r="O25" s="7" t="str">
        <f>VLOOKUP(N25, products, 2, FALSE)</f>
        <v>Cosmetics</v>
      </c>
      <c r="P25" s="7" t="s">
        <v>264</v>
      </c>
      <c r="Q25" s="7">
        <v>3325.0</v>
      </c>
      <c r="R25" s="17">
        <v>437.2</v>
      </c>
      <c r="S25" s="17">
        <v>263.33</v>
      </c>
      <c r="U25" s="18">
        <f t="shared" si="6"/>
        <v>1453690</v>
      </c>
      <c r="V25" s="18">
        <f t="shared" si="7"/>
        <v>875572.25</v>
      </c>
      <c r="W25" s="19">
        <f t="shared" si="8"/>
        <v>578117.75</v>
      </c>
    </row>
    <row r="26">
      <c r="A26" s="7">
        <v>1.14954173E8</v>
      </c>
      <c r="B26" s="12">
        <v>40212.0</v>
      </c>
      <c r="C26" s="7">
        <f t="shared" si="1"/>
        <v>2010</v>
      </c>
      <c r="D26" s="14" t="str">
        <f t="shared" si="2"/>
        <v>02 - Feb</v>
      </c>
      <c r="E26" s="15" t="str">
        <f t="shared" si="3"/>
        <v>Wed</v>
      </c>
      <c r="F26" s="15">
        <f t="shared" si="4"/>
        <v>3</v>
      </c>
      <c r="G26" s="16">
        <v>40220.0</v>
      </c>
      <c r="H26" s="14">
        <f t="shared" si="5"/>
        <v>8</v>
      </c>
      <c r="I26" s="7" t="s">
        <v>305</v>
      </c>
      <c r="J26" s="7" t="s">
        <v>489</v>
      </c>
      <c r="K26" s="7" t="str">
        <f>VLOOKUP(J26,countries,2,false)</f>
        <v>Malta</v>
      </c>
      <c r="L26" s="7" t="str">
        <f>VLOOKUP($J26,countries,5,false)</f>
        <v>Europe</v>
      </c>
      <c r="M26" s="7" t="str">
        <f>VLOOKUP($J26,countries,6,false)</f>
        <v>Southern Europe</v>
      </c>
      <c r="N26" s="7">
        <v>4594.0</v>
      </c>
      <c r="O26" s="7" t="str">
        <f>VLOOKUP(N26, products, 2, FALSE)</f>
        <v>Fruits</v>
      </c>
      <c r="P26" s="7" t="s">
        <v>334</v>
      </c>
      <c r="Q26" s="7">
        <v>6349.0</v>
      </c>
      <c r="R26" s="17">
        <v>9.33</v>
      </c>
      <c r="S26" s="17">
        <v>6.92</v>
      </c>
      <c r="U26" s="18">
        <f t="shared" si="6"/>
        <v>59236.17</v>
      </c>
      <c r="V26" s="18">
        <f t="shared" si="7"/>
        <v>43935.08</v>
      </c>
      <c r="W26" s="19">
        <f t="shared" si="8"/>
        <v>15301.09</v>
      </c>
    </row>
    <row r="27">
      <c r="A27" s="7">
        <v>1.15363156E8</v>
      </c>
      <c r="B27" s="12">
        <v>42342.0</v>
      </c>
      <c r="C27" s="7">
        <f t="shared" si="1"/>
        <v>2015</v>
      </c>
      <c r="D27" s="14" t="str">
        <f t="shared" si="2"/>
        <v>12 - Dec</v>
      </c>
      <c r="E27" s="15" t="str">
        <f t="shared" si="3"/>
        <v>Fri</v>
      </c>
      <c r="F27" s="15">
        <f t="shared" si="4"/>
        <v>5</v>
      </c>
      <c r="G27" s="16">
        <v>42379.0</v>
      </c>
      <c r="H27" s="14">
        <f t="shared" si="5"/>
        <v>37</v>
      </c>
      <c r="I27" s="7" t="s">
        <v>399</v>
      </c>
      <c r="J27" s="7" t="s">
        <v>771</v>
      </c>
      <c r="K27" s="7" t="str">
        <f>VLOOKUP(J27,countries,2,false)</f>
        <v>Ukraine</v>
      </c>
      <c r="L27" s="7" t="str">
        <f>VLOOKUP($J27,countries,5,false)</f>
        <v>Europe</v>
      </c>
      <c r="M27" s="7" t="str">
        <f>VLOOKUP($J27,countries,6,false)</f>
        <v>Eastern Europe</v>
      </c>
      <c r="N27" s="7">
        <v>8681.0</v>
      </c>
      <c r="O27" s="7" t="str">
        <f>VLOOKUP(N27, products, 2, FALSE)</f>
        <v>Office Supplies</v>
      </c>
      <c r="P27" s="7" t="s">
        <v>334</v>
      </c>
      <c r="Q27" s="7">
        <v>7376.0</v>
      </c>
      <c r="R27" s="17">
        <v>651.21</v>
      </c>
      <c r="S27" s="17">
        <v>524.96</v>
      </c>
      <c r="U27" s="18">
        <f t="shared" si="6"/>
        <v>4803324.96</v>
      </c>
      <c r="V27" s="18">
        <f t="shared" si="7"/>
        <v>3872104.96</v>
      </c>
      <c r="W27" s="19">
        <f t="shared" si="8"/>
        <v>931220</v>
      </c>
    </row>
    <row r="28">
      <c r="A28" s="7">
        <v>1.17929494E8</v>
      </c>
      <c r="B28" s="12">
        <v>42028.0</v>
      </c>
      <c r="C28" s="7">
        <f t="shared" si="1"/>
        <v>2015</v>
      </c>
      <c r="D28" s="14" t="str">
        <f t="shared" si="2"/>
        <v>01 - Jan</v>
      </c>
      <c r="E28" s="15" t="str">
        <f t="shared" si="3"/>
        <v>Sat</v>
      </c>
      <c r="F28" s="15">
        <f t="shared" si="4"/>
        <v>6</v>
      </c>
      <c r="G28" s="16">
        <v>42065.0</v>
      </c>
      <c r="H28" s="14">
        <f t="shared" si="5"/>
        <v>37</v>
      </c>
      <c r="I28" s="7" t="s">
        <v>399</v>
      </c>
      <c r="J28" s="7" t="s">
        <v>348</v>
      </c>
      <c r="K28" s="7" t="s">
        <v>348</v>
      </c>
      <c r="L28" s="7" t="s">
        <v>348</v>
      </c>
      <c r="M28" s="7" t="s">
        <v>348</v>
      </c>
      <c r="N28" s="7">
        <v>4594.0</v>
      </c>
      <c r="O28" s="7" t="str">
        <f>VLOOKUP(N28, products, 2, FALSE)</f>
        <v>Fruits</v>
      </c>
      <c r="P28" s="7" t="s">
        <v>334</v>
      </c>
      <c r="Q28" s="7">
        <v>6813.0</v>
      </c>
      <c r="R28" s="17">
        <v>9.33</v>
      </c>
      <c r="S28" s="17">
        <v>6.92</v>
      </c>
      <c r="U28" s="18">
        <f t="shared" si="6"/>
        <v>63565.29</v>
      </c>
      <c r="V28" s="18">
        <f t="shared" si="7"/>
        <v>47145.96</v>
      </c>
      <c r="W28" s="19">
        <f t="shared" si="8"/>
        <v>16419.33</v>
      </c>
    </row>
    <row r="29">
      <c r="A29" s="7">
        <v>1.18086564E8</v>
      </c>
      <c r="B29" s="12">
        <v>42419.0</v>
      </c>
      <c r="C29" s="7">
        <f t="shared" si="1"/>
        <v>2016</v>
      </c>
      <c r="D29" s="14" t="str">
        <f t="shared" si="2"/>
        <v>02 - Feb</v>
      </c>
      <c r="E29" s="15" t="str">
        <f t="shared" si="3"/>
        <v>Fri</v>
      </c>
      <c r="F29" s="15">
        <f t="shared" si="4"/>
        <v>5</v>
      </c>
      <c r="G29" s="16">
        <v>42442.0</v>
      </c>
      <c r="H29" s="14">
        <f t="shared" si="5"/>
        <v>23</v>
      </c>
      <c r="I29" s="7" t="s">
        <v>232</v>
      </c>
      <c r="J29" s="7" t="s">
        <v>233</v>
      </c>
      <c r="K29" s="7" t="str">
        <f>VLOOKUP(J29,countries,2,false)</f>
        <v>Norway</v>
      </c>
      <c r="L29" s="7" t="str">
        <f>VLOOKUP($J29,countries,5,false)</f>
        <v>Europe</v>
      </c>
      <c r="M29" s="7" t="str">
        <f>VLOOKUP($J29,countries,6,false)</f>
        <v>Northern Europe</v>
      </c>
      <c r="N29" s="7">
        <v>8969.0</v>
      </c>
      <c r="O29" s="7" t="str">
        <f>VLOOKUP(N29, products, 2, FALSE)</f>
        <v>Snacks</v>
      </c>
      <c r="P29" s="7" t="s">
        <v>264</v>
      </c>
      <c r="Q29" s="7">
        <v>3293.0</v>
      </c>
      <c r="R29" s="17">
        <v>152.58</v>
      </c>
      <c r="S29" s="17">
        <v>97.44</v>
      </c>
      <c r="U29" s="18">
        <f t="shared" si="6"/>
        <v>502445.94</v>
      </c>
      <c r="V29" s="18">
        <f t="shared" si="7"/>
        <v>320869.92</v>
      </c>
      <c r="W29" s="19">
        <f t="shared" si="8"/>
        <v>181576.02</v>
      </c>
    </row>
    <row r="30">
      <c r="A30" s="7">
        <v>1.18659913E8</v>
      </c>
      <c r="B30" s="12">
        <v>41853.0</v>
      </c>
      <c r="C30" s="7">
        <f t="shared" si="1"/>
        <v>2014</v>
      </c>
      <c r="D30" s="14" t="str">
        <f t="shared" si="2"/>
        <v>08 - Aug</v>
      </c>
      <c r="E30" s="15" t="str">
        <f t="shared" si="3"/>
        <v>Sat</v>
      </c>
      <c r="F30" s="15">
        <f t="shared" si="4"/>
        <v>6</v>
      </c>
      <c r="G30" s="16">
        <v>41868.0</v>
      </c>
      <c r="H30" s="14">
        <f t="shared" si="5"/>
        <v>15</v>
      </c>
      <c r="I30" s="7" t="s">
        <v>305</v>
      </c>
      <c r="J30" s="7" t="s">
        <v>243</v>
      </c>
      <c r="K30" s="7" t="str">
        <f>VLOOKUP(J30,countries,2,false)</f>
        <v>Czech Republic</v>
      </c>
      <c r="L30" s="7" t="str">
        <f>VLOOKUP($J30,countries,5,false)</f>
        <v>Europe</v>
      </c>
      <c r="M30" s="7" t="str">
        <f>VLOOKUP($J30,countries,6,false)</f>
        <v>Eastern Europe</v>
      </c>
      <c r="N30" s="7">
        <v>2103.0</v>
      </c>
      <c r="O30" s="7" t="str">
        <f>VLOOKUP(N30, products, 2, FALSE)</f>
        <v>Cereal</v>
      </c>
      <c r="P30" s="7" t="s">
        <v>264</v>
      </c>
      <c r="Q30" s="7">
        <v>2960.0</v>
      </c>
      <c r="R30" s="17">
        <v>205.7</v>
      </c>
      <c r="S30" s="17">
        <v>117.11</v>
      </c>
      <c r="U30" s="18">
        <f t="shared" si="6"/>
        <v>608872</v>
      </c>
      <c r="V30" s="18">
        <f t="shared" si="7"/>
        <v>346645.6</v>
      </c>
      <c r="W30" s="19">
        <f t="shared" si="8"/>
        <v>262226.4</v>
      </c>
    </row>
    <row r="31">
      <c r="A31" s="7">
        <v>1.18859469E8</v>
      </c>
      <c r="B31" s="12">
        <v>40696.0</v>
      </c>
      <c r="C31" s="7">
        <f t="shared" si="1"/>
        <v>2011</v>
      </c>
      <c r="D31" s="14" t="str">
        <f t="shared" si="2"/>
        <v>06 - Jun</v>
      </c>
      <c r="E31" s="15" t="str">
        <f t="shared" si="3"/>
        <v>Thu</v>
      </c>
      <c r="F31" s="15">
        <f t="shared" si="4"/>
        <v>4</v>
      </c>
      <c r="G31" s="16">
        <v>40725.0</v>
      </c>
      <c r="H31" s="14">
        <f t="shared" si="5"/>
        <v>29</v>
      </c>
      <c r="I31" s="7" t="s">
        <v>364</v>
      </c>
      <c r="J31" s="7" t="s">
        <v>348</v>
      </c>
      <c r="K31" s="7" t="s">
        <v>348</v>
      </c>
      <c r="L31" s="7" t="s">
        <v>348</v>
      </c>
      <c r="M31" s="7" t="s">
        <v>348</v>
      </c>
      <c r="N31" s="7">
        <v>8969.0</v>
      </c>
      <c r="O31" s="7" t="str">
        <f>VLOOKUP(N31, products, 2, FALSE)</f>
        <v>Snacks</v>
      </c>
      <c r="P31" s="7" t="s">
        <v>334</v>
      </c>
      <c r="Q31" s="7">
        <v>2013.0</v>
      </c>
      <c r="R31" s="17">
        <v>152.58</v>
      </c>
      <c r="S31" s="17">
        <v>97.44</v>
      </c>
      <c r="U31" s="18">
        <f t="shared" si="6"/>
        <v>307143.54</v>
      </c>
      <c r="V31" s="18">
        <f t="shared" si="7"/>
        <v>196146.72</v>
      </c>
      <c r="W31" s="19">
        <f t="shared" si="8"/>
        <v>110996.82</v>
      </c>
    </row>
    <row r="32">
      <c r="A32" s="7">
        <v>1.19935786E8</v>
      </c>
      <c r="B32" s="12">
        <v>42018.0</v>
      </c>
      <c r="C32" s="7">
        <f t="shared" si="1"/>
        <v>2015</v>
      </c>
      <c r="D32" s="14" t="str">
        <f t="shared" si="2"/>
        <v>01 - Jan</v>
      </c>
      <c r="E32" s="15" t="str">
        <f t="shared" si="3"/>
        <v>Wed</v>
      </c>
      <c r="F32" s="15">
        <f t="shared" si="4"/>
        <v>3</v>
      </c>
      <c r="G32" s="16">
        <v>42031.0</v>
      </c>
      <c r="H32" s="14">
        <f t="shared" si="5"/>
        <v>13</v>
      </c>
      <c r="I32" s="7" t="s">
        <v>364</v>
      </c>
      <c r="J32" s="7" t="s">
        <v>623</v>
      </c>
      <c r="K32" s="7" t="str">
        <f>VLOOKUP(J32,countries,2,false)</f>
        <v>Romania</v>
      </c>
      <c r="L32" s="7" t="str">
        <f>VLOOKUP($J32,countries,5,false)</f>
        <v>Europe</v>
      </c>
      <c r="M32" s="7" t="str">
        <f>VLOOKUP($J32,countries,6,false)</f>
        <v>Eastern Europe</v>
      </c>
      <c r="N32" s="7">
        <v>3127.0</v>
      </c>
      <c r="O32" s="7" t="str">
        <f>VLOOKUP(N32, products, 2, FALSE)</f>
        <v>Personal Care</v>
      </c>
      <c r="P32" s="7" t="s">
        <v>334</v>
      </c>
      <c r="Q32" s="7">
        <v>519.0</v>
      </c>
      <c r="R32" s="17">
        <v>81.73</v>
      </c>
      <c r="S32" s="17">
        <v>56.67</v>
      </c>
      <c r="U32" s="18">
        <f t="shared" si="6"/>
        <v>42417.87</v>
      </c>
      <c r="V32" s="18">
        <f t="shared" si="7"/>
        <v>29411.73</v>
      </c>
      <c r="W32" s="19">
        <f t="shared" si="8"/>
        <v>13006.14</v>
      </c>
    </row>
    <row r="33">
      <c r="A33" s="7">
        <v>1.20419871E8</v>
      </c>
      <c r="B33" s="12">
        <v>42137.0</v>
      </c>
      <c r="C33" s="7">
        <f t="shared" si="1"/>
        <v>2015</v>
      </c>
      <c r="D33" s="14" t="str">
        <f t="shared" si="2"/>
        <v>05 - May</v>
      </c>
      <c r="E33" s="15" t="str">
        <f t="shared" si="3"/>
        <v>Wed</v>
      </c>
      <c r="F33" s="15">
        <f t="shared" si="4"/>
        <v>3</v>
      </c>
      <c r="G33" s="16">
        <v>42181.0</v>
      </c>
      <c r="H33" s="14">
        <f t="shared" si="5"/>
        <v>44</v>
      </c>
      <c r="I33" s="7" t="s">
        <v>399</v>
      </c>
      <c r="J33" s="7" t="s">
        <v>465</v>
      </c>
      <c r="K33" s="7" t="str">
        <f>VLOOKUP(J33,countries,2,false)</f>
        <v>Lithuania</v>
      </c>
      <c r="L33" s="7" t="str">
        <f>VLOOKUP($J33,countries,5,false)</f>
        <v>Europe</v>
      </c>
      <c r="M33" s="7" t="str">
        <f>VLOOKUP($J33,countries,6,false)</f>
        <v>Northern Europe</v>
      </c>
      <c r="N33" s="7">
        <v>3127.0</v>
      </c>
      <c r="O33" s="7" t="str">
        <f>VLOOKUP(N33, products, 2, FALSE)</f>
        <v>Personal Care</v>
      </c>
      <c r="P33" s="7" t="s">
        <v>264</v>
      </c>
      <c r="Q33" s="7">
        <v>3771.0</v>
      </c>
      <c r="R33" s="17">
        <v>81.73</v>
      </c>
      <c r="S33" s="17">
        <v>56.67</v>
      </c>
      <c r="U33" s="18">
        <f t="shared" si="6"/>
        <v>308203.83</v>
      </c>
      <c r="V33" s="18">
        <f t="shared" si="7"/>
        <v>213702.57</v>
      </c>
      <c r="W33" s="19">
        <f t="shared" si="8"/>
        <v>94501.26</v>
      </c>
    </row>
    <row r="34">
      <c r="A34" s="7">
        <v>1.20977771E8</v>
      </c>
      <c r="B34" s="12">
        <v>40625.0</v>
      </c>
      <c r="C34" s="7">
        <f t="shared" si="1"/>
        <v>2011</v>
      </c>
      <c r="D34" s="14" t="str">
        <f t="shared" si="2"/>
        <v>03 - Mar</v>
      </c>
      <c r="E34" s="15" t="str">
        <f t="shared" si="3"/>
        <v>Wed</v>
      </c>
      <c r="F34" s="15">
        <f t="shared" si="4"/>
        <v>3</v>
      </c>
      <c r="G34" s="16">
        <v>40665.0</v>
      </c>
      <c r="H34" s="14">
        <f t="shared" si="5"/>
        <v>40</v>
      </c>
      <c r="I34" s="7" t="s">
        <v>232</v>
      </c>
      <c r="J34" s="7" t="s">
        <v>90</v>
      </c>
      <c r="K34" s="7" t="str">
        <f>VLOOKUP(J34,countries,2,false)</f>
        <v>Armenia</v>
      </c>
      <c r="L34" s="7" t="str">
        <f>VLOOKUP($J34,countries,5,false)</f>
        <v>Asia</v>
      </c>
      <c r="M34" s="7" t="str">
        <f>VLOOKUP($J34,countries,6,false)</f>
        <v>Western Asia</v>
      </c>
      <c r="N34" s="7">
        <v>4594.0</v>
      </c>
      <c r="O34" s="7" t="str">
        <f>VLOOKUP(N34, products, 2, FALSE)</f>
        <v>Fruits</v>
      </c>
      <c r="P34" s="7" t="s">
        <v>264</v>
      </c>
      <c r="Q34" s="7">
        <v>8866.0</v>
      </c>
      <c r="R34" s="17">
        <v>9.33</v>
      </c>
      <c r="S34" s="17">
        <v>6.92</v>
      </c>
      <c r="U34" s="18">
        <f t="shared" si="6"/>
        <v>82719.78</v>
      </c>
      <c r="V34" s="18">
        <f t="shared" si="7"/>
        <v>61352.72</v>
      </c>
      <c r="W34" s="19">
        <f t="shared" si="8"/>
        <v>21367.06</v>
      </c>
    </row>
    <row r="35">
      <c r="A35" s="7">
        <v>1.21380746E8</v>
      </c>
      <c r="B35" s="12">
        <v>42695.0</v>
      </c>
      <c r="C35" s="7">
        <f t="shared" si="1"/>
        <v>2016</v>
      </c>
      <c r="D35" s="14" t="str">
        <f t="shared" si="2"/>
        <v>11 - Nov</v>
      </c>
      <c r="E35" s="15" t="str">
        <f t="shared" si="3"/>
        <v>Mon</v>
      </c>
      <c r="F35" s="15">
        <f t="shared" si="4"/>
        <v>1</v>
      </c>
      <c r="G35" s="16">
        <v>42722.0</v>
      </c>
      <c r="H35" s="14">
        <f t="shared" si="5"/>
        <v>27</v>
      </c>
      <c r="I35" s="7" t="s">
        <v>305</v>
      </c>
      <c r="J35" s="7" t="s">
        <v>489</v>
      </c>
      <c r="K35" s="7" t="str">
        <f>VLOOKUP(J35,countries,2,false)</f>
        <v>Malta</v>
      </c>
      <c r="L35" s="7" t="str">
        <f>VLOOKUP($J35,countries,5,false)</f>
        <v>Europe</v>
      </c>
      <c r="M35" s="7" t="str">
        <f>VLOOKUP($J35,countries,6,false)</f>
        <v>Southern Europe</v>
      </c>
      <c r="N35" s="7">
        <v>4594.0</v>
      </c>
      <c r="O35" s="7" t="str">
        <f>VLOOKUP(N35, products, 2, FALSE)</f>
        <v>Fruits</v>
      </c>
      <c r="P35" s="7" t="s">
        <v>264</v>
      </c>
      <c r="Q35" s="7">
        <v>8115.0</v>
      </c>
      <c r="R35" s="17">
        <v>9.33</v>
      </c>
      <c r="S35" s="17">
        <v>6.92</v>
      </c>
      <c r="U35" s="18">
        <f t="shared" si="6"/>
        <v>75712.95</v>
      </c>
      <c r="V35" s="18">
        <f t="shared" si="7"/>
        <v>56155.8</v>
      </c>
      <c r="W35" s="19">
        <f t="shared" si="8"/>
        <v>19557.15</v>
      </c>
    </row>
    <row r="36">
      <c r="A36" s="7">
        <v>1.21945512E8</v>
      </c>
      <c r="B36" s="12">
        <v>42833.0</v>
      </c>
      <c r="C36" s="7">
        <f t="shared" si="1"/>
        <v>2017</v>
      </c>
      <c r="D36" s="14" t="str">
        <f t="shared" si="2"/>
        <v>04 - Apr</v>
      </c>
      <c r="E36" s="15" t="str">
        <f t="shared" si="3"/>
        <v>Sat</v>
      </c>
      <c r="F36" s="15">
        <f t="shared" si="4"/>
        <v>6</v>
      </c>
      <c r="G36" s="16">
        <v>42837.0</v>
      </c>
      <c r="H36" s="14">
        <f t="shared" si="5"/>
        <v>4</v>
      </c>
      <c r="I36" s="7" t="s">
        <v>305</v>
      </c>
      <c r="J36" s="7" t="s">
        <v>681</v>
      </c>
      <c r="K36" s="7" t="str">
        <f>VLOOKUP(J36,countries,2,false)</f>
        <v>United Kingdom</v>
      </c>
      <c r="L36" s="7" t="str">
        <f>VLOOKUP($J36,countries,5,false)</f>
        <v>Europe</v>
      </c>
      <c r="M36" s="7" t="str">
        <f>VLOOKUP($J36,countries,6,false)</f>
        <v>Northern Europe</v>
      </c>
      <c r="N36" s="7">
        <v>1270.0</v>
      </c>
      <c r="O36" s="7" t="str">
        <f>VLOOKUP(N36, products, 2, FALSE)</f>
        <v>Beverages</v>
      </c>
      <c r="P36" s="7" t="s">
        <v>264</v>
      </c>
      <c r="Q36" s="7">
        <v>5242.0</v>
      </c>
      <c r="R36" s="17">
        <v>47.45</v>
      </c>
      <c r="S36" s="17">
        <v>31.79</v>
      </c>
      <c r="U36" s="18">
        <f t="shared" si="6"/>
        <v>248732.9</v>
      </c>
      <c r="V36" s="18">
        <f t="shared" si="7"/>
        <v>166643.18</v>
      </c>
      <c r="W36" s="19">
        <f t="shared" si="8"/>
        <v>82089.72</v>
      </c>
    </row>
    <row r="37">
      <c r="A37" s="7">
        <v>1.2214421E8</v>
      </c>
      <c r="B37" s="12">
        <v>42852.0</v>
      </c>
      <c r="C37" s="7">
        <f t="shared" si="1"/>
        <v>2017</v>
      </c>
      <c r="D37" s="14" t="str">
        <f t="shared" si="2"/>
        <v>04 - Apr</v>
      </c>
      <c r="E37" s="15" t="str">
        <f t="shared" si="3"/>
        <v>Thu</v>
      </c>
      <c r="F37" s="15">
        <f t="shared" si="4"/>
        <v>4</v>
      </c>
      <c r="G37" s="16">
        <v>42879.0</v>
      </c>
      <c r="H37" s="14">
        <f t="shared" si="5"/>
        <v>27</v>
      </c>
      <c r="I37" s="7" t="s">
        <v>305</v>
      </c>
      <c r="J37" s="7" t="s">
        <v>365</v>
      </c>
      <c r="K37" s="7" t="str">
        <f>VLOOKUP(J37,countries,2,false)</f>
        <v>Montenegro</v>
      </c>
      <c r="L37" s="7" t="str">
        <f>VLOOKUP($J37,countries,5,false)</f>
        <v>Europe</v>
      </c>
      <c r="M37" s="7" t="str">
        <f>VLOOKUP($J37,countries,6,false)</f>
        <v>Southern Europe</v>
      </c>
      <c r="N37" s="7">
        <v>1270.0</v>
      </c>
      <c r="O37" s="7" t="str">
        <f>VLOOKUP(N37, products, 2, FALSE)</f>
        <v>Beverages</v>
      </c>
      <c r="P37" s="7" t="s">
        <v>334</v>
      </c>
      <c r="Q37" s="7">
        <v>4041.0</v>
      </c>
      <c r="R37" s="17">
        <v>47.45</v>
      </c>
      <c r="S37" s="17">
        <v>31.79</v>
      </c>
      <c r="U37" s="18">
        <f t="shared" si="6"/>
        <v>191745.45</v>
      </c>
      <c r="V37" s="18">
        <f t="shared" si="7"/>
        <v>128463.39</v>
      </c>
      <c r="W37" s="19">
        <f t="shared" si="8"/>
        <v>63282.06</v>
      </c>
    </row>
    <row r="38">
      <c r="A38" s="7">
        <v>1.22372519E8</v>
      </c>
      <c r="B38" s="12">
        <v>42379.0</v>
      </c>
      <c r="C38" s="7">
        <f t="shared" si="1"/>
        <v>2016</v>
      </c>
      <c r="D38" s="14" t="str">
        <f t="shared" si="2"/>
        <v>01 - Jan</v>
      </c>
      <c r="E38" s="15" t="str">
        <f t="shared" si="3"/>
        <v>Sun</v>
      </c>
      <c r="F38" s="15">
        <f t="shared" si="4"/>
        <v>7</v>
      </c>
      <c r="G38" s="16">
        <v>42382.0</v>
      </c>
      <c r="H38" s="14">
        <f t="shared" si="5"/>
        <v>3</v>
      </c>
      <c r="I38" s="7" t="s">
        <v>364</v>
      </c>
      <c r="J38" s="7" t="s">
        <v>611</v>
      </c>
      <c r="K38" s="7" t="str">
        <f>VLOOKUP(J38,countries,2,false)</f>
        <v>Portugal</v>
      </c>
      <c r="L38" s="7" t="str">
        <f>VLOOKUP($J38,countries,5,false)</f>
        <v>Europe</v>
      </c>
      <c r="M38" s="7" t="str">
        <f>VLOOKUP($J38,countries,6,false)</f>
        <v>Southern Europe</v>
      </c>
      <c r="N38" s="7">
        <v>1270.0</v>
      </c>
      <c r="O38" s="7" t="str">
        <f>VLOOKUP(N38, products, 2, FALSE)</f>
        <v>Beverages</v>
      </c>
      <c r="P38" s="7" t="s">
        <v>334</v>
      </c>
      <c r="Q38" s="7">
        <v>1603.0</v>
      </c>
      <c r="R38" s="17">
        <v>47.45</v>
      </c>
      <c r="S38" s="17">
        <v>31.79</v>
      </c>
      <c r="U38" s="18">
        <f t="shared" si="6"/>
        <v>76062.35</v>
      </c>
      <c r="V38" s="18">
        <f t="shared" si="7"/>
        <v>50959.37</v>
      </c>
      <c r="W38" s="19">
        <f t="shared" si="8"/>
        <v>25102.98</v>
      </c>
    </row>
    <row r="39">
      <c r="A39" s="7">
        <v>1.22967326E8</v>
      </c>
      <c r="B39" s="12">
        <v>42818.0</v>
      </c>
      <c r="C39" s="7">
        <f t="shared" si="1"/>
        <v>2017</v>
      </c>
      <c r="D39" s="14" t="str">
        <f t="shared" si="2"/>
        <v>03 - Mar</v>
      </c>
      <c r="E39" s="15" t="str">
        <f t="shared" si="3"/>
        <v>Fri</v>
      </c>
      <c r="F39" s="15">
        <f t="shared" si="4"/>
        <v>5</v>
      </c>
      <c r="G39" s="16">
        <v>42850.0</v>
      </c>
      <c r="H39" s="14">
        <f t="shared" si="5"/>
        <v>32</v>
      </c>
      <c r="I39" s="7" t="s">
        <v>399</v>
      </c>
      <c r="J39" s="7" t="s">
        <v>120</v>
      </c>
      <c r="K39" s="7" t="str">
        <f>VLOOKUP(J39,countries,2,false)</f>
        <v>Belarus</v>
      </c>
      <c r="L39" s="7" t="str">
        <f>VLOOKUP($J39,countries,5,false)</f>
        <v>Europe</v>
      </c>
      <c r="M39" s="7" t="str">
        <f>VLOOKUP($J39,countries,6,false)</f>
        <v>Eastern Europe</v>
      </c>
      <c r="N39" s="7">
        <v>1270.0</v>
      </c>
      <c r="O39" s="7" t="str">
        <f>VLOOKUP(N39, products, 2, FALSE)</f>
        <v>Beverages</v>
      </c>
      <c r="P39" s="7" t="s">
        <v>264</v>
      </c>
      <c r="Q39" s="7">
        <v>7619.0</v>
      </c>
      <c r="R39" s="17">
        <v>47.45</v>
      </c>
      <c r="S39" s="17">
        <v>31.79</v>
      </c>
      <c r="U39" s="18">
        <f t="shared" si="6"/>
        <v>361521.55</v>
      </c>
      <c r="V39" s="18">
        <f t="shared" si="7"/>
        <v>242208.01</v>
      </c>
      <c r="W39" s="19">
        <f t="shared" si="8"/>
        <v>119313.54</v>
      </c>
    </row>
    <row r="40">
      <c r="A40" s="7">
        <v>1.23086202E8</v>
      </c>
      <c r="B40" s="12">
        <v>41641.0</v>
      </c>
      <c r="C40" s="7">
        <f t="shared" si="1"/>
        <v>2014</v>
      </c>
      <c r="D40" s="14" t="str">
        <f t="shared" si="2"/>
        <v>01 - Jan</v>
      </c>
      <c r="E40" s="15" t="str">
        <f t="shared" si="3"/>
        <v>Thu</v>
      </c>
      <c r="F40" s="15">
        <f t="shared" si="4"/>
        <v>4</v>
      </c>
      <c r="G40" s="16">
        <v>41690.0</v>
      </c>
      <c r="H40" s="14">
        <f t="shared" si="5"/>
        <v>49</v>
      </c>
      <c r="I40" s="7" t="s">
        <v>232</v>
      </c>
      <c r="J40" s="7" t="s">
        <v>274</v>
      </c>
      <c r="K40" s="7" t="str">
        <f>VLOOKUP(J40,countries,2,false)</f>
        <v>Estonia</v>
      </c>
      <c r="L40" s="7" t="str">
        <f>VLOOKUP($J40,countries,5,false)</f>
        <v>Europe</v>
      </c>
      <c r="M40" s="7" t="str">
        <f>VLOOKUP($J40,countries,6,false)</f>
        <v>Northern Europe</v>
      </c>
      <c r="N40" s="7">
        <v>7331.0</v>
      </c>
      <c r="O40" s="7" t="str">
        <f>VLOOKUP(N40, products, 2, FALSE)</f>
        <v>Baby Food</v>
      </c>
      <c r="P40" s="7" t="s">
        <v>334</v>
      </c>
      <c r="Q40" s="7">
        <v>2797.0</v>
      </c>
      <c r="R40" s="17">
        <v>255.28</v>
      </c>
      <c r="S40" s="17">
        <v>159.42</v>
      </c>
      <c r="U40" s="18">
        <f t="shared" si="6"/>
        <v>714018.16</v>
      </c>
      <c r="V40" s="18">
        <f t="shared" si="7"/>
        <v>445897.74</v>
      </c>
      <c r="W40" s="19">
        <f t="shared" si="8"/>
        <v>268120.42</v>
      </c>
    </row>
    <row r="41">
      <c r="A41" s="7">
        <v>1.23544108E8</v>
      </c>
      <c r="B41" s="12">
        <v>40311.0</v>
      </c>
      <c r="C41" s="7">
        <f t="shared" si="1"/>
        <v>2010</v>
      </c>
      <c r="D41" s="14" t="str">
        <f t="shared" si="2"/>
        <v>05 - May</v>
      </c>
      <c r="E41" s="15" t="str">
        <f t="shared" si="3"/>
        <v>Thu</v>
      </c>
      <c r="F41" s="15">
        <f t="shared" si="4"/>
        <v>4</v>
      </c>
      <c r="G41" s="16">
        <v>40351.0</v>
      </c>
      <c r="H41" s="14">
        <f t="shared" si="5"/>
        <v>40</v>
      </c>
      <c r="I41" s="7" t="s">
        <v>232</v>
      </c>
      <c r="J41" s="7" t="s">
        <v>101</v>
      </c>
      <c r="K41" s="7" t="str">
        <f>VLOOKUP(J41,countries,2,false)</f>
        <v>Austria</v>
      </c>
      <c r="L41" s="7" t="str">
        <f>VLOOKUP($J41,countries,5,false)</f>
        <v>Europe</v>
      </c>
      <c r="M41" s="7" t="str">
        <f>VLOOKUP($J41,countries,6,false)</f>
        <v>Western Europe</v>
      </c>
      <c r="N41" s="7">
        <v>2103.0</v>
      </c>
      <c r="O41" s="7" t="str">
        <f>VLOOKUP(N41, products, 2, FALSE)</f>
        <v>Cereal</v>
      </c>
      <c r="P41" s="7" t="s">
        <v>264</v>
      </c>
      <c r="Q41" s="7">
        <v>8302.0</v>
      </c>
      <c r="R41" s="17">
        <v>205.7</v>
      </c>
      <c r="S41" s="17">
        <v>117.11</v>
      </c>
      <c r="U41" s="18">
        <f t="shared" si="6"/>
        <v>1707721.4</v>
      </c>
      <c r="V41" s="18">
        <f t="shared" si="7"/>
        <v>972247.22</v>
      </c>
      <c r="W41" s="19">
        <f t="shared" si="8"/>
        <v>735474.18</v>
      </c>
    </row>
    <row r="42">
      <c r="A42" s="7">
        <v>1.2393893E8</v>
      </c>
      <c r="B42" s="12">
        <v>41114.0</v>
      </c>
      <c r="C42" s="7">
        <f t="shared" si="1"/>
        <v>2012</v>
      </c>
      <c r="D42" s="14" t="str">
        <f t="shared" si="2"/>
        <v>07 - Jul</v>
      </c>
      <c r="E42" s="15" t="str">
        <f t="shared" si="3"/>
        <v>Tue</v>
      </c>
      <c r="F42" s="15">
        <f t="shared" si="4"/>
        <v>2</v>
      </c>
      <c r="G42" s="16">
        <v>41123.0</v>
      </c>
      <c r="H42" s="14">
        <f t="shared" si="5"/>
        <v>9</v>
      </c>
      <c r="I42" s="7" t="s">
        <v>232</v>
      </c>
      <c r="J42" s="7" t="s">
        <v>120</v>
      </c>
      <c r="K42" s="7" t="str">
        <f>VLOOKUP(J42,countries,2,false)</f>
        <v>Belarus</v>
      </c>
      <c r="L42" s="7" t="str">
        <f>VLOOKUP($J42,countries,5,false)</f>
        <v>Europe</v>
      </c>
      <c r="M42" s="7" t="str">
        <f>VLOOKUP($J42,countries,6,false)</f>
        <v>Eastern Europe</v>
      </c>
      <c r="N42" s="7">
        <v>1270.0</v>
      </c>
      <c r="O42" s="7" t="str">
        <f>VLOOKUP(N42, products, 2, FALSE)</f>
        <v>Beverages</v>
      </c>
      <c r="P42" s="7" t="s">
        <v>264</v>
      </c>
      <c r="Q42" s="7">
        <v>5138.0</v>
      </c>
      <c r="R42" s="17">
        <v>47.45</v>
      </c>
      <c r="S42" s="17">
        <v>31.79</v>
      </c>
      <c r="U42" s="18">
        <f t="shared" si="6"/>
        <v>243798.1</v>
      </c>
      <c r="V42" s="18">
        <f t="shared" si="7"/>
        <v>163337.02</v>
      </c>
      <c r="W42" s="19">
        <f t="shared" si="8"/>
        <v>80461.08</v>
      </c>
    </row>
    <row r="43">
      <c r="A43" s="7">
        <v>1.25339686E8</v>
      </c>
      <c r="B43" s="12">
        <v>42927.0</v>
      </c>
      <c r="C43" s="7">
        <f t="shared" si="1"/>
        <v>2017</v>
      </c>
      <c r="D43" s="14" t="str">
        <f t="shared" si="2"/>
        <v>07 - Jul</v>
      </c>
      <c r="E43" s="15" t="str">
        <f t="shared" si="3"/>
        <v>Tue</v>
      </c>
      <c r="F43" s="15">
        <f t="shared" si="4"/>
        <v>2</v>
      </c>
      <c r="G43" s="16">
        <v>42940.0</v>
      </c>
      <c r="H43" s="14">
        <f t="shared" si="5"/>
        <v>13</v>
      </c>
      <c r="I43" s="7" t="s">
        <v>364</v>
      </c>
      <c r="J43" s="7" t="s">
        <v>570</v>
      </c>
      <c r="K43" s="7" t="str">
        <f>VLOOKUP(J43,countries,2,false)</f>
        <v>Macedonia</v>
      </c>
      <c r="L43" s="7" t="str">
        <f>VLOOKUP($J43,countries,5,false)</f>
        <v>Europe</v>
      </c>
      <c r="M43" s="7" t="str">
        <f>VLOOKUP($J43,countries,6,false)</f>
        <v>Southern Europe</v>
      </c>
      <c r="N43" s="7">
        <v>8969.0</v>
      </c>
      <c r="O43" s="7" t="str">
        <f>VLOOKUP(N43, products, 2, FALSE)</f>
        <v>Snacks</v>
      </c>
      <c r="P43" s="7" t="s">
        <v>264</v>
      </c>
      <c r="Q43" s="7">
        <v>9653.0</v>
      </c>
      <c r="R43" s="17">
        <v>152.58</v>
      </c>
      <c r="S43" s="17">
        <v>97.44</v>
      </c>
      <c r="U43" s="18">
        <f t="shared" si="6"/>
        <v>1472854.74</v>
      </c>
      <c r="V43" s="18">
        <f t="shared" si="7"/>
        <v>940588.32</v>
      </c>
      <c r="W43" s="19">
        <f t="shared" si="8"/>
        <v>532266.42</v>
      </c>
    </row>
    <row r="44">
      <c r="A44" s="7">
        <v>1.25349128E8</v>
      </c>
      <c r="B44" s="12">
        <v>41047.0</v>
      </c>
      <c r="C44" s="7">
        <f t="shared" si="1"/>
        <v>2012</v>
      </c>
      <c r="D44" s="14" t="str">
        <f t="shared" si="2"/>
        <v>05 - May</v>
      </c>
      <c r="E44" s="15" t="str">
        <f t="shared" si="3"/>
        <v>Fri</v>
      </c>
      <c r="F44" s="15">
        <f t="shared" si="4"/>
        <v>5</v>
      </c>
      <c r="G44" s="16">
        <v>41066.0</v>
      </c>
      <c r="H44" s="14">
        <f t="shared" si="5"/>
        <v>19</v>
      </c>
      <c r="I44" s="7" t="s">
        <v>364</v>
      </c>
      <c r="J44" s="7" t="s">
        <v>656</v>
      </c>
      <c r="K44" s="7" t="str">
        <f>VLOOKUP(J44,countries,2,false)</f>
        <v>San Marino</v>
      </c>
      <c r="L44" s="7" t="str">
        <f>VLOOKUP($J44,countries,5,false)</f>
        <v>Europe</v>
      </c>
      <c r="M44" s="7" t="str">
        <f>VLOOKUP($J44,countries,6,false)</f>
        <v>Southern Europe</v>
      </c>
      <c r="N44" s="7">
        <v>2103.0</v>
      </c>
      <c r="O44" s="7" t="str">
        <f>VLOOKUP(N44, products, 2, FALSE)</f>
        <v>Cereal</v>
      </c>
      <c r="P44" s="7" t="s">
        <v>334</v>
      </c>
      <c r="Q44" s="7">
        <v>2447.0</v>
      </c>
      <c r="R44" s="17">
        <v>205.7</v>
      </c>
      <c r="S44" s="17">
        <v>117.11</v>
      </c>
      <c r="U44" s="18">
        <f t="shared" si="6"/>
        <v>503347.9</v>
      </c>
      <c r="V44" s="18">
        <f t="shared" si="7"/>
        <v>286568.17</v>
      </c>
      <c r="W44" s="19">
        <f t="shared" si="8"/>
        <v>216779.73</v>
      </c>
    </row>
    <row r="45">
      <c r="A45" s="7">
        <v>1.26948583E8</v>
      </c>
      <c r="B45" s="12">
        <v>42879.0</v>
      </c>
      <c r="C45" s="7">
        <f t="shared" si="1"/>
        <v>2017</v>
      </c>
      <c r="D45" s="14" t="str">
        <f t="shared" si="2"/>
        <v>05 - May</v>
      </c>
      <c r="E45" s="15" t="str">
        <f t="shared" si="3"/>
        <v>Wed</v>
      </c>
      <c r="F45" s="15">
        <f t="shared" si="4"/>
        <v>3</v>
      </c>
      <c r="G45" s="16">
        <v>42925.0</v>
      </c>
      <c r="H45" s="14">
        <f t="shared" si="5"/>
        <v>46</v>
      </c>
      <c r="I45" s="7" t="s">
        <v>305</v>
      </c>
      <c r="J45" s="7" t="s">
        <v>348</v>
      </c>
      <c r="K45" s="7" t="s">
        <v>348</v>
      </c>
      <c r="L45" s="7" t="s">
        <v>348</v>
      </c>
      <c r="M45" s="7" t="s">
        <v>348</v>
      </c>
      <c r="N45" s="7">
        <v>7331.0</v>
      </c>
      <c r="O45" s="7" t="str">
        <f>VLOOKUP(N45, products, 2, FALSE)</f>
        <v>Baby Food</v>
      </c>
      <c r="P45" s="7" t="s">
        <v>264</v>
      </c>
      <c r="Q45" s="7">
        <v>5762.0</v>
      </c>
      <c r="R45" s="17">
        <v>255.28</v>
      </c>
      <c r="S45" s="17">
        <v>159.42</v>
      </c>
      <c r="U45" s="18">
        <f t="shared" si="6"/>
        <v>1470923.36</v>
      </c>
      <c r="V45" s="18">
        <f t="shared" si="7"/>
        <v>918578.04</v>
      </c>
      <c r="W45" s="19">
        <f t="shared" si="8"/>
        <v>552345.32</v>
      </c>
    </row>
    <row r="46">
      <c r="A46" s="7">
        <v>1.27694451E8</v>
      </c>
      <c r="B46" s="12">
        <v>40884.0</v>
      </c>
      <c r="C46" s="7">
        <f t="shared" si="1"/>
        <v>2011</v>
      </c>
      <c r="D46" s="14" t="str">
        <f t="shared" si="2"/>
        <v>12 - Dec</v>
      </c>
      <c r="E46" s="15" t="str">
        <f t="shared" si="3"/>
        <v>Wed</v>
      </c>
      <c r="F46" s="15">
        <f t="shared" si="4"/>
        <v>3</v>
      </c>
      <c r="G46" s="16">
        <v>40904.0</v>
      </c>
      <c r="H46" s="14">
        <f t="shared" si="5"/>
        <v>20</v>
      </c>
      <c r="I46" s="7" t="s">
        <v>364</v>
      </c>
      <c r="J46" s="7" t="s">
        <v>274</v>
      </c>
      <c r="K46" s="7" t="str">
        <f>VLOOKUP(J46,countries,2,false)</f>
        <v>Estonia</v>
      </c>
      <c r="L46" s="7" t="str">
        <f>VLOOKUP($J46,countries,5,false)</f>
        <v>Europe</v>
      </c>
      <c r="M46" s="7" t="str">
        <f>VLOOKUP($J46,countries,6,false)</f>
        <v>Northern Europe</v>
      </c>
      <c r="N46" s="7">
        <v>5988.0</v>
      </c>
      <c r="O46" s="7" t="str">
        <f>VLOOKUP(N46, products, 2, FALSE)</f>
        <v>Vegetables</v>
      </c>
      <c r="P46" s="7" t="s">
        <v>334</v>
      </c>
      <c r="Q46" s="7">
        <v>6481.0</v>
      </c>
      <c r="R46" s="17">
        <v>154.06</v>
      </c>
      <c r="S46" s="17">
        <v>90.93</v>
      </c>
      <c r="U46" s="18">
        <f t="shared" si="6"/>
        <v>998462.86</v>
      </c>
      <c r="V46" s="18">
        <f t="shared" si="7"/>
        <v>589317.33</v>
      </c>
      <c r="W46" s="19">
        <f t="shared" si="8"/>
        <v>409145.53</v>
      </c>
    </row>
    <row r="47">
      <c r="A47" s="7">
        <v>1.27838218E8</v>
      </c>
      <c r="B47" s="12">
        <v>41537.0</v>
      </c>
      <c r="C47" s="7">
        <f t="shared" si="1"/>
        <v>2013</v>
      </c>
      <c r="D47" s="14" t="str">
        <f t="shared" si="2"/>
        <v>09 - Sep</v>
      </c>
      <c r="E47" s="15" t="str">
        <f t="shared" si="3"/>
        <v>Fri</v>
      </c>
      <c r="F47" s="15">
        <f t="shared" si="4"/>
        <v>5</v>
      </c>
      <c r="G47" s="16">
        <v>41576.0</v>
      </c>
      <c r="H47" s="14">
        <f t="shared" si="5"/>
        <v>39</v>
      </c>
      <c r="I47" s="7" t="s">
        <v>305</v>
      </c>
      <c r="J47" s="7" t="s">
        <v>546</v>
      </c>
      <c r="K47" s="7" t="str">
        <f>VLOOKUP(J47,countries,2,false)</f>
        <v>Netherlands</v>
      </c>
      <c r="L47" s="7" t="str">
        <f>VLOOKUP($J47,countries,5,false)</f>
        <v>Europe</v>
      </c>
      <c r="M47" s="7" t="str">
        <f>VLOOKUP($J47,countries,6,false)</f>
        <v>Western Europe</v>
      </c>
      <c r="N47" s="7">
        <v>4594.0</v>
      </c>
      <c r="O47" s="7" t="str">
        <f>VLOOKUP(N47, products, 2, FALSE)</f>
        <v>Fruits</v>
      </c>
      <c r="P47" s="7" t="s">
        <v>334</v>
      </c>
      <c r="Q47" s="7">
        <v>9024.0</v>
      </c>
      <c r="R47" s="17">
        <v>9.33</v>
      </c>
      <c r="S47" s="17">
        <v>6.92</v>
      </c>
      <c r="U47" s="18">
        <f t="shared" si="6"/>
        <v>84193.92</v>
      </c>
      <c r="V47" s="18">
        <f t="shared" si="7"/>
        <v>62446.08</v>
      </c>
      <c r="W47" s="19">
        <f t="shared" si="8"/>
        <v>21747.84</v>
      </c>
    </row>
    <row r="48">
      <c r="A48" s="7">
        <v>1.28003442E8</v>
      </c>
      <c r="B48" s="12">
        <v>40430.0</v>
      </c>
      <c r="C48" s="7">
        <f t="shared" si="1"/>
        <v>2010</v>
      </c>
      <c r="D48" s="14" t="str">
        <f t="shared" si="2"/>
        <v>09 - Sep</v>
      </c>
      <c r="E48" s="15" t="str">
        <f t="shared" si="3"/>
        <v>Thu</v>
      </c>
      <c r="F48" s="15">
        <f t="shared" si="4"/>
        <v>4</v>
      </c>
      <c r="G48" s="16">
        <v>40474.0</v>
      </c>
      <c r="H48" s="14">
        <f t="shared" si="5"/>
        <v>44</v>
      </c>
      <c r="I48" s="7" t="s">
        <v>364</v>
      </c>
      <c r="J48" s="7" t="s">
        <v>720</v>
      </c>
      <c r="K48" s="7" t="str">
        <f>VLOOKUP(J48,countries,2,false)</f>
        <v>Switzerland</v>
      </c>
      <c r="L48" s="7" t="str">
        <f>VLOOKUP($J48,countries,5,false)</f>
        <v>Europe</v>
      </c>
      <c r="M48" s="7" t="str">
        <f>VLOOKUP($J48,countries,6,false)</f>
        <v>Western Europe</v>
      </c>
      <c r="N48" s="7">
        <v>7331.0</v>
      </c>
      <c r="O48" s="7" t="str">
        <f>VLOOKUP(N48, products, 2, FALSE)</f>
        <v>Baby Food</v>
      </c>
      <c r="P48" s="7" t="s">
        <v>264</v>
      </c>
      <c r="Q48" s="7">
        <v>7918.0</v>
      </c>
      <c r="R48" s="17">
        <v>255.28</v>
      </c>
      <c r="S48" s="17">
        <v>159.42</v>
      </c>
      <c r="U48" s="18">
        <f t="shared" si="6"/>
        <v>2021307.04</v>
      </c>
      <c r="V48" s="18">
        <f t="shared" si="7"/>
        <v>1262287.56</v>
      </c>
      <c r="W48" s="19">
        <f t="shared" si="8"/>
        <v>759019.48</v>
      </c>
    </row>
    <row r="49">
      <c r="A49" s="7">
        <v>1.28686225E8</v>
      </c>
      <c r="B49" s="12">
        <v>40568.0</v>
      </c>
      <c r="C49" s="7">
        <f t="shared" si="1"/>
        <v>2011</v>
      </c>
      <c r="D49" s="14" t="str">
        <f t="shared" si="2"/>
        <v>01 - Jan</v>
      </c>
      <c r="E49" s="15" t="str">
        <f t="shared" si="3"/>
        <v>Tue</v>
      </c>
      <c r="F49" s="15">
        <f t="shared" si="4"/>
        <v>2</v>
      </c>
      <c r="G49" s="16">
        <v>40615.0</v>
      </c>
      <c r="H49" s="14">
        <f t="shared" si="5"/>
        <v>47</v>
      </c>
      <c r="I49" s="7" t="s">
        <v>232</v>
      </c>
      <c r="J49" s="7" t="s">
        <v>378</v>
      </c>
      <c r="K49" s="7" t="str">
        <f>VLOOKUP(J49,countries,2,false)</f>
        <v>Hungary</v>
      </c>
      <c r="L49" s="7" t="str">
        <f>VLOOKUP($J49,countries,5,false)</f>
        <v>Europe</v>
      </c>
      <c r="M49" s="7" t="str">
        <f>VLOOKUP($J49,countries,6,false)</f>
        <v>Eastern Europe</v>
      </c>
      <c r="N49" s="7">
        <v>7331.0</v>
      </c>
      <c r="O49" s="7" t="str">
        <f>VLOOKUP(N49, products, 2, FALSE)</f>
        <v>Baby Food</v>
      </c>
      <c r="P49" s="7" t="s">
        <v>264</v>
      </c>
      <c r="Q49" s="7">
        <v>9968.0</v>
      </c>
      <c r="R49" s="17">
        <v>255.28</v>
      </c>
      <c r="S49" s="17">
        <v>159.42</v>
      </c>
      <c r="U49" s="18">
        <f t="shared" si="6"/>
        <v>2544631.04</v>
      </c>
      <c r="V49" s="18">
        <f t="shared" si="7"/>
        <v>1589098.56</v>
      </c>
      <c r="W49" s="19">
        <f t="shared" si="8"/>
        <v>955532.48</v>
      </c>
    </row>
    <row r="50">
      <c r="A50" s="7">
        <v>1.28766906E8</v>
      </c>
      <c r="B50" s="12">
        <v>40587.0</v>
      </c>
      <c r="C50" s="7">
        <f t="shared" si="1"/>
        <v>2011</v>
      </c>
      <c r="D50" s="14" t="str">
        <f t="shared" si="2"/>
        <v>02 - Feb</v>
      </c>
      <c r="E50" s="15" t="str">
        <f t="shared" si="3"/>
        <v>Sun</v>
      </c>
      <c r="F50" s="15">
        <f t="shared" si="4"/>
        <v>7</v>
      </c>
      <c r="G50" s="16">
        <v>40630.0</v>
      </c>
      <c r="H50" s="14">
        <f t="shared" si="5"/>
        <v>43</v>
      </c>
      <c r="I50" s="7" t="s">
        <v>305</v>
      </c>
      <c r="J50" s="7" t="s">
        <v>348</v>
      </c>
      <c r="K50" s="7" t="s">
        <v>348</v>
      </c>
      <c r="L50" s="7" t="s">
        <v>348</v>
      </c>
      <c r="M50" s="7" t="s">
        <v>348</v>
      </c>
      <c r="N50" s="7">
        <v>7940.0</v>
      </c>
      <c r="O50" s="7" t="str">
        <f>VLOOKUP(N50, products, 2, FALSE)</f>
        <v>Household</v>
      </c>
      <c r="P50" s="7" t="s">
        <v>334</v>
      </c>
      <c r="Q50" s="7">
        <v>3844.0</v>
      </c>
      <c r="R50" s="17">
        <v>668.27</v>
      </c>
      <c r="S50" s="17">
        <v>502.54</v>
      </c>
      <c r="U50" s="18">
        <f t="shared" si="6"/>
        <v>2568829.88</v>
      </c>
      <c r="V50" s="18">
        <f t="shared" si="7"/>
        <v>1931763.76</v>
      </c>
      <c r="W50" s="19">
        <f t="shared" si="8"/>
        <v>637066.12</v>
      </c>
    </row>
    <row r="51">
      <c r="A51" s="7">
        <v>1.29127395E8</v>
      </c>
      <c r="B51" s="12">
        <v>41441.0</v>
      </c>
      <c r="C51" s="7">
        <f t="shared" si="1"/>
        <v>2013</v>
      </c>
      <c r="D51" s="14" t="str">
        <f t="shared" si="2"/>
        <v>06 - Jun</v>
      </c>
      <c r="E51" s="15" t="str">
        <f t="shared" si="3"/>
        <v>Sun</v>
      </c>
      <c r="F51" s="15">
        <f t="shared" si="4"/>
        <v>7</v>
      </c>
      <c r="G51" s="16">
        <v>41445.0</v>
      </c>
      <c r="H51" s="14">
        <f t="shared" si="5"/>
        <v>4</v>
      </c>
      <c r="I51" s="7" t="s">
        <v>364</v>
      </c>
      <c r="J51" s="7" t="s">
        <v>447</v>
      </c>
      <c r="K51" s="7" t="str">
        <f>VLOOKUP(J51,countries,2,false)</f>
        <v>Latvia</v>
      </c>
      <c r="L51" s="7" t="str">
        <f>VLOOKUP($J51,countries,5,false)</f>
        <v>Europe</v>
      </c>
      <c r="M51" s="7" t="str">
        <f>VLOOKUP($J51,countries,6,false)</f>
        <v>Northern Europe</v>
      </c>
      <c r="N51" s="7">
        <v>8681.0</v>
      </c>
      <c r="O51" s="7" t="str">
        <f>VLOOKUP(N51, products, 2, FALSE)</f>
        <v>Office Supplies</v>
      </c>
      <c r="P51" s="7" t="s">
        <v>264</v>
      </c>
      <c r="Q51" s="7">
        <v>520.0</v>
      </c>
      <c r="R51" s="17">
        <v>651.21</v>
      </c>
      <c r="S51" s="17">
        <v>524.96</v>
      </c>
      <c r="U51" s="18">
        <f t="shared" si="6"/>
        <v>338629.2</v>
      </c>
      <c r="V51" s="18">
        <f t="shared" si="7"/>
        <v>272979.2</v>
      </c>
      <c r="W51" s="19">
        <f t="shared" si="8"/>
        <v>65650</v>
      </c>
    </row>
    <row r="52">
      <c r="A52" s="7">
        <v>1.29169023E8</v>
      </c>
      <c r="B52" s="12">
        <v>41068.0</v>
      </c>
      <c r="C52" s="7">
        <f t="shared" si="1"/>
        <v>2012</v>
      </c>
      <c r="D52" s="14" t="str">
        <f t="shared" si="2"/>
        <v>06 - Jun</v>
      </c>
      <c r="E52" s="15" t="str">
        <f t="shared" si="3"/>
        <v>Fri</v>
      </c>
      <c r="F52" s="15">
        <f t="shared" si="4"/>
        <v>5</v>
      </c>
      <c r="G52" s="16">
        <v>41108.0</v>
      </c>
      <c r="H52" s="14">
        <f t="shared" si="5"/>
        <v>40</v>
      </c>
      <c r="I52" s="7" t="s">
        <v>232</v>
      </c>
      <c r="J52" s="7" t="s">
        <v>348</v>
      </c>
      <c r="K52" s="7" t="s">
        <v>348</v>
      </c>
      <c r="L52" s="7" t="s">
        <v>348</v>
      </c>
      <c r="M52" s="7" t="s">
        <v>348</v>
      </c>
      <c r="N52" s="7">
        <v>1270.0</v>
      </c>
      <c r="O52" s="7" t="str">
        <f>VLOOKUP(N52, products, 2, FALSE)</f>
        <v>Beverages</v>
      </c>
      <c r="P52" s="7" t="s">
        <v>334</v>
      </c>
      <c r="Q52" s="7">
        <v>2839.0</v>
      </c>
      <c r="R52" s="17">
        <v>47.45</v>
      </c>
      <c r="S52" s="17">
        <v>31.79</v>
      </c>
      <c r="U52" s="18">
        <f t="shared" si="6"/>
        <v>134710.55</v>
      </c>
      <c r="V52" s="18">
        <f t="shared" si="7"/>
        <v>90251.81</v>
      </c>
      <c r="W52" s="19">
        <f t="shared" si="8"/>
        <v>44458.74</v>
      </c>
    </row>
    <row r="53">
      <c r="A53" s="7">
        <v>1.29875409E8</v>
      </c>
      <c r="B53" s="12">
        <v>40652.0</v>
      </c>
      <c r="C53" s="7">
        <f t="shared" si="1"/>
        <v>2011</v>
      </c>
      <c r="D53" s="14" t="str">
        <f t="shared" si="2"/>
        <v>04 - Apr</v>
      </c>
      <c r="E53" s="15" t="str">
        <f t="shared" si="3"/>
        <v>Tue</v>
      </c>
      <c r="F53" s="15">
        <f t="shared" si="4"/>
        <v>2</v>
      </c>
      <c r="G53" s="16">
        <v>40659.0</v>
      </c>
      <c r="H53" s="14">
        <f t="shared" si="5"/>
        <v>7</v>
      </c>
      <c r="I53" s="7" t="s">
        <v>364</v>
      </c>
      <c r="J53" s="7" t="s">
        <v>465</v>
      </c>
      <c r="K53" s="7" t="str">
        <f>VLOOKUP(J53,countries,2,false)</f>
        <v>Lithuania</v>
      </c>
      <c r="L53" s="7" t="str">
        <f>VLOOKUP($J53,countries,5,false)</f>
        <v>Europe</v>
      </c>
      <c r="M53" s="7" t="str">
        <f>VLOOKUP($J53,countries,6,false)</f>
        <v>Northern Europe</v>
      </c>
      <c r="N53" s="7">
        <v>3127.0</v>
      </c>
      <c r="O53" s="7" t="str">
        <f>VLOOKUP(N53, products, 2, FALSE)</f>
        <v>Personal Care</v>
      </c>
      <c r="P53" s="7" t="s">
        <v>334</v>
      </c>
      <c r="Q53" s="7">
        <v>1875.0</v>
      </c>
      <c r="R53" s="17">
        <v>81.73</v>
      </c>
      <c r="S53" s="17">
        <v>56.67</v>
      </c>
      <c r="U53" s="18">
        <f t="shared" si="6"/>
        <v>153243.75</v>
      </c>
      <c r="V53" s="18">
        <f t="shared" si="7"/>
        <v>106256.25</v>
      </c>
      <c r="W53" s="19">
        <f t="shared" si="8"/>
        <v>46987.5</v>
      </c>
    </row>
    <row r="54">
      <c r="A54" s="7">
        <v>1.29902875E8</v>
      </c>
      <c r="B54" s="12">
        <v>41719.0</v>
      </c>
      <c r="C54" s="7">
        <f t="shared" si="1"/>
        <v>2014</v>
      </c>
      <c r="D54" s="14" t="str">
        <f t="shared" si="2"/>
        <v>03 - Mar</v>
      </c>
      <c r="E54" s="15" t="str">
        <f t="shared" si="3"/>
        <v>Fri</v>
      </c>
      <c r="F54" s="15">
        <f t="shared" si="4"/>
        <v>5</v>
      </c>
      <c r="G54" s="16">
        <v>41753.0</v>
      </c>
      <c r="H54" s="14">
        <f t="shared" si="5"/>
        <v>34</v>
      </c>
      <c r="I54" s="7" t="s">
        <v>305</v>
      </c>
      <c r="J54" s="7" t="s">
        <v>165</v>
      </c>
      <c r="K54" s="7" t="str">
        <f>VLOOKUP(J54,countries,2,false)</f>
        <v>Bulgaria</v>
      </c>
      <c r="L54" s="7" t="str">
        <f>VLOOKUP($J54,countries,5,false)</f>
        <v>Europe</v>
      </c>
      <c r="M54" s="7" t="str">
        <f>VLOOKUP($J54,countries,6,false)</f>
        <v>Eastern Europe</v>
      </c>
      <c r="N54" s="7">
        <v>7940.0</v>
      </c>
      <c r="O54" s="7" t="str">
        <f>VLOOKUP(N54, products, 2, FALSE)</f>
        <v>Household</v>
      </c>
      <c r="P54" s="7" t="s">
        <v>264</v>
      </c>
      <c r="Q54" s="7">
        <v>2.0</v>
      </c>
      <c r="R54" s="17">
        <v>668.27</v>
      </c>
      <c r="S54" s="17">
        <v>502.54</v>
      </c>
      <c r="U54" s="18">
        <f t="shared" si="6"/>
        <v>1336.54</v>
      </c>
      <c r="V54" s="18">
        <f t="shared" si="7"/>
        <v>1005.08</v>
      </c>
      <c r="W54" s="19">
        <f t="shared" si="8"/>
        <v>331.46</v>
      </c>
    </row>
    <row r="55">
      <c r="A55" s="7">
        <v>1.30356919E8</v>
      </c>
      <c r="B55" s="12">
        <v>41535.0</v>
      </c>
      <c r="C55" s="7">
        <f t="shared" si="1"/>
        <v>2013</v>
      </c>
      <c r="D55" s="14" t="str">
        <f t="shared" si="2"/>
        <v>09 - Sep</v>
      </c>
      <c r="E55" s="15" t="str">
        <f t="shared" si="3"/>
        <v>Wed</v>
      </c>
      <c r="F55" s="15">
        <f t="shared" si="4"/>
        <v>3</v>
      </c>
      <c r="G55" s="16">
        <v>41548.0</v>
      </c>
      <c r="H55" s="14">
        <f t="shared" si="5"/>
        <v>13</v>
      </c>
      <c r="I55" s="7" t="s">
        <v>399</v>
      </c>
      <c r="J55" s="7" t="s">
        <v>720</v>
      </c>
      <c r="K55" s="7" t="str">
        <f>VLOOKUP(J55,countries,2,false)</f>
        <v>Switzerland</v>
      </c>
      <c r="L55" s="7" t="str">
        <f>VLOOKUP($J55,countries,5,false)</f>
        <v>Europe</v>
      </c>
      <c r="M55" s="7" t="str">
        <f>VLOOKUP($J55,countries,6,false)</f>
        <v>Western Europe</v>
      </c>
      <c r="N55" s="7">
        <v>5988.0</v>
      </c>
      <c r="O55" s="7" t="str">
        <f>VLOOKUP(N55, products, 2, FALSE)</f>
        <v>Vegetables</v>
      </c>
      <c r="P55" s="7" t="s">
        <v>264</v>
      </c>
      <c r="Q55" s="7">
        <v>4364.0</v>
      </c>
      <c r="R55" s="17">
        <v>154.06</v>
      </c>
      <c r="S55" s="17">
        <v>90.93</v>
      </c>
      <c r="U55" s="18">
        <f t="shared" si="6"/>
        <v>672317.84</v>
      </c>
      <c r="V55" s="18">
        <f t="shared" si="7"/>
        <v>396818.52</v>
      </c>
      <c r="W55" s="19">
        <f t="shared" si="8"/>
        <v>275499.32</v>
      </c>
    </row>
    <row r="56">
      <c r="A56" s="7">
        <v>1.30754315E8</v>
      </c>
      <c r="B56" s="12">
        <v>41574.0</v>
      </c>
      <c r="C56" s="7">
        <f t="shared" si="1"/>
        <v>2013</v>
      </c>
      <c r="D56" s="14" t="str">
        <f t="shared" si="2"/>
        <v>10 - Oct</v>
      </c>
      <c r="E56" s="15" t="str">
        <f t="shared" si="3"/>
        <v>Sun</v>
      </c>
      <c r="F56" s="15">
        <f t="shared" si="4"/>
        <v>7</v>
      </c>
      <c r="G56" s="16">
        <v>41580.0</v>
      </c>
      <c r="H56" s="14">
        <f t="shared" si="5"/>
        <v>6</v>
      </c>
      <c r="I56" s="7" t="s">
        <v>399</v>
      </c>
      <c r="J56" s="7" t="s">
        <v>296</v>
      </c>
      <c r="K56" s="7" t="str">
        <f>VLOOKUP(J56,countries,2,false)</f>
        <v>France</v>
      </c>
      <c r="L56" s="7" t="str">
        <f>VLOOKUP($J56,countries,5,false)</f>
        <v>Europe</v>
      </c>
      <c r="M56" s="7" t="str">
        <f>VLOOKUP($J56,countries,6,false)</f>
        <v>Western Europe</v>
      </c>
      <c r="N56" s="7">
        <v>8681.0</v>
      </c>
      <c r="O56" s="7" t="str">
        <f>VLOOKUP(N56, products, 2, FALSE)</f>
        <v>Office Supplies</v>
      </c>
      <c r="P56" s="7" t="s">
        <v>264</v>
      </c>
      <c r="Q56" s="7">
        <v>1962.0</v>
      </c>
      <c r="R56" s="17">
        <v>651.21</v>
      </c>
      <c r="S56" s="17">
        <v>524.96</v>
      </c>
      <c r="U56" s="18">
        <f t="shared" si="6"/>
        <v>1277674.02</v>
      </c>
      <c r="V56" s="18">
        <f t="shared" si="7"/>
        <v>1029971.52</v>
      </c>
      <c r="W56" s="19">
        <f t="shared" si="8"/>
        <v>247702.5</v>
      </c>
    </row>
    <row r="57">
      <c r="A57" s="7">
        <v>1.31585586E8</v>
      </c>
      <c r="B57" s="12">
        <v>42807.0</v>
      </c>
      <c r="C57" s="7">
        <f t="shared" si="1"/>
        <v>2017</v>
      </c>
      <c r="D57" s="14" t="str">
        <f t="shared" si="2"/>
        <v>03 - Mar</v>
      </c>
      <c r="E57" s="15" t="str">
        <f t="shared" si="3"/>
        <v>Mon</v>
      </c>
      <c r="F57" s="15">
        <f t="shared" si="4"/>
        <v>1</v>
      </c>
      <c r="G57" s="16">
        <v>42838.0</v>
      </c>
      <c r="H57" s="14">
        <f t="shared" si="5"/>
        <v>31</v>
      </c>
      <c r="I57" s="7" t="s">
        <v>305</v>
      </c>
      <c r="J57" s="7" t="s">
        <v>296</v>
      </c>
      <c r="K57" s="7" t="str">
        <f>VLOOKUP(J57,countries,2,false)</f>
        <v>France</v>
      </c>
      <c r="L57" s="7" t="str">
        <f>VLOOKUP($J57,countries,5,false)</f>
        <v>Europe</v>
      </c>
      <c r="M57" s="7" t="str">
        <f>VLOOKUP($J57,countries,6,false)</f>
        <v>Western Europe</v>
      </c>
      <c r="N57" s="7">
        <v>3127.0</v>
      </c>
      <c r="O57" s="7" t="str">
        <f>VLOOKUP(N57, products, 2, FALSE)</f>
        <v>Personal Care</v>
      </c>
      <c r="P57" s="7" t="s">
        <v>334</v>
      </c>
      <c r="Q57" s="7">
        <v>7954.0</v>
      </c>
      <c r="R57" s="17">
        <v>81.73</v>
      </c>
      <c r="S57" s="17">
        <v>56.67</v>
      </c>
      <c r="U57" s="18">
        <f t="shared" si="6"/>
        <v>650080.42</v>
      </c>
      <c r="V57" s="18">
        <f t="shared" si="7"/>
        <v>450753.18</v>
      </c>
      <c r="W57" s="19">
        <f t="shared" si="8"/>
        <v>199327.24</v>
      </c>
    </row>
    <row r="58">
      <c r="A58" s="7">
        <v>1.32069671E8</v>
      </c>
      <c r="B58" s="12">
        <v>42925.0</v>
      </c>
      <c r="C58" s="7">
        <f t="shared" si="1"/>
        <v>2017</v>
      </c>
      <c r="D58" s="14" t="str">
        <f t="shared" si="2"/>
        <v>07 - Jul</v>
      </c>
      <c r="E58" s="15" t="str">
        <f t="shared" si="3"/>
        <v>Sun</v>
      </c>
      <c r="F58" s="15">
        <f t="shared" si="4"/>
        <v>7</v>
      </c>
      <c r="G58" s="16">
        <v>42936.0</v>
      </c>
      <c r="H58" s="14">
        <f t="shared" si="5"/>
        <v>11</v>
      </c>
      <c r="I58" s="7" t="s">
        <v>232</v>
      </c>
      <c r="J58" s="7" t="s">
        <v>101</v>
      </c>
      <c r="K58" s="7" t="str">
        <f>VLOOKUP(J58,countries,2,false)</f>
        <v>Austria</v>
      </c>
      <c r="L58" s="7" t="str">
        <f>VLOOKUP($J58,countries,5,false)</f>
        <v>Europe</v>
      </c>
      <c r="M58" s="7" t="str">
        <f>VLOOKUP($J58,countries,6,false)</f>
        <v>Western Europe</v>
      </c>
      <c r="N58" s="7">
        <v>3127.0</v>
      </c>
      <c r="O58" s="7" t="str">
        <f>VLOOKUP(N58, products, 2, FALSE)</f>
        <v>Personal Care</v>
      </c>
      <c r="P58" s="7" t="s">
        <v>264</v>
      </c>
      <c r="Q58" s="7">
        <v>1205.0</v>
      </c>
      <c r="R58" s="17">
        <v>81.73</v>
      </c>
      <c r="S58" s="17">
        <v>56.67</v>
      </c>
      <c r="U58" s="18">
        <f t="shared" si="6"/>
        <v>98484.65</v>
      </c>
      <c r="V58" s="18">
        <f t="shared" si="7"/>
        <v>68287.35</v>
      </c>
      <c r="W58" s="19">
        <f t="shared" si="8"/>
        <v>30197.3</v>
      </c>
    </row>
    <row r="59">
      <c r="A59" s="7">
        <v>1.32603538E8</v>
      </c>
      <c r="B59" s="12">
        <v>41172.0</v>
      </c>
      <c r="C59" s="7">
        <f t="shared" si="1"/>
        <v>2012</v>
      </c>
      <c r="D59" s="14" t="str">
        <f t="shared" si="2"/>
        <v>09 - Sep</v>
      </c>
      <c r="E59" s="15" t="str">
        <f t="shared" si="3"/>
        <v>Thu</v>
      </c>
      <c r="F59" s="15">
        <f t="shared" si="4"/>
        <v>4</v>
      </c>
      <c r="G59" s="16">
        <v>41219.0</v>
      </c>
      <c r="H59" s="14">
        <f t="shared" si="5"/>
        <v>47</v>
      </c>
      <c r="I59" s="7" t="s">
        <v>232</v>
      </c>
      <c r="J59" s="7" t="s">
        <v>378</v>
      </c>
      <c r="K59" s="7" t="str">
        <f>VLOOKUP(J59,countries,2,false)</f>
        <v>Hungary</v>
      </c>
      <c r="L59" s="7" t="str">
        <f>VLOOKUP($J59,countries,5,false)</f>
        <v>Europe</v>
      </c>
      <c r="M59" s="7" t="str">
        <f>VLOOKUP($J59,countries,6,false)</f>
        <v>Eastern Europe</v>
      </c>
      <c r="N59" s="7">
        <v>8293.0</v>
      </c>
      <c r="O59" s="7" t="str">
        <f>VLOOKUP(N59, products, 2, FALSE)</f>
        <v>Cosmetics</v>
      </c>
      <c r="P59" s="7" t="s">
        <v>264</v>
      </c>
      <c r="Q59" s="7">
        <v>9188.0</v>
      </c>
      <c r="R59" s="17">
        <v>437.2</v>
      </c>
      <c r="S59" s="17">
        <v>263.33</v>
      </c>
      <c r="U59" s="18">
        <f t="shared" si="6"/>
        <v>4016993.6</v>
      </c>
      <c r="V59" s="18">
        <f t="shared" si="7"/>
        <v>2419476.04</v>
      </c>
      <c r="W59" s="19">
        <f t="shared" si="8"/>
        <v>1597517.56</v>
      </c>
    </row>
    <row r="60">
      <c r="A60" s="7">
        <v>1.3327645E8</v>
      </c>
      <c r="B60" s="12">
        <v>42396.0</v>
      </c>
      <c r="C60" s="7">
        <f t="shared" si="1"/>
        <v>2016</v>
      </c>
      <c r="D60" s="14" t="str">
        <f t="shared" si="2"/>
        <v>01 - Jan</v>
      </c>
      <c r="E60" s="15" t="str">
        <f t="shared" si="3"/>
        <v>Wed</v>
      </c>
      <c r="F60" s="15">
        <f t="shared" si="4"/>
        <v>3</v>
      </c>
      <c r="G60" s="16">
        <v>42444.0</v>
      </c>
      <c r="H60" s="14">
        <f t="shared" si="5"/>
        <v>48</v>
      </c>
      <c r="I60" s="7" t="s">
        <v>399</v>
      </c>
      <c r="J60" s="7" t="s">
        <v>348</v>
      </c>
      <c r="K60" s="7" t="s">
        <v>348</v>
      </c>
      <c r="L60" s="7" t="s">
        <v>348</v>
      </c>
      <c r="M60" s="7" t="s">
        <v>348</v>
      </c>
      <c r="N60" s="7">
        <v>3127.0</v>
      </c>
      <c r="O60" s="7" t="str">
        <f>VLOOKUP(N60, products, 2, FALSE)</f>
        <v>Personal Care</v>
      </c>
      <c r="P60" s="7" t="s">
        <v>264</v>
      </c>
      <c r="Q60" s="7">
        <v>8318.0</v>
      </c>
      <c r="R60" s="17">
        <v>81.73</v>
      </c>
      <c r="S60" s="17">
        <v>56.67</v>
      </c>
      <c r="U60" s="18">
        <f t="shared" si="6"/>
        <v>679830.14</v>
      </c>
      <c r="V60" s="18">
        <f t="shared" si="7"/>
        <v>471381.06</v>
      </c>
      <c r="W60" s="19">
        <f t="shared" si="8"/>
        <v>208449.08</v>
      </c>
    </row>
    <row r="61">
      <c r="A61" s="7">
        <v>1.34121024E8</v>
      </c>
      <c r="B61" s="12">
        <v>40602.0</v>
      </c>
      <c r="C61" s="7">
        <f t="shared" si="1"/>
        <v>2011</v>
      </c>
      <c r="D61" s="14" t="str">
        <f t="shared" si="2"/>
        <v>02 - Feb</v>
      </c>
      <c r="E61" s="15" t="str">
        <f t="shared" si="3"/>
        <v>Mon</v>
      </c>
      <c r="F61" s="15">
        <f t="shared" si="4"/>
        <v>1</v>
      </c>
      <c r="G61" s="16">
        <v>40641.0</v>
      </c>
      <c r="H61" s="14">
        <f t="shared" si="5"/>
        <v>39</v>
      </c>
      <c r="I61" s="7" t="s">
        <v>364</v>
      </c>
      <c r="J61" s="7" t="s">
        <v>274</v>
      </c>
      <c r="K61" s="7" t="str">
        <f>VLOOKUP(J61,countries,2,false)</f>
        <v>Estonia</v>
      </c>
      <c r="L61" s="7" t="str">
        <f>VLOOKUP($J61,countries,5,false)</f>
        <v>Europe</v>
      </c>
      <c r="M61" s="7" t="str">
        <f>VLOOKUP($J61,countries,6,false)</f>
        <v>Northern Europe</v>
      </c>
      <c r="N61" s="7">
        <v>5988.0</v>
      </c>
      <c r="O61" s="7" t="str">
        <f>VLOOKUP(N61, products, 2, FALSE)</f>
        <v>Vegetables</v>
      </c>
      <c r="P61" s="7" t="s">
        <v>264</v>
      </c>
      <c r="Q61" s="7">
        <v>8246.0</v>
      </c>
      <c r="R61" s="17">
        <v>154.06</v>
      </c>
      <c r="S61" s="17">
        <v>90.93</v>
      </c>
      <c r="U61" s="18">
        <f t="shared" si="6"/>
        <v>1270378.76</v>
      </c>
      <c r="V61" s="18">
        <f t="shared" si="7"/>
        <v>749808.78</v>
      </c>
      <c r="W61" s="19">
        <f t="shared" si="8"/>
        <v>520569.98</v>
      </c>
    </row>
    <row r="62">
      <c r="A62" s="7">
        <v>1.34790503E8</v>
      </c>
      <c r="B62" s="12">
        <v>41001.0</v>
      </c>
      <c r="C62" s="7">
        <f t="shared" si="1"/>
        <v>2012</v>
      </c>
      <c r="D62" s="14" t="str">
        <f t="shared" si="2"/>
        <v>04 - Apr</v>
      </c>
      <c r="E62" s="15" t="str">
        <f t="shared" si="3"/>
        <v>Mon</v>
      </c>
      <c r="F62" s="15">
        <f t="shared" si="4"/>
        <v>1</v>
      </c>
      <c r="G62" s="16">
        <v>41025.0</v>
      </c>
      <c r="H62" s="14">
        <f t="shared" si="5"/>
        <v>24</v>
      </c>
      <c r="I62" s="7" t="s">
        <v>232</v>
      </c>
      <c r="J62" s="7" t="s">
        <v>406</v>
      </c>
      <c r="K62" s="7" t="str">
        <f>VLOOKUP(J62,countries,2,false)</f>
        <v>Italy</v>
      </c>
      <c r="L62" s="7" t="str">
        <f>VLOOKUP($J62,countries,5,false)</f>
        <v>Europe</v>
      </c>
      <c r="M62" s="7" t="str">
        <f>VLOOKUP($J62,countries,6,false)</f>
        <v>Southern Europe</v>
      </c>
      <c r="N62" s="7">
        <v>2455.0</v>
      </c>
      <c r="O62" s="7" t="str">
        <f>VLOOKUP(N62, products, 2, FALSE)</f>
        <v>Clothes</v>
      </c>
      <c r="P62" s="7" t="s">
        <v>264</v>
      </c>
      <c r="Q62" s="7">
        <v>6360.0</v>
      </c>
      <c r="R62" s="17">
        <v>109.28</v>
      </c>
      <c r="S62" s="17">
        <v>35.84</v>
      </c>
      <c r="U62" s="18">
        <f t="shared" si="6"/>
        <v>695020.8</v>
      </c>
      <c r="V62" s="18">
        <f t="shared" si="7"/>
        <v>227942.4</v>
      </c>
      <c r="W62" s="19">
        <f t="shared" si="8"/>
        <v>467078.4</v>
      </c>
    </row>
    <row r="63">
      <c r="A63" s="7">
        <v>1.36624276E8</v>
      </c>
      <c r="B63" s="12">
        <v>42420.0</v>
      </c>
      <c r="C63" s="7">
        <f t="shared" si="1"/>
        <v>2016</v>
      </c>
      <c r="D63" s="14" t="str">
        <f t="shared" si="2"/>
        <v>02 - Feb</v>
      </c>
      <c r="E63" s="15" t="str">
        <f t="shared" si="3"/>
        <v>Sat</v>
      </c>
      <c r="F63" s="15">
        <f t="shared" si="4"/>
        <v>6</v>
      </c>
      <c r="G63" s="16">
        <v>42437.0</v>
      </c>
      <c r="H63" s="14">
        <f t="shared" si="5"/>
        <v>17</v>
      </c>
      <c r="I63" s="7" t="s">
        <v>364</v>
      </c>
      <c r="J63" s="7" t="s">
        <v>447</v>
      </c>
      <c r="K63" s="7" t="str">
        <f>VLOOKUP(J63,countries,2,false)</f>
        <v>Latvia</v>
      </c>
      <c r="L63" s="7" t="str">
        <f>VLOOKUP($J63,countries,5,false)</f>
        <v>Europe</v>
      </c>
      <c r="M63" s="7" t="str">
        <f>VLOOKUP($J63,countries,6,false)</f>
        <v>Northern Europe</v>
      </c>
      <c r="N63" s="7">
        <v>1270.0</v>
      </c>
      <c r="O63" s="7" t="str">
        <f>VLOOKUP(N63, products, 2, FALSE)</f>
        <v>Beverages</v>
      </c>
      <c r="P63" s="7" t="s">
        <v>334</v>
      </c>
      <c r="Q63" s="7">
        <v>9014.0</v>
      </c>
      <c r="R63" s="17">
        <v>47.45</v>
      </c>
      <c r="S63" s="17">
        <v>31.79</v>
      </c>
      <c r="U63" s="18">
        <f t="shared" si="6"/>
        <v>427714.3</v>
      </c>
      <c r="V63" s="18">
        <f t="shared" si="7"/>
        <v>286555.06</v>
      </c>
      <c r="W63" s="19">
        <f t="shared" si="8"/>
        <v>141159.24</v>
      </c>
    </row>
    <row r="64">
      <c r="A64" s="7">
        <v>1.38025033E8</v>
      </c>
      <c r="B64" s="12">
        <v>41468.0</v>
      </c>
      <c r="C64" s="7">
        <f t="shared" si="1"/>
        <v>2013</v>
      </c>
      <c r="D64" s="14" t="str">
        <f t="shared" si="2"/>
        <v>07 - Jul</v>
      </c>
      <c r="E64" s="15" t="str">
        <f t="shared" si="3"/>
        <v>Sat</v>
      </c>
      <c r="F64" s="15">
        <f t="shared" si="4"/>
        <v>6</v>
      </c>
      <c r="G64" s="16">
        <v>41489.0</v>
      </c>
      <c r="H64" s="14">
        <f t="shared" si="5"/>
        <v>21</v>
      </c>
      <c r="I64" s="7" t="s">
        <v>364</v>
      </c>
      <c r="J64" s="7" t="s">
        <v>681</v>
      </c>
      <c r="K64" s="7" t="str">
        <f>VLOOKUP(J64,countries,2,false)</f>
        <v>United Kingdom</v>
      </c>
      <c r="L64" s="7" t="str">
        <f>VLOOKUP($J64,countries,5,false)</f>
        <v>Europe</v>
      </c>
      <c r="M64" s="7" t="str">
        <f>VLOOKUP($J64,countries,6,false)</f>
        <v>Northern Europe</v>
      </c>
      <c r="N64" s="7">
        <v>8969.0</v>
      </c>
      <c r="O64" s="7" t="str">
        <f>VLOOKUP(N64, products, 2, FALSE)</f>
        <v>Snacks</v>
      </c>
      <c r="P64" s="7" t="s">
        <v>264</v>
      </c>
      <c r="Q64" s="7">
        <v>3529.0</v>
      </c>
      <c r="R64" s="17">
        <v>152.58</v>
      </c>
      <c r="S64" s="17">
        <v>97.44</v>
      </c>
      <c r="U64" s="18">
        <f t="shared" si="6"/>
        <v>538454.82</v>
      </c>
      <c r="V64" s="18">
        <f t="shared" si="7"/>
        <v>343865.76</v>
      </c>
      <c r="W64" s="19">
        <f t="shared" si="8"/>
        <v>194589.06</v>
      </c>
    </row>
    <row r="65">
      <c r="A65" s="7">
        <v>1.38182103E8</v>
      </c>
      <c r="B65" s="12">
        <v>41860.0</v>
      </c>
      <c r="C65" s="7">
        <f t="shared" si="1"/>
        <v>2014</v>
      </c>
      <c r="D65" s="14" t="str">
        <f t="shared" si="2"/>
        <v>08 - Aug</v>
      </c>
      <c r="E65" s="15" t="str">
        <f t="shared" si="3"/>
        <v>Sat</v>
      </c>
      <c r="F65" s="15">
        <f t="shared" si="4"/>
        <v>6</v>
      </c>
      <c r="G65" s="16">
        <v>41867.0</v>
      </c>
      <c r="H65" s="14">
        <f t="shared" si="5"/>
        <v>7</v>
      </c>
      <c r="I65" s="7" t="s">
        <v>305</v>
      </c>
      <c r="J65" s="7" t="s">
        <v>546</v>
      </c>
      <c r="K65" s="7" t="str">
        <f>VLOOKUP(J65,countries,2,false)</f>
        <v>Netherlands</v>
      </c>
      <c r="L65" s="7" t="str">
        <f>VLOOKUP($J65,countries,5,false)</f>
        <v>Europe</v>
      </c>
      <c r="M65" s="7" t="str">
        <f>VLOOKUP($J65,countries,6,false)</f>
        <v>Western Europe</v>
      </c>
      <c r="N65" s="7">
        <v>8681.0</v>
      </c>
      <c r="O65" s="7" t="str">
        <f>VLOOKUP(N65, products, 2, FALSE)</f>
        <v>Office Supplies</v>
      </c>
      <c r="P65" s="7" t="s">
        <v>264</v>
      </c>
      <c r="Q65" s="7">
        <v>10.0</v>
      </c>
      <c r="R65" s="17">
        <v>651.21</v>
      </c>
      <c r="S65" s="17">
        <v>524.96</v>
      </c>
      <c r="U65" s="18">
        <f t="shared" si="6"/>
        <v>6512.1</v>
      </c>
      <c r="V65" s="18">
        <f t="shared" si="7"/>
        <v>5249.6</v>
      </c>
      <c r="W65" s="19">
        <f t="shared" si="8"/>
        <v>1262.5</v>
      </c>
    </row>
    <row r="66">
      <c r="A66" s="7">
        <v>1.38820683E8</v>
      </c>
      <c r="B66" s="12">
        <v>40368.0</v>
      </c>
      <c r="C66" s="7">
        <f t="shared" si="1"/>
        <v>2010</v>
      </c>
      <c r="D66" s="14" t="str">
        <f t="shared" si="2"/>
        <v>07 - Jul</v>
      </c>
      <c r="E66" s="15" t="str">
        <f t="shared" si="3"/>
        <v>Fri</v>
      </c>
      <c r="F66" s="15">
        <f t="shared" si="4"/>
        <v>5</v>
      </c>
      <c r="G66" s="16">
        <v>40368.0</v>
      </c>
      <c r="H66" s="14">
        <f t="shared" si="5"/>
        <v>0</v>
      </c>
      <c r="I66" s="7" t="s">
        <v>364</v>
      </c>
      <c r="J66" s="7" t="s">
        <v>626</v>
      </c>
      <c r="K66" s="7" t="str">
        <f>VLOOKUP(J66,countries,2,false)</f>
        <v>Russia</v>
      </c>
      <c r="L66" s="7" t="str">
        <f>VLOOKUP($J66,countries,5,false)</f>
        <v>Europe</v>
      </c>
      <c r="M66" s="7" t="str">
        <f>VLOOKUP($J66,countries,6,false)</f>
        <v>Eastern Europe</v>
      </c>
      <c r="N66" s="7">
        <v>2455.0</v>
      </c>
      <c r="O66" s="7" t="str">
        <f>VLOOKUP(N66, products, 2, FALSE)</f>
        <v>Clothes</v>
      </c>
      <c r="P66" s="7" t="s">
        <v>334</v>
      </c>
      <c r="Q66" s="7">
        <v>8980.0</v>
      </c>
      <c r="R66" s="17">
        <v>109.28</v>
      </c>
      <c r="S66" s="17">
        <v>35.84</v>
      </c>
      <c r="U66" s="18">
        <f t="shared" si="6"/>
        <v>981334.4</v>
      </c>
      <c r="V66" s="18">
        <f t="shared" si="7"/>
        <v>321843.2</v>
      </c>
      <c r="W66" s="19">
        <f t="shared" si="8"/>
        <v>659491.2</v>
      </c>
    </row>
    <row r="67">
      <c r="A67" s="7">
        <v>1.39201343E8</v>
      </c>
      <c r="B67" s="12">
        <v>42609.0</v>
      </c>
      <c r="C67" s="7">
        <f t="shared" si="1"/>
        <v>2016</v>
      </c>
      <c r="D67" s="14" t="str">
        <f t="shared" si="2"/>
        <v>08 - Aug</v>
      </c>
      <c r="E67" s="15" t="str">
        <f t="shared" si="3"/>
        <v>Sat</v>
      </c>
      <c r="F67" s="15">
        <f t="shared" si="4"/>
        <v>6</v>
      </c>
      <c r="G67" s="16">
        <v>42619.0</v>
      </c>
      <c r="H67" s="14">
        <f t="shared" si="5"/>
        <v>10</v>
      </c>
      <c r="I67" s="7" t="s">
        <v>399</v>
      </c>
      <c r="J67" s="7" t="s">
        <v>396</v>
      </c>
      <c r="K67" s="7" t="str">
        <f>VLOOKUP(J67,countries,2,false)</f>
        <v>Ireland</v>
      </c>
      <c r="L67" s="7" t="str">
        <f>VLOOKUP($J67,countries,5,false)</f>
        <v>Europe</v>
      </c>
      <c r="M67" s="7" t="str">
        <f>VLOOKUP($J67,countries,6,false)</f>
        <v>Northern Europe</v>
      </c>
      <c r="N67" s="7">
        <v>8293.0</v>
      </c>
      <c r="O67" s="7" t="str">
        <f>VLOOKUP(N67, products, 2, FALSE)</f>
        <v>Cosmetics</v>
      </c>
      <c r="P67" s="7" t="s">
        <v>334</v>
      </c>
      <c r="Q67" s="7">
        <v>1625.0</v>
      </c>
      <c r="R67" s="17">
        <v>437.2</v>
      </c>
      <c r="S67" s="17">
        <v>263.33</v>
      </c>
      <c r="U67" s="18">
        <f t="shared" si="6"/>
        <v>710450</v>
      </c>
      <c r="V67" s="18">
        <f t="shared" si="7"/>
        <v>427911.25</v>
      </c>
      <c r="W67" s="19">
        <f t="shared" si="8"/>
        <v>282538.75</v>
      </c>
    </row>
    <row r="68">
      <c r="A68" s="7">
        <v>1.39949357E8</v>
      </c>
      <c r="B68" s="12">
        <v>41821.0</v>
      </c>
      <c r="C68" s="7">
        <f t="shared" si="1"/>
        <v>2014</v>
      </c>
      <c r="D68" s="14" t="str">
        <f t="shared" si="2"/>
        <v>07 - Jul</v>
      </c>
      <c r="E68" s="15" t="str">
        <f t="shared" si="3"/>
        <v>Tue</v>
      </c>
      <c r="F68" s="15">
        <f t="shared" si="4"/>
        <v>2</v>
      </c>
      <c r="G68" s="16">
        <v>41834.0</v>
      </c>
      <c r="H68" s="14">
        <f t="shared" si="5"/>
        <v>13</v>
      </c>
      <c r="I68" s="7" t="s">
        <v>399</v>
      </c>
      <c r="J68" s="7" t="s">
        <v>348</v>
      </c>
      <c r="K68" s="7" t="s">
        <v>348</v>
      </c>
      <c r="L68" s="7" t="s">
        <v>348</v>
      </c>
      <c r="M68" s="7" t="s">
        <v>348</v>
      </c>
      <c r="N68" s="7">
        <v>5988.0</v>
      </c>
      <c r="O68" s="7" t="str">
        <f>VLOOKUP(N68, products, 2, FALSE)</f>
        <v>Vegetables</v>
      </c>
      <c r="P68" s="7" t="s">
        <v>264</v>
      </c>
      <c r="Q68" s="7">
        <v>2980.0</v>
      </c>
      <c r="R68" s="17">
        <v>154.06</v>
      </c>
      <c r="S68" s="17">
        <v>90.93</v>
      </c>
      <c r="U68" s="18">
        <f t="shared" si="6"/>
        <v>459098.8</v>
      </c>
      <c r="V68" s="18">
        <f t="shared" si="7"/>
        <v>270971.4</v>
      </c>
      <c r="W68" s="19">
        <f t="shared" si="8"/>
        <v>188127.4</v>
      </c>
    </row>
    <row r="69">
      <c r="A69" s="7">
        <v>1.40461766E8</v>
      </c>
      <c r="B69" s="12">
        <v>41828.0</v>
      </c>
      <c r="C69" s="7">
        <f t="shared" si="1"/>
        <v>2014</v>
      </c>
      <c r="D69" s="14" t="str">
        <f t="shared" si="2"/>
        <v>07 - Jul</v>
      </c>
      <c r="E69" s="15" t="str">
        <f t="shared" si="3"/>
        <v>Tue</v>
      </c>
      <c r="F69" s="15">
        <f t="shared" si="4"/>
        <v>2</v>
      </c>
      <c r="G69" s="16">
        <v>41840.0</v>
      </c>
      <c r="H69" s="14">
        <f t="shared" si="5"/>
        <v>12</v>
      </c>
      <c r="I69" s="7" t="s">
        <v>305</v>
      </c>
      <c r="J69" s="7" t="s">
        <v>771</v>
      </c>
      <c r="K69" s="7" t="str">
        <f>VLOOKUP(J69,countries,2,false)</f>
        <v>Ukraine</v>
      </c>
      <c r="L69" s="7" t="str">
        <f>VLOOKUP($J69,countries,5,false)</f>
        <v>Europe</v>
      </c>
      <c r="M69" s="7" t="str">
        <f>VLOOKUP($J69,countries,6,false)</f>
        <v>Eastern Europe</v>
      </c>
      <c r="N69" s="7">
        <v>8293.0</v>
      </c>
      <c r="O69" s="7" t="str">
        <f>VLOOKUP(N69, products, 2, FALSE)</f>
        <v>Cosmetics</v>
      </c>
      <c r="P69" s="7" t="s">
        <v>264</v>
      </c>
      <c r="Q69" s="7">
        <v>4613.0</v>
      </c>
      <c r="R69" s="17">
        <v>437.2</v>
      </c>
      <c r="S69" s="17">
        <v>263.33</v>
      </c>
      <c r="U69" s="18">
        <f t="shared" si="6"/>
        <v>2016803.6</v>
      </c>
      <c r="V69" s="18">
        <f t="shared" si="7"/>
        <v>1214741.29</v>
      </c>
      <c r="W69" s="19">
        <f t="shared" si="8"/>
        <v>802062.31</v>
      </c>
    </row>
    <row r="70">
      <c r="A70" s="7">
        <v>1.40499961E8</v>
      </c>
      <c r="B70" s="12">
        <v>40631.0</v>
      </c>
      <c r="C70" s="7">
        <f t="shared" si="1"/>
        <v>2011</v>
      </c>
      <c r="D70" s="14" t="str">
        <f t="shared" si="2"/>
        <v>03 - Mar</v>
      </c>
      <c r="E70" s="15" t="str">
        <f t="shared" si="3"/>
        <v>Tue</v>
      </c>
      <c r="F70" s="15">
        <f t="shared" si="4"/>
        <v>2</v>
      </c>
      <c r="G70" s="16">
        <v>40663.0</v>
      </c>
      <c r="H70" s="14">
        <f t="shared" si="5"/>
        <v>32</v>
      </c>
      <c r="I70" s="7" t="s">
        <v>364</v>
      </c>
      <c r="J70" s="7" t="s">
        <v>447</v>
      </c>
      <c r="K70" s="7" t="str">
        <f>VLOOKUP(J70,countries,2,false)</f>
        <v>Latvia</v>
      </c>
      <c r="L70" s="7" t="str">
        <f>VLOOKUP($J70,countries,5,false)</f>
        <v>Europe</v>
      </c>
      <c r="M70" s="7" t="str">
        <f>VLOOKUP($J70,countries,6,false)</f>
        <v>Northern Europe</v>
      </c>
      <c r="N70" s="7">
        <v>3127.0</v>
      </c>
      <c r="O70" s="7" t="str">
        <f>VLOOKUP(N70, products, 2, FALSE)</f>
        <v>Personal Care</v>
      </c>
      <c r="P70" s="7" t="s">
        <v>264</v>
      </c>
      <c r="Q70" s="7">
        <v>5915.0</v>
      </c>
      <c r="R70" s="17">
        <v>81.73</v>
      </c>
      <c r="S70" s="17">
        <v>56.67</v>
      </c>
      <c r="U70" s="18">
        <f t="shared" si="6"/>
        <v>483432.95</v>
      </c>
      <c r="V70" s="18">
        <f t="shared" si="7"/>
        <v>335203.05</v>
      </c>
      <c r="W70" s="19">
        <f t="shared" si="8"/>
        <v>148229.9</v>
      </c>
    </row>
    <row r="71">
      <c r="A71" s="7">
        <v>1.41764247E8</v>
      </c>
      <c r="B71" s="12">
        <v>41470.0</v>
      </c>
      <c r="C71" s="7">
        <f t="shared" si="1"/>
        <v>2013</v>
      </c>
      <c r="D71" s="14" t="str">
        <f t="shared" si="2"/>
        <v>07 - Jul</v>
      </c>
      <c r="E71" s="15" t="str">
        <f t="shared" si="3"/>
        <v>Mon</v>
      </c>
      <c r="F71" s="15">
        <f t="shared" si="4"/>
        <v>1</v>
      </c>
      <c r="G71" s="16">
        <v>41515.0</v>
      </c>
      <c r="H71" s="14">
        <f t="shared" si="5"/>
        <v>45</v>
      </c>
      <c r="I71" s="7" t="s">
        <v>399</v>
      </c>
      <c r="J71" s="7" t="s">
        <v>67</v>
      </c>
      <c r="K71" s="7" t="str">
        <f>VLOOKUP(J71,countries,2,false)</f>
        <v>Andorra</v>
      </c>
      <c r="L71" s="7" t="str">
        <f>VLOOKUP($J71,countries,5,false)</f>
        <v>Europe</v>
      </c>
      <c r="M71" s="7" t="str">
        <f>VLOOKUP($J71,countries,6,false)</f>
        <v>Southern Europe</v>
      </c>
      <c r="N71" s="7">
        <v>7331.0</v>
      </c>
      <c r="O71" s="7" t="str">
        <f>VLOOKUP(N71, products, 2, FALSE)</f>
        <v>Baby Food</v>
      </c>
      <c r="P71" s="7" t="s">
        <v>334</v>
      </c>
      <c r="Q71" s="7">
        <v>46.0</v>
      </c>
      <c r="R71" s="17">
        <v>255.28</v>
      </c>
      <c r="S71" s="17">
        <v>159.42</v>
      </c>
      <c r="U71" s="18">
        <f t="shared" si="6"/>
        <v>11742.88</v>
      </c>
      <c r="V71" s="18">
        <f t="shared" si="7"/>
        <v>7333.32</v>
      </c>
      <c r="W71" s="19">
        <f t="shared" si="8"/>
        <v>4409.56</v>
      </c>
    </row>
    <row r="72">
      <c r="A72" s="7">
        <v>1.41846215E8</v>
      </c>
      <c r="B72" s="12">
        <v>41108.0</v>
      </c>
      <c r="C72" s="7">
        <f t="shared" si="1"/>
        <v>2012</v>
      </c>
      <c r="D72" s="14" t="str">
        <f t="shared" si="2"/>
        <v>07 - Jul</v>
      </c>
      <c r="E72" s="15" t="str">
        <f t="shared" si="3"/>
        <v>Wed</v>
      </c>
      <c r="F72" s="15">
        <f t="shared" si="4"/>
        <v>3</v>
      </c>
      <c r="G72" s="16">
        <v>41137.0</v>
      </c>
      <c r="H72" s="14">
        <f t="shared" si="5"/>
        <v>29</v>
      </c>
      <c r="I72" s="7" t="s">
        <v>399</v>
      </c>
      <c r="J72" s="7" t="s">
        <v>316</v>
      </c>
      <c r="K72" s="7" t="str">
        <f>VLOOKUP(J72,countries,2,false)</f>
        <v>Georgia</v>
      </c>
      <c r="L72" s="7" t="str">
        <f>VLOOKUP($J72,countries,5,false)</f>
        <v>Asia</v>
      </c>
      <c r="M72" s="7" t="str">
        <f>VLOOKUP($J72,countries,6,false)</f>
        <v>Western Asia</v>
      </c>
      <c r="N72" s="7">
        <v>2455.0</v>
      </c>
      <c r="O72" s="7" t="str">
        <f>VLOOKUP(N72, products, 2, FALSE)</f>
        <v>Clothes</v>
      </c>
      <c r="P72" s="7" t="s">
        <v>264</v>
      </c>
      <c r="Q72" s="7">
        <v>4302.0</v>
      </c>
      <c r="R72" s="17">
        <v>109.28</v>
      </c>
      <c r="S72" s="17">
        <v>35.84</v>
      </c>
      <c r="U72" s="18">
        <f t="shared" si="6"/>
        <v>470122.56</v>
      </c>
      <c r="V72" s="18">
        <f t="shared" si="7"/>
        <v>154183.68</v>
      </c>
      <c r="W72" s="19">
        <f t="shared" si="8"/>
        <v>315938.88</v>
      </c>
    </row>
    <row r="73">
      <c r="A73" s="7">
        <v>1.41875827E8</v>
      </c>
      <c r="B73" s="12">
        <v>40615.0</v>
      </c>
      <c r="C73" s="7">
        <f t="shared" si="1"/>
        <v>2011</v>
      </c>
      <c r="D73" s="14" t="str">
        <f t="shared" si="2"/>
        <v>03 - Mar</v>
      </c>
      <c r="E73" s="15" t="str">
        <f t="shared" si="3"/>
        <v>Sun</v>
      </c>
      <c r="F73" s="15">
        <f t="shared" si="4"/>
        <v>7</v>
      </c>
      <c r="G73" s="16">
        <v>40649.0</v>
      </c>
      <c r="H73" s="14">
        <f t="shared" si="5"/>
        <v>34</v>
      </c>
      <c r="I73" s="7" t="s">
        <v>305</v>
      </c>
      <c r="J73" s="7" t="s">
        <v>608</v>
      </c>
      <c r="K73" s="7" t="str">
        <f>VLOOKUP(J73,countries,2,false)</f>
        <v>Poland</v>
      </c>
      <c r="L73" s="7" t="str">
        <f>VLOOKUP($J73,countries,5,false)</f>
        <v>Europe</v>
      </c>
      <c r="M73" s="7" t="str">
        <f>VLOOKUP($J73,countries,6,false)</f>
        <v>Eastern Europe</v>
      </c>
      <c r="N73" s="7">
        <v>7940.0</v>
      </c>
      <c r="O73" s="7" t="str">
        <f>VLOOKUP(N73, products, 2, FALSE)</f>
        <v>Household</v>
      </c>
      <c r="P73" s="7" t="s">
        <v>264</v>
      </c>
      <c r="Q73" s="7">
        <v>3065.0</v>
      </c>
      <c r="R73" s="17">
        <v>668.27</v>
      </c>
      <c r="S73" s="17">
        <v>502.54</v>
      </c>
      <c r="U73" s="18">
        <f t="shared" si="6"/>
        <v>2048247.55</v>
      </c>
      <c r="V73" s="18">
        <f t="shared" si="7"/>
        <v>1540285.1</v>
      </c>
      <c r="W73" s="19">
        <f t="shared" si="8"/>
        <v>507962.45</v>
      </c>
    </row>
    <row r="74">
      <c r="A74" s="7">
        <v>1.42375361E8</v>
      </c>
      <c r="B74" s="12">
        <v>41678.0</v>
      </c>
      <c r="C74" s="7">
        <f t="shared" si="1"/>
        <v>2014</v>
      </c>
      <c r="D74" s="14" t="str">
        <f t="shared" si="2"/>
        <v>02 - Feb</v>
      </c>
      <c r="E74" s="15" t="str">
        <f t="shared" si="3"/>
        <v>Sat</v>
      </c>
      <c r="F74" s="15">
        <f t="shared" si="4"/>
        <v>6</v>
      </c>
      <c r="G74" s="16">
        <v>41689.0</v>
      </c>
      <c r="H74" s="14">
        <f t="shared" si="5"/>
        <v>11</v>
      </c>
      <c r="I74" s="7" t="s">
        <v>364</v>
      </c>
      <c r="J74" s="7" t="s">
        <v>462</v>
      </c>
      <c r="K74" s="7" t="str">
        <f>VLOOKUP(J74,countries,2,false)</f>
        <v>Liechtenstein</v>
      </c>
      <c r="L74" s="7" t="str">
        <f>VLOOKUP($J74,countries,5,false)</f>
        <v>Europe</v>
      </c>
      <c r="M74" s="7" t="str">
        <f>VLOOKUP($J74,countries,6,false)</f>
        <v>Western Europe</v>
      </c>
      <c r="N74" s="7">
        <v>4594.0</v>
      </c>
      <c r="O74" s="7" t="str">
        <f>VLOOKUP(N74, products, 2, FALSE)</f>
        <v>Fruits</v>
      </c>
      <c r="P74" s="7" t="s">
        <v>264</v>
      </c>
      <c r="Q74" s="7">
        <v>888.0</v>
      </c>
      <c r="R74" s="17">
        <v>9.33</v>
      </c>
      <c r="S74" s="17">
        <v>6.92</v>
      </c>
      <c r="U74" s="18">
        <f t="shared" si="6"/>
        <v>8285.04</v>
      </c>
      <c r="V74" s="18">
        <f t="shared" si="7"/>
        <v>6144.96</v>
      </c>
      <c r="W74" s="19">
        <f t="shared" si="8"/>
        <v>2140.08</v>
      </c>
    </row>
    <row r="75">
      <c r="A75" s="7">
        <v>1.42987763E8</v>
      </c>
      <c r="B75" s="12">
        <v>41504.0</v>
      </c>
      <c r="C75" s="7">
        <f t="shared" si="1"/>
        <v>2013</v>
      </c>
      <c r="D75" s="14" t="str">
        <f t="shared" si="2"/>
        <v>08 - Aug</v>
      </c>
      <c r="E75" s="15" t="str">
        <f t="shared" si="3"/>
        <v>Sun</v>
      </c>
      <c r="F75" s="15">
        <f t="shared" si="4"/>
        <v>7</v>
      </c>
      <c r="G75" s="16">
        <v>41518.0</v>
      </c>
      <c r="H75" s="14">
        <f t="shared" si="5"/>
        <v>14</v>
      </c>
      <c r="I75" s="7" t="s">
        <v>364</v>
      </c>
      <c r="J75" s="7" t="s">
        <v>546</v>
      </c>
      <c r="K75" s="7" t="str">
        <f>VLOOKUP(J75,countries,2,false)</f>
        <v>Netherlands</v>
      </c>
      <c r="L75" s="7" t="str">
        <f>VLOOKUP($J75,countries,5,false)</f>
        <v>Europe</v>
      </c>
      <c r="M75" s="7" t="str">
        <f>VLOOKUP($J75,countries,6,false)</f>
        <v>Western Europe</v>
      </c>
      <c r="N75" s="7">
        <v>7940.0</v>
      </c>
      <c r="O75" s="7" t="str">
        <f>VLOOKUP(N75, products, 2, FALSE)</f>
        <v>Household</v>
      </c>
      <c r="P75" s="7" t="s">
        <v>334</v>
      </c>
      <c r="Q75" s="7">
        <v>2112.0</v>
      </c>
      <c r="R75" s="17">
        <v>668.27</v>
      </c>
      <c r="S75" s="17">
        <v>502.54</v>
      </c>
      <c r="U75" s="18">
        <f t="shared" si="6"/>
        <v>1411386.24</v>
      </c>
      <c r="V75" s="18">
        <f t="shared" si="7"/>
        <v>1061364.48</v>
      </c>
      <c r="W75" s="19">
        <f t="shared" si="8"/>
        <v>350021.76</v>
      </c>
    </row>
    <row r="76">
      <c r="A76" s="7">
        <v>1.43414771E8</v>
      </c>
      <c r="B76" s="12">
        <v>41050.0</v>
      </c>
      <c r="C76" s="7">
        <f t="shared" si="1"/>
        <v>2012</v>
      </c>
      <c r="D76" s="14" t="str">
        <f t="shared" si="2"/>
        <v>05 - May</v>
      </c>
      <c r="E76" s="15" t="str">
        <f t="shared" si="3"/>
        <v>Mon</v>
      </c>
      <c r="F76" s="15">
        <f t="shared" si="4"/>
        <v>1</v>
      </c>
      <c r="G76" s="16">
        <v>41063.0</v>
      </c>
      <c r="H76" s="14">
        <f t="shared" si="5"/>
        <v>13</v>
      </c>
      <c r="I76" s="7" t="s">
        <v>399</v>
      </c>
      <c r="J76" s="7" t="s">
        <v>396</v>
      </c>
      <c r="K76" s="7" t="str">
        <f>VLOOKUP(J76,countries,2,false)</f>
        <v>Ireland</v>
      </c>
      <c r="L76" s="7" t="str">
        <f>VLOOKUP($J76,countries,5,false)</f>
        <v>Europe</v>
      </c>
      <c r="M76" s="7" t="str">
        <f>VLOOKUP($J76,countries,6,false)</f>
        <v>Northern Europe</v>
      </c>
      <c r="N76" s="7">
        <v>7940.0</v>
      </c>
      <c r="O76" s="7" t="str">
        <f>VLOOKUP(N76, products, 2, FALSE)</f>
        <v>Household</v>
      </c>
      <c r="P76" s="7" t="s">
        <v>334</v>
      </c>
      <c r="Q76" s="7">
        <v>8473.0</v>
      </c>
      <c r="R76" s="17">
        <v>668.27</v>
      </c>
      <c r="S76" s="17">
        <v>502.54</v>
      </c>
      <c r="U76" s="18">
        <f t="shared" si="6"/>
        <v>5662251.71</v>
      </c>
      <c r="V76" s="18">
        <f t="shared" si="7"/>
        <v>4258021.42</v>
      </c>
      <c r="W76" s="19">
        <f t="shared" si="8"/>
        <v>1404230.29</v>
      </c>
    </row>
    <row r="77">
      <c r="A77" s="7">
        <v>1.44282948E8</v>
      </c>
      <c r="B77" s="12">
        <v>41468.0</v>
      </c>
      <c r="C77" s="7">
        <f t="shared" si="1"/>
        <v>2013</v>
      </c>
      <c r="D77" s="14" t="str">
        <f t="shared" si="2"/>
        <v>07 - Jul</v>
      </c>
      <c r="E77" s="15" t="str">
        <f t="shared" si="3"/>
        <v>Sat</v>
      </c>
      <c r="F77" s="15">
        <f t="shared" si="4"/>
        <v>6</v>
      </c>
      <c r="G77" s="16">
        <v>41487.0</v>
      </c>
      <c r="H77" s="14">
        <f t="shared" si="5"/>
        <v>19</v>
      </c>
      <c r="I77" s="7" t="s">
        <v>399</v>
      </c>
      <c r="J77" s="7" t="s">
        <v>293</v>
      </c>
      <c r="K77" s="7" t="str">
        <f>VLOOKUP(J77,countries,2,false)</f>
        <v>Finland</v>
      </c>
      <c r="L77" s="7" t="str">
        <f>VLOOKUP($J77,countries,5,false)</f>
        <v>Europe</v>
      </c>
      <c r="M77" s="7" t="str">
        <f>VLOOKUP($J77,countries,6,false)</f>
        <v>Northern Europe</v>
      </c>
      <c r="N77" s="7">
        <v>2103.0</v>
      </c>
      <c r="O77" s="7" t="str">
        <f>VLOOKUP(N77, products, 2, FALSE)</f>
        <v>Cereal</v>
      </c>
      <c r="P77" s="7" t="s">
        <v>264</v>
      </c>
      <c r="Q77" s="7">
        <v>5386.0</v>
      </c>
      <c r="R77" s="17">
        <v>205.7</v>
      </c>
      <c r="S77" s="17">
        <v>117.11</v>
      </c>
      <c r="U77" s="18">
        <f t="shared" si="6"/>
        <v>1107900.2</v>
      </c>
      <c r="V77" s="18">
        <f t="shared" si="7"/>
        <v>630754.46</v>
      </c>
      <c r="W77" s="19">
        <f t="shared" si="8"/>
        <v>477145.74</v>
      </c>
    </row>
    <row r="78">
      <c r="A78" s="7">
        <v>1.44743001E8</v>
      </c>
      <c r="B78" s="12">
        <v>41345.0</v>
      </c>
      <c r="C78" s="7">
        <f t="shared" si="1"/>
        <v>2013</v>
      </c>
      <c r="D78" s="14" t="str">
        <f t="shared" si="2"/>
        <v>03 - Mar</v>
      </c>
      <c r="E78" s="15" t="str">
        <f t="shared" si="3"/>
        <v>Tue</v>
      </c>
      <c r="F78" s="15">
        <f t="shared" si="4"/>
        <v>2</v>
      </c>
      <c r="G78" s="16">
        <v>41385.0</v>
      </c>
      <c r="H78" s="14">
        <f t="shared" si="5"/>
        <v>40</v>
      </c>
      <c r="I78" s="7" t="s">
        <v>232</v>
      </c>
      <c r="J78" s="7" t="s">
        <v>685</v>
      </c>
      <c r="K78" s="7" t="str">
        <f>VLOOKUP(J78,countries,2,false)</f>
        <v>Slovenia</v>
      </c>
      <c r="L78" s="7" t="str">
        <f>VLOOKUP($J78,countries,5,false)</f>
        <v>Europe</v>
      </c>
      <c r="M78" s="7" t="str">
        <f>VLOOKUP($J78,countries,6,false)</f>
        <v>Southern Europe</v>
      </c>
      <c r="N78" s="7">
        <v>7331.0</v>
      </c>
      <c r="O78" s="7" t="str">
        <f>VLOOKUP(N78, products, 2, FALSE)</f>
        <v>Baby Food</v>
      </c>
      <c r="P78" s="7" t="s">
        <v>334</v>
      </c>
      <c r="Q78" s="7">
        <v>1525.0</v>
      </c>
      <c r="R78" s="17">
        <v>255.28</v>
      </c>
      <c r="S78" s="17">
        <v>159.42</v>
      </c>
      <c r="U78" s="18">
        <f t="shared" si="6"/>
        <v>389302</v>
      </c>
      <c r="V78" s="18">
        <f t="shared" si="7"/>
        <v>243115.5</v>
      </c>
      <c r="W78" s="19">
        <f t="shared" si="8"/>
        <v>146186.5</v>
      </c>
    </row>
    <row r="79">
      <c r="A79" s="7">
        <v>1.44978606E8</v>
      </c>
      <c r="B79" s="12">
        <v>40549.0</v>
      </c>
      <c r="C79" s="7">
        <f t="shared" si="1"/>
        <v>2011</v>
      </c>
      <c r="D79" s="14" t="str">
        <f t="shared" si="2"/>
        <v>01 - Jan</v>
      </c>
      <c r="E79" s="15" t="str">
        <f t="shared" si="3"/>
        <v>Thu</v>
      </c>
      <c r="F79" s="15">
        <f t="shared" si="4"/>
        <v>4</v>
      </c>
      <c r="G79" s="16">
        <v>40593.0</v>
      </c>
      <c r="H79" s="14">
        <f t="shared" si="5"/>
        <v>44</v>
      </c>
      <c r="I79" s="7" t="s">
        <v>305</v>
      </c>
      <c r="J79" s="7" t="s">
        <v>396</v>
      </c>
      <c r="K79" s="7" t="str">
        <f>VLOOKUP(J79,countries,2,false)</f>
        <v>Ireland</v>
      </c>
      <c r="L79" s="7" t="str">
        <f>VLOOKUP($J79,countries,5,false)</f>
        <v>Europe</v>
      </c>
      <c r="M79" s="7" t="str">
        <f>VLOOKUP($J79,countries,6,false)</f>
        <v>Northern Europe</v>
      </c>
      <c r="N79" s="7">
        <v>8681.0</v>
      </c>
      <c r="O79" s="7" t="str">
        <f>VLOOKUP(N79, products, 2, FALSE)</f>
        <v>Office Supplies</v>
      </c>
      <c r="P79" s="7" t="s">
        <v>264</v>
      </c>
      <c r="Q79" s="7">
        <v>1246.0</v>
      </c>
      <c r="R79" s="17">
        <v>651.21</v>
      </c>
      <c r="S79" s="17">
        <v>524.96</v>
      </c>
      <c r="U79" s="18">
        <f t="shared" si="6"/>
        <v>811407.66</v>
      </c>
      <c r="V79" s="18">
        <f t="shared" si="7"/>
        <v>654100.16</v>
      </c>
      <c r="W79" s="19">
        <f t="shared" si="8"/>
        <v>157307.5</v>
      </c>
    </row>
    <row r="80">
      <c r="A80" s="7">
        <v>1.46349751E8</v>
      </c>
      <c r="B80" s="12">
        <v>42856.0</v>
      </c>
      <c r="C80" s="7">
        <f t="shared" si="1"/>
        <v>2017</v>
      </c>
      <c r="D80" s="14" t="str">
        <f t="shared" si="2"/>
        <v>05 - May</v>
      </c>
      <c r="E80" s="15" t="str">
        <f t="shared" si="3"/>
        <v>Mon</v>
      </c>
      <c r="F80" s="15">
        <f t="shared" si="4"/>
        <v>1</v>
      </c>
      <c r="G80" s="16">
        <v>42899.0</v>
      </c>
      <c r="H80" s="14">
        <f t="shared" si="5"/>
        <v>43</v>
      </c>
      <c r="I80" s="7" t="s">
        <v>232</v>
      </c>
      <c r="J80" s="7" t="s">
        <v>465</v>
      </c>
      <c r="K80" s="7" t="str">
        <f>VLOOKUP(J80,countries,2,false)</f>
        <v>Lithuania</v>
      </c>
      <c r="L80" s="7" t="str">
        <f>VLOOKUP($J80,countries,5,false)</f>
        <v>Europe</v>
      </c>
      <c r="M80" s="7" t="str">
        <f>VLOOKUP($J80,countries,6,false)</f>
        <v>Northern Europe</v>
      </c>
      <c r="N80" s="7">
        <v>5988.0</v>
      </c>
      <c r="O80" s="7" t="str">
        <f>VLOOKUP(N80, products, 2, FALSE)</f>
        <v>Vegetables</v>
      </c>
      <c r="P80" s="7" t="s">
        <v>264</v>
      </c>
      <c r="Q80" s="7">
        <v>6999.0</v>
      </c>
      <c r="R80" s="17">
        <v>154.06</v>
      </c>
      <c r="S80" s="17">
        <v>90.93</v>
      </c>
      <c r="U80" s="18">
        <f t="shared" si="6"/>
        <v>1078265.94</v>
      </c>
      <c r="V80" s="18">
        <f t="shared" si="7"/>
        <v>636419.07</v>
      </c>
      <c r="W80" s="19">
        <f t="shared" si="8"/>
        <v>441846.87</v>
      </c>
    </row>
    <row r="81">
      <c r="A81" s="7">
        <v>1.46545875E8</v>
      </c>
      <c r="B81" s="12">
        <v>40874.0</v>
      </c>
      <c r="C81" s="7">
        <f t="shared" si="1"/>
        <v>2011</v>
      </c>
      <c r="D81" s="14" t="str">
        <f t="shared" si="2"/>
        <v>11 - Nov</v>
      </c>
      <c r="E81" s="15" t="str">
        <f t="shared" si="3"/>
        <v>Sun</v>
      </c>
      <c r="F81" s="15">
        <f t="shared" si="4"/>
        <v>7</v>
      </c>
      <c r="G81" s="16">
        <v>40915.0</v>
      </c>
      <c r="H81" s="14">
        <f t="shared" si="5"/>
        <v>41</v>
      </c>
      <c r="I81" s="7" t="s">
        <v>232</v>
      </c>
      <c r="J81" s="7" t="s">
        <v>435</v>
      </c>
      <c r="K81" s="7" t="str">
        <f>VLOOKUP(J81,countries,2,false)</f>
        <v>Slovakia</v>
      </c>
      <c r="L81" s="7" t="str">
        <f>VLOOKUP($J81,countries,5,false)</f>
        <v>Europe</v>
      </c>
      <c r="M81" s="7" t="str">
        <f>VLOOKUP($J81,countries,6,false)</f>
        <v>Eastern Europe</v>
      </c>
      <c r="N81" s="7">
        <v>8293.0</v>
      </c>
      <c r="O81" s="7" t="str">
        <f>VLOOKUP(N81, products, 2, FALSE)</f>
        <v>Cosmetics</v>
      </c>
      <c r="P81" s="7" t="s">
        <v>334</v>
      </c>
      <c r="Q81" s="7">
        <v>5036.0</v>
      </c>
      <c r="R81" s="17">
        <v>437.2</v>
      </c>
      <c r="S81" s="17">
        <v>263.33</v>
      </c>
      <c r="U81" s="18">
        <f t="shared" si="6"/>
        <v>2201739.2</v>
      </c>
      <c r="V81" s="18">
        <f t="shared" si="7"/>
        <v>1326129.88</v>
      </c>
      <c r="W81" s="19">
        <f t="shared" si="8"/>
        <v>875609.32</v>
      </c>
    </row>
    <row r="82">
      <c r="A82" s="7">
        <v>1.47826898E8</v>
      </c>
      <c r="B82" s="12">
        <v>42276.0</v>
      </c>
      <c r="C82" s="7">
        <f t="shared" si="1"/>
        <v>2015</v>
      </c>
      <c r="D82" s="14" t="str">
        <f t="shared" si="2"/>
        <v>09 - Sep</v>
      </c>
      <c r="E82" s="15" t="str">
        <f t="shared" si="3"/>
        <v>Tue</v>
      </c>
      <c r="F82" s="15">
        <f t="shared" si="4"/>
        <v>2</v>
      </c>
      <c r="G82" s="16">
        <v>42313.0</v>
      </c>
      <c r="H82" s="14">
        <f t="shared" si="5"/>
        <v>37</v>
      </c>
      <c r="I82" s="7" t="s">
        <v>232</v>
      </c>
      <c r="J82" s="7" t="s">
        <v>124</v>
      </c>
      <c r="K82" s="7" t="str">
        <f>VLOOKUP(J82,countries,2,false)</f>
        <v>Belgium</v>
      </c>
      <c r="L82" s="7" t="str">
        <f>VLOOKUP($J82,countries,5,false)</f>
        <v>Europe</v>
      </c>
      <c r="M82" s="7" t="str">
        <f>VLOOKUP($J82,countries,6,false)</f>
        <v>Western Europe</v>
      </c>
      <c r="N82" s="7">
        <v>8293.0</v>
      </c>
      <c r="O82" s="7" t="str">
        <f>VLOOKUP(N82, products, 2, FALSE)</f>
        <v>Cosmetics</v>
      </c>
      <c r="P82" s="7" t="s">
        <v>264</v>
      </c>
      <c r="Q82" s="7">
        <v>4119.0</v>
      </c>
      <c r="R82" s="17">
        <v>437.2</v>
      </c>
      <c r="S82" s="17">
        <v>263.33</v>
      </c>
      <c r="U82" s="18">
        <f t="shared" si="6"/>
        <v>1800826.8</v>
      </c>
      <c r="V82" s="18">
        <f t="shared" si="7"/>
        <v>1084656.27</v>
      </c>
      <c r="W82" s="19">
        <f t="shared" si="8"/>
        <v>716170.53</v>
      </c>
    </row>
    <row r="83">
      <c r="A83" s="7">
        <v>1.48894631E8</v>
      </c>
      <c r="B83" s="12">
        <v>41536.0</v>
      </c>
      <c r="C83" s="7">
        <f t="shared" si="1"/>
        <v>2013</v>
      </c>
      <c r="D83" s="14" t="str">
        <f t="shared" si="2"/>
        <v>09 - Sep</v>
      </c>
      <c r="E83" s="15" t="str">
        <f t="shared" si="3"/>
        <v>Thu</v>
      </c>
      <c r="F83" s="15">
        <f t="shared" si="4"/>
        <v>4</v>
      </c>
      <c r="G83" s="16">
        <v>41542.0</v>
      </c>
      <c r="H83" s="14">
        <f t="shared" si="5"/>
        <v>6</v>
      </c>
      <c r="I83" s="7" t="s">
        <v>399</v>
      </c>
      <c r="J83" s="7" t="s">
        <v>608</v>
      </c>
      <c r="K83" s="7" t="str">
        <f>VLOOKUP(J83,countries,2,false)</f>
        <v>Poland</v>
      </c>
      <c r="L83" s="7" t="str">
        <f>VLOOKUP($J83,countries,5,false)</f>
        <v>Europe</v>
      </c>
      <c r="M83" s="7" t="str">
        <f>VLOOKUP($J83,countries,6,false)</f>
        <v>Eastern Europe</v>
      </c>
      <c r="N83" s="7">
        <v>8681.0</v>
      </c>
      <c r="O83" s="7" t="str">
        <f>VLOOKUP(N83, products, 2, FALSE)</f>
        <v>Office Supplies</v>
      </c>
      <c r="P83" s="7" t="s">
        <v>264</v>
      </c>
      <c r="Q83" s="7">
        <v>85.0</v>
      </c>
      <c r="R83" s="17">
        <v>651.21</v>
      </c>
      <c r="S83" s="17">
        <v>524.96</v>
      </c>
      <c r="U83" s="18">
        <f t="shared" si="6"/>
        <v>55352.85</v>
      </c>
      <c r="V83" s="18">
        <f t="shared" si="7"/>
        <v>44621.6</v>
      </c>
      <c r="W83" s="19">
        <f t="shared" si="8"/>
        <v>10731.25</v>
      </c>
    </row>
    <row r="84">
      <c r="A84" s="7">
        <v>1.49274003E8</v>
      </c>
      <c r="B84" s="12">
        <v>41393.0</v>
      </c>
      <c r="C84" s="7">
        <f t="shared" si="1"/>
        <v>2013</v>
      </c>
      <c r="D84" s="14" t="str">
        <f t="shared" si="2"/>
        <v>04 - Apr</v>
      </c>
      <c r="E84" s="15" t="str">
        <f t="shared" si="3"/>
        <v>Mon</v>
      </c>
      <c r="F84" s="15">
        <f t="shared" si="4"/>
        <v>1</v>
      </c>
      <c r="G84" s="16">
        <v>41423.0</v>
      </c>
      <c r="H84" s="14">
        <f t="shared" si="5"/>
        <v>30</v>
      </c>
      <c r="I84" s="7" t="s">
        <v>305</v>
      </c>
      <c r="J84" s="7" t="s">
        <v>233</v>
      </c>
      <c r="K84" s="7" t="str">
        <f>VLOOKUP(J84,countries,2,false)</f>
        <v>Norway</v>
      </c>
      <c r="L84" s="7" t="str">
        <f>VLOOKUP($J84,countries,5,false)</f>
        <v>Europe</v>
      </c>
      <c r="M84" s="7" t="str">
        <f>VLOOKUP($J84,countries,6,false)</f>
        <v>Northern Europe</v>
      </c>
      <c r="N84" s="7">
        <v>7940.0</v>
      </c>
      <c r="O84" s="7" t="str">
        <f>VLOOKUP(N84, products, 2, FALSE)</f>
        <v>Household</v>
      </c>
      <c r="P84" s="7" t="s">
        <v>334</v>
      </c>
      <c r="Q84" s="7">
        <v>2350.0</v>
      </c>
      <c r="R84" s="17">
        <v>668.27</v>
      </c>
      <c r="S84" s="17">
        <v>502.54</v>
      </c>
      <c r="U84" s="18">
        <f t="shared" si="6"/>
        <v>1570434.5</v>
      </c>
      <c r="V84" s="18">
        <f t="shared" si="7"/>
        <v>1180969</v>
      </c>
      <c r="W84" s="19">
        <f t="shared" si="8"/>
        <v>389465.5</v>
      </c>
    </row>
    <row r="85">
      <c r="A85" s="7">
        <v>1.50293242E8</v>
      </c>
      <c r="B85" s="12">
        <v>42143.0</v>
      </c>
      <c r="C85" s="7">
        <f t="shared" si="1"/>
        <v>2015</v>
      </c>
      <c r="D85" s="14" t="str">
        <f t="shared" si="2"/>
        <v>05 - May</v>
      </c>
      <c r="E85" s="15" t="str">
        <f t="shared" si="3"/>
        <v>Tue</v>
      </c>
      <c r="F85" s="15">
        <f t="shared" si="4"/>
        <v>2</v>
      </c>
      <c r="G85" s="16">
        <v>42176.0</v>
      </c>
      <c r="H85" s="14">
        <f t="shared" si="5"/>
        <v>33</v>
      </c>
      <c r="I85" s="7" t="s">
        <v>399</v>
      </c>
      <c r="J85" s="7" t="s">
        <v>348</v>
      </c>
      <c r="K85" s="7" t="s">
        <v>348</v>
      </c>
      <c r="L85" s="7" t="s">
        <v>348</v>
      </c>
      <c r="M85" s="7" t="s">
        <v>348</v>
      </c>
      <c r="N85" s="7">
        <v>8681.0</v>
      </c>
      <c r="O85" s="7" t="str">
        <f>VLOOKUP(N85, products, 2, FALSE)</f>
        <v>Office Supplies</v>
      </c>
      <c r="P85" s="7" t="s">
        <v>334</v>
      </c>
      <c r="Q85" s="7">
        <v>3965.0</v>
      </c>
      <c r="R85" s="17">
        <v>651.21</v>
      </c>
      <c r="S85" s="17">
        <v>524.96</v>
      </c>
      <c r="U85" s="18">
        <f t="shared" si="6"/>
        <v>2582047.65</v>
      </c>
      <c r="V85" s="18">
        <f t="shared" si="7"/>
        <v>2081466.4</v>
      </c>
      <c r="W85" s="19">
        <f t="shared" si="8"/>
        <v>500581.25</v>
      </c>
    </row>
    <row r="86">
      <c r="A86" s="7">
        <v>1.51312482E8</v>
      </c>
      <c r="B86" s="12">
        <v>42892.0</v>
      </c>
      <c r="C86" s="7">
        <f t="shared" si="1"/>
        <v>2017</v>
      </c>
      <c r="D86" s="14" t="str">
        <f t="shared" si="2"/>
        <v>06 - Jun</v>
      </c>
      <c r="E86" s="15" t="str">
        <f t="shared" si="3"/>
        <v>Tue</v>
      </c>
      <c r="F86" s="15">
        <f t="shared" si="4"/>
        <v>2</v>
      </c>
      <c r="G86" s="16">
        <v>42928.0</v>
      </c>
      <c r="H86" s="14">
        <f t="shared" si="5"/>
        <v>36</v>
      </c>
      <c r="I86" s="7" t="s">
        <v>399</v>
      </c>
      <c r="J86" s="7" t="s">
        <v>243</v>
      </c>
      <c r="K86" s="7" t="str">
        <f>VLOOKUP(J86,countries,2,false)</f>
        <v>Czech Republic</v>
      </c>
      <c r="L86" s="7" t="str">
        <f>VLOOKUP($J86,countries,5,false)</f>
        <v>Europe</v>
      </c>
      <c r="M86" s="7" t="str">
        <f>VLOOKUP($J86,countries,6,false)</f>
        <v>Eastern Europe</v>
      </c>
      <c r="N86" s="7">
        <v>8293.0</v>
      </c>
      <c r="O86" s="7" t="str">
        <f>VLOOKUP(N86, products, 2, FALSE)</f>
        <v>Cosmetics</v>
      </c>
      <c r="P86" s="7" t="s">
        <v>264</v>
      </c>
      <c r="Q86" s="7">
        <v>5581.0</v>
      </c>
      <c r="R86" s="17">
        <v>437.2</v>
      </c>
      <c r="S86" s="17">
        <v>263.33</v>
      </c>
      <c r="U86" s="18">
        <f t="shared" si="6"/>
        <v>2440013.2</v>
      </c>
      <c r="V86" s="18">
        <f t="shared" si="7"/>
        <v>1469644.73</v>
      </c>
      <c r="W86" s="19">
        <f t="shared" si="8"/>
        <v>970368.47</v>
      </c>
    </row>
    <row r="87">
      <c r="A87" s="7">
        <v>1.52191388E8</v>
      </c>
      <c r="B87" s="12">
        <v>41047.0</v>
      </c>
      <c r="C87" s="7">
        <f t="shared" si="1"/>
        <v>2012</v>
      </c>
      <c r="D87" s="14" t="str">
        <f t="shared" si="2"/>
        <v>05 - May</v>
      </c>
      <c r="E87" s="15" t="str">
        <f t="shared" si="3"/>
        <v>Fri</v>
      </c>
      <c r="F87" s="15">
        <f t="shared" si="4"/>
        <v>5</v>
      </c>
      <c r="G87" s="16">
        <v>41082.0</v>
      </c>
      <c r="H87" s="14">
        <f t="shared" si="5"/>
        <v>35</v>
      </c>
      <c r="I87" s="7" t="s">
        <v>364</v>
      </c>
      <c r="J87" s="7" t="s">
        <v>41</v>
      </c>
      <c r="K87" s="7" t="str">
        <f>VLOOKUP(J87,countries,2,false)</f>
        <v>Albania</v>
      </c>
      <c r="L87" s="7" t="str">
        <f>VLOOKUP($J87,countries,5,false)</f>
        <v>Europe</v>
      </c>
      <c r="M87" s="7" t="str">
        <f>VLOOKUP($J87,countries,6,false)</f>
        <v>Southern Europe</v>
      </c>
      <c r="N87" s="7">
        <v>7331.0</v>
      </c>
      <c r="O87" s="7" t="str">
        <f>VLOOKUP(N87, products, 2, FALSE)</f>
        <v>Baby Food</v>
      </c>
      <c r="P87" s="7" t="s">
        <v>334</v>
      </c>
      <c r="Q87" s="7">
        <v>5669.0</v>
      </c>
      <c r="R87" s="17">
        <v>255.28</v>
      </c>
      <c r="S87" s="17">
        <v>159.42</v>
      </c>
      <c r="U87" s="18">
        <f t="shared" si="6"/>
        <v>1447182.32</v>
      </c>
      <c r="V87" s="18">
        <f t="shared" si="7"/>
        <v>903751.98</v>
      </c>
      <c r="W87" s="19">
        <f t="shared" si="8"/>
        <v>543430.34</v>
      </c>
    </row>
    <row r="88">
      <c r="A88" s="7">
        <v>1.52411115E8</v>
      </c>
      <c r="B88" s="12">
        <v>41278.0</v>
      </c>
      <c r="C88" s="7">
        <f t="shared" si="1"/>
        <v>2013</v>
      </c>
      <c r="D88" s="14" t="str">
        <f t="shared" si="2"/>
        <v>01 - Jan</v>
      </c>
      <c r="E88" s="15" t="str">
        <f t="shared" si="3"/>
        <v>Fri</v>
      </c>
      <c r="F88" s="15">
        <f t="shared" si="4"/>
        <v>5</v>
      </c>
      <c r="G88" s="16">
        <v>41326.0</v>
      </c>
      <c r="H88" s="14">
        <f t="shared" si="5"/>
        <v>48</v>
      </c>
      <c r="I88" s="7" t="s">
        <v>399</v>
      </c>
      <c r="J88" s="7" t="s">
        <v>717</v>
      </c>
      <c r="K88" s="7" t="str">
        <f>VLOOKUP(J88,countries,2,false)</f>
        <v>Sweden</v>
      </c>
      <c r="L88" s="7" t="str">
        <f>VLOOKUP($J88,countries,5,false)</f>
        <v>Europe</v>
      </c>
      <c r="M88" s="7" t="str">
        <f>VLOOKUP($J88,countries,6,false)</f>
        <v>Northern Europe</v>
      </c>
      <c r="N88" s="7">
        <v>8875.0</v>
      </c>
      <c r="O88" s="7" t="str">
        <f>VLOOKUP(N88, products, 2, FALSE)</f>
        <v>Meat</v>
      </c>
      <c r="P88" s="7" t="s">
        <v>264</v>
      </c>
      <c r="Q88" s="7">
        <v>691.0</v>
      </c>
      <c r="R88" s="17">
        <v>421.89</v>
      </c>
      <c r="S88" s="17">
        <v>364.69</v>
      </c>
      <c r="U88" s="18">
        <f t="shared" si="6"/>
        <v>291525.99</v>
      </c>
      <c r="V88" s="18">
        <f t="shared" si="7"/>
        <v>252000.79</v>
      </c>
      <c r="W88" s="19">
        <f t="shared" si="8"/>
        <v>39525.2</v>
      </c>
    </row>
    <row r="89">
      <c r="A89" s="7">
        <v>1.52505099E8</v>
      </c>
      <c r="B89" s="12">
        <v>41036.0</v>
      </c>
      <c r="C89" s="7">
        <f t="shared" si="1"/>
        <v>2012</v>
      </c>
      <c r="D89" s="14" t="str">
        <f t="shared" si="2"/>
        <v>05 - May</v>
      </c>
      <c r="E89" s="15" t="str">
        <f t="shared" si="3"/>
        <v>Mon</v>
      </c>
      <c r="F89" s="15">
        <f t="shared" si="4"/>
        <v>1</v>
      </c>
      <c r="G89" s="16">
        <v>41048.0</v>
      </c>
      <c r="H89" s="14">
        <f t="shared" si="5"/>
        <v>12</v>
      </c>
      <c r="I89" s="7" t="s">
        <v>232</v>
      </c>
      <c r="J89" s="7" t="s">
        <v>656</v>
      </c>
      <c r="K89" s="7" t="str">
        <f>VLOOKUP(J89,countries,2,false)</f>
        <v>San Marino</v>
      </c>
      <c r="L89" s="7" t="str">
        <f>VLOOKUP($J89,countries,5,false)</f>
        <v>Europe</v>
      </c>
      <c r="M89" s="7" t="str">
        <f>VLOOKUP($J89,countries,6,false)</f>
        <v>Southern Europe</v>
      </c>
      <c r="N89" s="7">
        <v>2455.0</v>
      </c>
      <c r="O89" s="7" t="str">
        <f>VLOOKUP(N89, products, 2, FALSE)</f>
        <v>Clothes</v>
      </c>
      <c r="P89" s="7" t="s">
        <v>334</v>
      </c>
      <c r="Q89" s="7">
        <v>8503.0</v>
      </c>
      <c r="R89" s="17">
        <v>109.28</v>
      </c>
      <c r="S89" s="17">
        <v>35.84</v>
      </c>
      <c r="U89" s="18">
        <f t="shared" si="6"/>
        <v>929207.84</v>
      </c>
      <c r="V89" s="18">
        <f t="shared" si="7"/>
        <v>304747.52</v>
      </c>
      <c r="W89" s="19">
        <f t="shared" si="8"/>
        <v>624460.32</v>
      </c>
    </row>
    <row r="90">
      <c r="A90" s="7">
        <v>1.52746713E8</v>
      </c>
      <c r="B90" s="12">
        <v>40300.0</v>
      </c>
      <c r="C90" s="7">
        <f t="shared" si="1"/>
        <v>2010</v>
      </c>
      <c r="D90" s="14" t="str">
        <f t="shared" si="2"/>
        <v>05 - May</v>
      </c>
      <c r="E90" s="15" t="str">
        <f t="shared" si="3"/>
        <v>Sun</v>
      </c>
      <c r="F90" s="15">
        <f t="shared" si="4"/>
        <v>7</v>
      </c>
      <c r="G90" s="16">
        <v>40306.0</v>
      </c>
      <c r="H90" s="14">
        <f t="shared" si="5"/>
        <v>6</v>
      </c>
      <c r="I90" s="7" t="s">
        <v>305</v>
      </c>
      <c r="J90" s="7" t="s">
        <v>146</v>
      </c>
      <c r="K90" s="7" t="str">
        <f>VLOOKUP(J90,countries,2,false)</f>
        <v>Bosnia and Herzegovina</v>
      </c>
      <c r="L90" s="7" t="str">
        <f>VLOOKUP($J90,countries,5,false)</f>
        <v>Europe</v>
      </c>
      <c r="M90" s="7" t="str">
        <f>VLOOKUP($J90,countries,6,false)</f>
        <v>Southern Europe</v>
      </c>
      <c r="N90" s="7">
        <v>8681.0</v>
      </c>
      <c r="O90" s="7" t="str">
        <f>VLOOKUP(N90, products, 2, FALSE)</f>
        <v>Office Supplies</v>
      </c>
      <c r="P90" s="7" t="s">
        <v>334</v>
      </c>
      <c r="Q90" s="7">
        <v>2.0</v>
      </c>
      <c r="R90" s="17">
        <v>651.21</v>
      </c>
      <c r="S90" s="17">
        <v>524.96</v>
      </c>
      <c r="U90" s="18">
        <f t="shared" si="6"/>
        <v>1302.42</v>
      </c>
      <c r="V90" s="18">
        <f t="shared" si="7"/>
        <v>1049.92</v>
      </c>
      <c r="W90" s="19">
        <f t="shared" si="8"/>
        <v>252.5</v>
      </c>
    </row>
    <row r="91">
      <c r="A91" s="7">
        <v>1.5397495E8</v>
      </c>
      <c r="B91" s="12">
        <v>40777.0</v>
      </c>
      <c r="C91" s="7">
        <f t="shared" si="1"/>
        <v>2011</v>
      </c>
      <c r="D91" s="14" t="str">
        <f t="shared" si="2"/>
        <v>08 - Aug</v>
      </c>
      <c r="E91" s="15" t="str">
        <f t="shared" si="3"/>
        <v>Mon</v>
      </c>
      <c r="F91" s="15">
        <f t="shared" si="4"/>
        <v>1</v>
      </c>
      <c r="G91" s="16">
        <v>40806.0</v>
      </c>
      <c r="H91" s="14">
        <f t="shared" si="5"/>
        <v>29</v>
      </c>
      <c r="I91" s="7" t="s">
        <v>364</v>
      </c>
      <c r="J91" s="7" t="s">
        <v>717</v>
      </c>
      <c r="K91" s="7" t="str">
        <f>VLOOKUP(J91,countries,2,false)</f>
        <v>Sweden</v>
      </c>
      <c r="L91" s="7" t="str">
        <f>VLOOKUP($J91,countries,5,false)</f>
        <v>Europe</v>
      </c>
      <c r="M91" s="7" t="str">
        <f>VLOOKUP($J91,countries,6,false)</f>
        <v>Northern Europe</v>
      </c>
      <c r="N91" s="7">
        <v>4594.0</v>
      </c>
      <c r="O91" s="7" t="str">
        <f>VLOOKUP(N91, products, 2, FALSE)</f>
        <v>Fruits</v>
      </c>
      <c r="P91" s="7" t="s">
        <v>334</v>
      </c>
      <c r="Q91" s="7">
        <v>3464.0</v>
      </c>
      <c r="R91" s="17">
        <v>9.33</v>
      </c>
      <c r="S91" s="17">
        <v>6.92</v>
      </c>
      <c r="U91" s="18">
        <f t="shared" si="6"/>
        <v>32319.12</v>
      </c>
      <c r="V91" s="18">
        <f t="shared" si="7"/>
        <v>23970.88</v>
      </c>
      <c r="W91" s="19">
        <f t="shared" si="8"/>
        <v>8348.24</v>
      </c>
    </row>
    <row r="92">
      <c r="A92" s="7">
        <v>1.55086886E8</v>
      </c>
      <c r="B92" s="12">
        <v>41667.0</v>
      </c>
      <c r="C92" s="7">
        <f t="shared" si="1"/>
        <v>2014</v>
      </c>
      <c r="D92" s="14" t="str">
        <f t="shared" si="2"/>
        <v>01 - Jan</v>
      </c>
      <c r="E92" s="15" t="str">
        <f t="shared" si="3"/>
        <v>Tue</v>
      </c>
      <c r="F92" s="15">
        <f t="shared" si="4"/>
        <v>2</v>
      </c>
      <c r="G92" s="16">
        <v>41675.0</v>
      </c>
      <c r="H92" s="14">
        <f t="shared" si="5"/>
        <v>8</v>
      </c>
      <c r="I92" s="7" t="s">
        <v>232</v>
      </c>
      <c r="J92" s="7" t="s">
        <v>685</v>
      </c>
      <c r="K92" s="7" t="str">
        <f>VLOOKUP(J92,countries,2,false)</f>
        <v>Slovenia</v>
      </c>
      <c r="L92" s="7" t="str">
        <f>VLOOKUP($J92,countries,5,false)</f>
        <v>Europe</v>
      </c>
      <c r="M92" s="7" t="str">
        <f>VLOOKUP($J92,countries,6,false)</f>
        <v>Southern Europe</v>
      </c>
      <c r="N92" s="7">
        <v>8293.0</v>
      </c>
      <c r="O92" s="7" t="str">
        <f>VLOOKUP(N92, products, 2, FALSE)</f>
        <v>Cosmetics</v>
      </c>
      <c r="P92" s="7" t="s">
        <v>334</v>
      </c>
      <c r="Q92" s="7">
        <v>2511.0</v>
      </c>
      <c r="R92" s="17">
        <v>437.2</v>
      </c>
      <c r="S92" s="17">
        <v>263.33</v>
      </c>
      <c r="U92" s="18">
        <f t="shared" si="6"/>
        <v>1097809.2</v>
      </c>
      <c r="V92" s="18">
        <f t="shared" si="7"/>
        <v>661221.63</v>
      </c>
      <c r="W92" s="19">
        <f t="shared" si="8"/>
        <v>436587.57</v>
      </c>
    </row>
    <row r="93">
      <c r="A93" s="7">
        <v>1.55914723E8</v>
      </c>
      <c r="B93" s="12">
        <v>42075.0</v>
      </c>
      <c r="C93" s="7">
        <f t="shared" si="1"/>
        <v>2015</v>
      </c>
      <c r="D93" s="14" t="str">
        <f t="shared" si="2"/>
        <v>03 - Mar</v>
      </c>
      <c r="E93" s="15" t="str">
        <f t="shared" si="3"/>
        <v>Thu</v>
      </c>
      <c r="F93" s="15">
        <f t="shared" si="4"/>
        <v>4</v>
      </c>
      <c r="G93" s="16">
        <v>42092.0</v>
      </c>
      <c r="H93" s="14">
        <f t="shared" si="5"/>
        <v>17</v>
      </c>
      <c r="I93" s="7" t="s">
        <v>399</v>
      </c>
      <c r="J93" s="7" t="s">
        <v>396</v>
      </c>
      <c r="K93" s="7" t="str">
        <f>VLOOKUP(J93,countries,2,false)</f>
        <v>Ireland</v>
      </c>
      <c r="L93" s="7" t="str">
        <f>VLOOKUP($J93,countries,5,false)</f>
        <v>Europe</v>
      </c>
      <c r="M93" s="7" t="str">
        <f>VLOOKUP($J93,countries,6,false)</f>
        <v>Northern Europe</v>
      </c>
      <c r="N93" s="7">
        <v>4594.0</v>
      </c>
      <c r="O93" s="7" t="str">
        <f>VLOOKUP(N93, products, 2, FALSE)</f>
        <v>Fruits</v>
      </c>
      <c r="P93" s="7" t="s">
        <v>334</v>
      </c>
      <c r="Q93" s="7">
        <v>7486.0</v>
      </c>
      <c r="R93" s="17">
        <v>9.33</v>
      </c>
      <c r="S93" s="17">
        <v>6.92</v>
      </c>
      <c r="U93" s="18">
        <f t="shared" si="6"/>
        <v>69844.38</v>
      </c>
      <c r="V93" s="18">
        <f t="shared" si="7"/>
        <v>51803.12</v>
      </c>
      <c r="W93" s="19">
        <f t="shared" si="8"/>
        <v>18041.26</v>
      </c>
    </row>
    <row r="94">
      <c r="A94" s="7">
        <v>1.56158483E8</v>
      </c>
      <c r="B94" s="12">
        <v>42547.0</v>
      </c>
      <c r="C94" s="7">
        <f t="shared" si="1"/>
        <v>2016</v>
      </c>
      <c r="D94" s="14" t="str">
        <f t="shared" si="2"/>
        <v>06 - Jun</v>
      </c>
      <c r="E94" s="15" t="str">
        <f t="shared" si="3"/>
        <v>Sun</v>
      </c>
      <c r="F94" s="15">
        <f t="shared" si="4"/>
        <v>7</v>
      </c>
      <c r="G94" s="16">
        <v>42587.0</v>
      </c>
      <c r="H94" s="14">
        <f t="shared" si="5"/>
        <v>40</v>
      </c>
      <c r="I94" s="7" t="s">
        <v>305</v>
      </c>
      <c r="J94" s="7" t="s">
        <v>465</v>
      </c>
      <c r="K94" s="7" t="str">
        <f>VLOOKUP(J94,countries,2,false)</f>
        <v>Lithuania</v>
      </c>
      <c r="L94" s="7" t="str">
        <f>VLOOKUP($J94,countries,5,false)</f>
        <v>Europe</v>
      </c>
      <c r="M94" s="7" t="str">
        <f>VLOOKUP($J94,countries,6,false)</f>
        <v>Northern Europe</v>
      </c>
      <c r="N94" s="7">
        <v>2455.0</v>
      </c>
      <c r="O94" s="7" t="str">
        <f>VLOOKUP(N94, products, 2, FALSE)</f>
        <v>Clothes</v>
      </c>
      <c r="P94" s="7" t="s">
        <v>334</v>
      </c>
      <c r="Q94" s="7">
        <v>9620.0</v>
      </c>
      <c r="R94" s="17">
        <v>109.28</v>
      </c>
      <c r="S94" s="17">
        <v>35.84</v>
      </c>
      <c r="U94" s="18">
        <f t="shared" si="6"/>
        <v>1051273.6</v>
      </c>
      <c r="V94" s="18">
        <f t="shared" si="7"/>
        <v>344780.8</v>
      </c>
      <c r="W94" s="19">
        <f t="shared" si="8"/>
        <v>706492.8</v>
      </c>
    </row>
    <row r="95">
      <c r="A95" s="7">
        <v>1.58479773E8</v>
      </c>
      <c r="B95" s="12">
        <v>42143.0</v>
      </c>
      <c r="C95" s="7">
        <f t="shared" si="1"/>
        <v>2015</v>
      </c>
      <c r="D95" s="14" t="str">
        <f t="shared" si="2"/>
        <v>05 - May</v>
      </c>
      <c r="E95" s="15" t="str">
        <f t="shared" si="3"/>
        <v>Tue</v>
      </c>
      <c r="F95" s="15">
        <f t="shared" si="4"/>
        <v>2</v>
      </c>
      <c r="G95" s="16">
        <v>42173.0</v>
      </c>
      <c r="H95" s="14">
        <f t="shared" si="5"/>
        <v>30</v>
      </c>
      <c r="I95" s="7" t="s">
        <v>364</v>
      </c>
      <c r="J95" s="7" t="s">
        <v>626</v>
      </c>
      <c r="K95" s="7" t="str">
        <f>VLOOKUP(J95,countries,2,false)</f>
        <v>Russia</v>
      </c>
      <c r="L95" s="7" t="str">
        <f>VLOOKUP($J95,countries,5,false)</f>
        <v>Europe</v>
      </c>
      <c r="M95" s="7" t="str">
        <f>VLOOKUP($J95,countries,6,false)</f>
        <v>Eastern Europe</v>
      </c>
      <c r="N95" s="7">
        <v>7331.0</v>
      </c>
      <c r="O95" s="7" t="str">
        <f>VLOOKUP(N95, products, 2, FALSE)</f>
        <v>Baby Food</v>
      </c>
      <c r="P95" s="7" t="s">
        <v>334</v>
      </c>
      <c r="Q95" s="7">
        <v>6542.0</v>
      </c>
      <c r="R95" s="17">
        <v>255.28</v>
      </c>
      <c r="S95" s="17">
        <v>159.42</v>
      </c>
      <c r="U95" s="18">
        <f t="shared" si="6"/>
        <v>1670041.76</v>
      </c>
      <c r="V95" s="18">
        <f t="shared" si="7"/>
        <v>1042925.64</v>
      </c>
      <c r="W95" s="19">
        <f t="shared" si="8"/>
        <v>627116.12</v>
      </c>
    </row>
    <row r="96">
      <c r="A96" s="7">
        <v>1.58673751E8</v>
      </c>
      <c r="B96" s="12">
        <v>41720.0</v>
      </c>
      <c r="C96" s="7">
        <f t="shared" si="1"/>
        <v>2014</v>
      </c>
      <c r="D96" s="14" t="str">
        <f t="shared" si="2"/>
        <v>03 - Mar</v>
      </c>
      <c r="E96" s="15" t="str">
        <f t="shared" si="3"/>
        <v>Sat</v>
      </c>
      <c r="F96" s="15">
        <f t="shared" si="4"/>
        <v>6</v>
      </c>
      <c r="G96" s="16">
        <v>41769.0</v>
      </c>
      <c r="H96" s="14">
        <f t="shared" si="5"/>
        <v>49</v>
      </c>
      <c r="I96" s="7" t="s">
        <v>399</v>
      </c>
      <c r="J96" s="7" t="s">
        <v>319</v>
      </c>
      <c r="K96" s="7" t="str">
        <f>VLOOKUP(J96,countries,2,false)</f>
        <v>Germany</v>
      </c>
      <c r="L96" s="7" t="str">
        <f>VLOOKUP($J96,countries,5,false)</f>
        <v>Europe</v>
      </c>
      <c r="M96" s="7" t="str">
        <f>VLOOKUP($J96,countries,6,false)</f>
        <v>Western Europe</v>
      </c>
      <c r="N96" s="7">
        <v>8969.0</v>
      </c>
      <c r="O96" s="7" t="str">
        <f>VLOOKUP(N96, products, 2, FALSE)</f>
        <v>Snacks</v>
      </c>
      <c r="P96" s="7" t="s">
        <v>264</v>
      </c>
      <c r="Q96" s="7">
        <v>3944.0</v>
      </c>
      <c r="R96" s="17">
        <v>152.58</v>
      </c>
      <c r="S96" s="17">
        <v>97.44</v>
      </c>
      <c r="U96" s="18">
        <f t="shared" si="6"/>
        <v>601775.52</v>
      </c>
      <c r="V96" s="18">
        <f t="shared" si="7"/>
        <v>384303.36</v>
      </c>
      <c r="W96" s="19">
        <f t="shared" si="8"/>
        <v>217472.16</v>
      </c>
    </row>
    <row r="97">
      <c r="A97" s="7">
        <v>1.59232509E8</v>
      </c>
      <c r="B97" s="12">
        <v>41798.0</v>
      </c>
      <c r="C97" s="7">
        <f t="shared" si="1"/>
        <v>2014</v>
      </c>
      <c r="D97" s="14" t="str">
        <f t="shared" si="2"/>
        <v>06 - Jun</v>
      </c>
      <c r="E97" s="15" t="str">
        <f t="shared" si="3"/>
        <v>Sun</v>
      </c>
      <c r="F97" s="15">
        <f t="shared" si="4"/>
        <v>7</v>
      </c>
      <c r="G97" s="16">
        <v>41834.0</v>
      </c>
      <c r="H97" s="14">
        <f t="shared" si="5"/>
        <v>36</v>
      </c>
      <c r="I97" s="7" t="s">
        <v>399</v>
      </c>
      <c r="J97" s="7" t="s">
        <v>720</v>
      </c>
      <c r="K97" s="7" t="str">
        <f>VLOOKUP(J97,countries,2,false)</f>
        <v>Switzerland</v>
      </c>
      <c r="L97" s="7" t="str">
        <f>VLOOKUP($J97,countries,5,false)</f>
        <v>Europe</v>
      </c>
      <c r="M97" s="7" t="str">
        <f>VLOOKUP($J97,countries,6,false)</f>
        <v>Western Europe</v>
      </c>
      <c r="N97" s="7">
        <v>4594.0</v>
      </c>
      <c r="O97" s="7" t="str">
        <f>VLOOKUP(N97, products, 2, FALSE)</f>
        <v>Fruits</v>
      </c>
      <c r="P97" s="7" t="s">
        <v>264</v>
      </c>
      <c r="Q97" s="7">
        <v>9293.0</v>
      </c>
      <c r="R97" s="17">
        <v>9.33</v>
      </c>
      <c r="S97" s="17">
        <v>6.92</v>
      </c>
      <c r="U97" s="18">
        <f t="shared" si="6"/>
        <v>86703.69</v>
      </c>
      <c r="V97" s="18">
        <f t="shared" si="7"/>
        <v>64307.56</v>
      </c>
      <c r="W97" s="19">
        <f t="shared" si="8"/>
        <v>22396.13</v>
      </c>
    </row>
    <row r="98">
      <c r="A98" s="7">
        <v>1.59805858E8</v>
      </c>
      <c r="B98" s="12">
        <v>41232.0</v>
      </c>
      <c r="C98" s="7">
        <f t="shared" si="1"/>
        <v>2012</v>
      </c>
      <c r="D98" s="14" t="str">
        <f t="shared" si="2"/>
        <v>11 - Nov</v>
      </c>
      <c r="E98" s="15" t="str">
        <f t="shared" si="3"/>
        <v>Mon</v>
      </c>
      <c r="F98" s="15">
        <f t="shared" si="4"/>
        <v>1</v>
      </c>
      <c r="G98" s="16">
        <v>41260.0</v>
      </c>
      <c r="H98" s="14">
        <f t="shared" si="5"/>
        <v>28</v>
      </c>
      <c r="I98" s="7" t="s">
        <v>232</v>
      </c>
      <c r="J98" s="7" t="s">
        <v>348</v>
      </c>
      <c r="K98" s="7" t="s">
        <v>348</v>
      </c>
      <c r="L98" s="7" t="s">
        <v>348</v>
      </c>
      <c r="M98" s="7" t="s">
        <v>348</v>
      </c>
      <c r="N98" s="7">
        <v>8875.0</v>
      </c>
      <c r="O98" s="7" t="str">
        <f>VLOOKUP(N98, products, 2, FALSE)</f>
        <v>Meat</v>
      </c>
      <c r="P98" s="7" t="s">
        <v>334</v>
      </c>
      <c r="Q98" s="7">
        <v>8959.0</v>
      </c>
      <c r="R98" s="17">
        <v>421.89</v>
      </c>
      <c r="S98" s="17">
        <v>364.69</v>
      </c>
      <c r="U98" s="18">
        <f t="shared" si="6"/>
        <v>3779712.51</v>
      </c>
      <c r="V98" s="18">
        <f t="shared" si="7"/>
        <v>3267257.71</v>
      </c>
      <c r="W98" s="19">
        <f t="shared" si="8"/>
        <v>512454.8</v>
      </c>
    </row>
    <row r="99">
      <c r="A99" s="7">
        <v>1.60578763E8</v>
      </c>
      <c r="B99" s="12">
        <v>42274.0</v>
      </c>
      <c r="C99" s="7">
        <f t="shared" si="1"/>
        <v>2015</v>
      </c>
      <c r="D99" s="14" t="str">
        <f t="shared" si="2"/>
        <v>09 - Sep</v>
      </c>
      <c r="E99" s="15" t="str">
        <f t="shared" si="3"/>
        <v>Sun</v>
      </c>
      <c r="F99" s="15">
        <f t="shared" si="4"/>
        <v>7</v>
      </c>
      <c r="G99" s="16">
        <v>42307.0</v>
      </c>
      <c r="H99" s="14">
        <f t="shared" si="5"/>
        <v>33</v>
      </c>
      <c r="I99" s="7" t="s">
        <v>364</v>
      </c>
      <c r="J99" s="7" t="s">
        <v>623</v>
      </c>
      <c r="K99" s="7" t="str">
        <f>VLOOKUP(J99,countries,2,false)</f>
        <v>Romania</v>
      </c>
      <c r="L99" s="7" t="str">
        <f>VLOOKUP($J99,countries,5,false)</f>
        <v>Europe</v>
      </c>
      <c r="M99" s="7" t="str">
        <f>VLOOKUP($J99,countries,6,false)</f>
        <v>Eastern Europe</v>
      </c>
      <c r="N99" s="7">
        <v>8681.0</v>
      </c>
      <c r="O99" s="7" t="str">
        <f>VLOOKUP(N99, products, 2, FALSE)</f>
        <v>Office Supplies</v>
      </c>
      <c r="P99" s="7" t="s">
        <v>264</v>
      </c>
      <c r="Q99" s="7">
        <v>7679.0</v>
      </c>
      <c r="R99" s="17">
        <v>651.21</v>
      </c>
      <c r="S99" s="17">
        <v>524.96</v>
      </c>
      <c r="U99" s="18">
        <f t="shared" si="6"/>
        <v>5000641.59</v>
      </c>
      <c r="V99" s="18">
        <f t="shared" si="7"/>
        <v>4031167.84</v>
      </c>
      <c r="W99" s="19">
        <f t="shared" si="8"/>
        <v>969473.75</v>
      </c>
    </row>
    <row r="100">
      <c r="A100" s="7">
        <v>1.60751283E8</v>
      </c>
      <c r="B100" s="12">
        <v>40845.0</v>
      </c>
      <c r="C100" s="7">
        <f t="shared" si="1"/>
        <v>2011</v>
      </c>
      <c r="D100" s="14" t="str">
        <f t="shared" si="2"/>
        <v>10 - Oct</v>
      </c>
      <c r="E100" s="15" t="str">
        <f t="shared" si="3"/>
        <v>Sat</v>
      </c>
      <c r="F100" s="15">
        <f t="shared" si="4"/>
        <v>6</v>
      </c>
      <c r="G100" s="16">
        <v>40860.0</v>
      </c>
      <c r="H100" s="14">
        <f t="shared" si="5"/>
        <v>15</v>
      </c>
      <c r="I100" s="7" t="s">
        <v>305</v>
      </c>
      <c r="J100" s="7" t="s">
        <v>447</v>
      </c>
      <c r="K100" s="7" t="str">
        <f>VLOOKUP(J100,countries,2,false)</f>
        <v>Latvia</v>
      </c>
      <c r="L100" s="7" t="str">
        <f>VLOOKUP($J100,countries,5,false)</f>
        <v>Europe</v>
      </c>
      <c r="M100" s="7" t="str">
        <f>VLOOKUP($J100,countries,6,false)</f>
        <v>Northern Europe</v>
      </c>
      <c r="N100" s="7">
        <v>3127.0</v>
      </c>
      <c r="O100" s="7" t="str">
        <f>VLOOKUP(N100, products, 2, FALSE)</f>
        <v>Personal Care</v>
      </c>
      <c r="P100" s="7" t="s">
        <v>334</v>
      </c>
      <c r="Q100" s="7">
        <v>8732.0</v>
      </c>
      <c r="R100" s="17">
        <v>81.73</v>
      </c>
      <c r="S100" s="17">
        <v>56.67</v>
      </c>
      <c r="U100" s="18">
        <f t="shared" si="6"/>
        <v>713666.36</v>
      </c>
      <c r="V100" s="18">
        <f t="shared" si="7"/>
        <v>494842.44</v>
      </c>
      <c r="W100" s="19">
        <f t="shared" si="8"/>
        <v>218823.92</v>
      </c>
    </row>
    <row r="101">
      <c r="A101" s="7">
        <v>1.61399304E8</v>
      </c>
      <c r="B101" s="12">
        <v>40238.0</v>
      </c>
      <c r="C101" s="7">
        <f t="shared" si="1"/>
        <v>2010</v>
      </c>
      <c r="D101" s="14" t="str">
        <f t="shared" si="2"/>
        <v>03 - Mar</v>
      </c>
      <c r="E101" s="15" t="str">
        <f t="shared" si="3"/>
        <v>Mon</v>
      </c>
      <c r="F101" s="15">
        <f t="shared" si="4"/>
        <v>1</v>
      </c>
      <c r="G101" s="16">
        <v>40252.0</v>
      </c>
      <c r="H101" s="14">
        <f t="shared" si="5"/>
        <v>14</v>
      </c>
      <c r="I101" s="7" t="s">
        <v>364</v>
      </c>
      <c r="J101" s="7" t="s">
        <v>435</v>
      </c>
      <c r="K101" s="7" t="str">
        <f>VLOOKUP(J101,countries,2,false)</f>
        <v>Slovakia</v>
      </c>
      <c r="L101" s="7" t="str">
        <f>VLOOKUP($J101,countries,5,false)</f>
        <v>Europe</v>
      </c>
      <c r="M101" s="7" t="str">
        <f>VLOOKUP($J101,countries,6,false)</f>
        <v>Eastern Europe</v>
      </c>
      <c r="N101" s="7">
        <v>8293.0</v>
      </c>
      <c r="O101" s="7" t="str">
        <f>VLOOKUP(N101, products, 2, FALSE)</f>
        <v>Cosmetics</v>
      </c>
      <c r="P101" s="7" t="s">
        <v>834</v>
      </c>
      <c r="Q101" s="7">
        <v>496.0</v>
      </c>
      <c r="R101" s="17">
        <v>437.2</v>
      </c>
      <c r="S101" s="17">
        <v>263.33</v>
      </c>
      <c r="U101" s="18">
        <f t="shared" si="6"/>
        <v>216851.2</v>
      </c>
      <c r="V101" s="18">
        <f t="shared" si="7"/>
        <v>130611.68</v>
      </c>
      <c r="W101" s="19">
        <f t="shared" si="8"/>
        <v>86239.52</v>
      </c>
    </row>
    <row r="102">
      <c r="A102" s="7">
        <v>1.61607444E8</v>
      </c>
      <c r="B102" s="12">
        <v>41143.0</v>
      </c>
      <c r="C102" s="7">
        <f t="shared" si="1"/>
        <v>2012</v>
      </c>
      <c r="D102" s="14" t="str">
        <f t="shared" si="2"/>
        <v>08 - Aug</v>
      </c>
      <c r="E102" s="15" t="str">
        <f t="shared" si="3"/>
        <v>Wed</v>
      </c>
      <c r="F102" s="15">
        <f t="shared" si="4"/>
        <v>3</v>
      </c>
      <c r="G102" s="16">
        <v>41185.0</v>
      </c>
      <c r="H102" s="14">
        <f t="shared" si="5"/>
        <v>42</v>
      </c>
      <c r="I102" s="7" t="s">
        <v>364</v>
      </c>
      <c r="J102" s="7" t="s">
        <v>623</v>
      </c>
      <c r="K102" s="7" t="str">
        <f>VLOOKUP(J102,countries,2,false)</f>
        <v>Romania</v>
      </c>
      <c r="L102" s="7" t="str">
        <f>VLOOKUP($J102,countries,5,false)</f>
        <v>Europe</v>
      </c>
      <c r="M102" s="7" t="str">
        <f>VLOOKUP($J102,countries,6,false)</f>
        <v>Eastern Europe</v>
      </c>
      <c r="N102" s="7">
        <v>8875.0</v>
      </c>
      <c r="O102" s="7" t="str">
        <f>VLOOKUP(N102, products, 2, FALSE)</f>
        <v>Meat</v>
      </c>
      <c r="P102" s="7" t="s">
        <v>334</v>
      </c>
      <c r="Q102" s="7">
        <v>2089.0</v>
      </c>
      <c r="R102" s="17">
        <v>421.89</v>
      </c>
      <c r="S102" s="17">
        <v>364.69</v>
      </c>
      <c r="U102" s="18">
        <f t="shared" si="6"/>
        <v>881328.21</v>
      </c>
      <c r="V102" s="18">
        <f t="shared" si="7"/>
        <v>761837.41</v>
      </c>
      <c r="W102" s="19">
        <f t="shared" si="8"/>
        <v>119490.8</v>
      </c>
    </row>
    <row r="103">
      <c r="A103" s="7">
        <v>1.6181215E8</v>
      </c>
      <c r="B103" s="12">
        <v>41222.0</v>
      </c>
      <c r="C103" s="7">
        <f t="shared" si="1"/>
        <v>2012</v>
      </c>
      <c r="D103" s="14" t="str">
        <f t="shared" si="2"/>
        <v>11 - Nov</v>
      </c>
      <c r="E103" s="15" t="str">
        <f t="shared" si="3"/>
        <v>Fri</v>
      </c>
      <c r="F103" s="15">
        <f t="shared" si="4"/>
        <v>5</v>
      </c>
      <c r="G103" s="16">
        <v>41225.0</v>
      </c>
      <c r="H103" s="14">
        <f t="shared" si="5"/>
        <v>3</v>
      </c>
      <c r="I103" s="7" t="s">
        <v>305</v>
      </c>
      <c r="J103" s="7" t="s">
        <v>246</v>
      </c>
      <c r="K103" s="7" t="str">
        <f>VLOOKUP(J103,countries,2,false)</f>
        <v>Denmark</v>
      </c>
      <c r="L103" s="7" t="str">
        <f>VLOOKUP($J103,countries,5,false)</f>
        <v>Europe</v>
      </c>
      <c r="M103" s="7" t="str">
        <f>VLOOKUP($J103,countries,6,false)</f>
        <v>Northern Europe</v>
      </c>
      <c r="N103" s="7">
        <v>2455.0</v>
      </c>
      <c r="O103" s="7" t="str">
        <f>VLOOKUP(N103, products, 2, FALSE)</f>
        <v>Clothes</v>
      </c>
      <c r="P103" s="7" t="s">
        <v>264</v>
      </c>
      <c r="Q103" s="7">
        <v>2666.0</v>
      </c>
      <c r="R103" s="17">
        <v>109.28</v>
      </c>
      <c r="S103" s="17">
        <v>35.84</v>
      </c>
      <c r="U103" s="18">
        <f t="shared" si="6"/>
        <v>291340.48</v>
      </c>
      <c r="V103" s="18">
        <f t="shared" si="7"/>
        <v>95549.44</v>
      </c>
      <c r="W103" s="19">
        <f t="shared" si="8"/>
        <v>195791.04</v>
      </c>
    </row>
    <row r="104">
      <c r="A104" s="7">
        <v>1.62791907E8</v>
      </c>
      <c r="B104" s="12">
        <v>40785.0</v>
      </c>
      <c r="C104" s="7">
        <f t="shared" si="1"/>
        <v>2011</v>
      </c>
      <c r="D104" s="14" t="str">
        <f t="shared" si="2"/>
        <v>08 - Aug</v>
      </c>
      <c r="E104" s="15" t="str">
        <f t="shared" si="3"/>
        <v>Tue</v>
      </c>
      <c r="F104" s="15">
        <f t="shared" si="4"/>
        <v>2</v>
      </c>
      <c r="G104" s="16">
        <v>40835.0</v>
      </c>
      <c r="H104" s="14">
        <f t="shared" si="5"/>
        <v>50</v>
      </c>
      <c r="I104" s="7" t="s">
        <v>232</v>
      </c>
      <c r="J104" s="7" t="s">
        <v>626</v>
      </c>
      <c r="K104" s="7" t="str">
        <f>VLOOKUP(J104,countries,2,false)</f>
        <v>Russia</v>
      </c>
      <c r="L104" s="7" t="str">
        <f>VLOOKUP($J104,countries,5,false)</f>
        <v>Europe</v>
      </c>
      <c r="M104" s="7" t="str">
        <f>VLOOKUP($J104,countries,6,false)</f>
        <v>Eastern Europe</v>
      </c>
      <c r="N104" s="7">
        <v>1270.0</v>
      </c>
      <c r="O104" s="7" t="str">
        <f>VLOOKUP(N104, products, 2, FALSE)</f>
        <v>Beverages</v>
      </c>
      <c r="P104" s="7" t="s">
        <v>334</v>
      </c>
      <c r="Q104" s="7">
        <v>2598.0</v>
      </c>
      <c r="R104" s="17">
        <v>47.45</v>
      </c>
      <c r="S104" s="17">
        <v>31.79</v>
      </c>
      <c r="U104" s="18">
        <f t="shared" si="6"/>
        <v>123275.1</v>
      </c>
      <c r="V104" s="18">
        <f t="shared" si="7"/>
        <v>82590.42</v>
      </c>
      <c r="W104" s="19">
        <f t="shared" si="8"/>
        <v>40684.68</v>
      </c>
    </row>
    <row r="105">
      <c r="A105" s="7">
        <v>1.63587558E8</v>
      </c>
      <c r="B105" s="12">
        <v>42451.0</v>
      </c>
      <c r="C105" s="7">
        <f t="shared" si="1"/>
        <v>2016</v>
      </c>
      <c r="D105" s="14" t="str">
        <f t="shared" si="2"/>
        <v>03 - Mar</v>
      </c>
      <c r="E105" s="15" t="str">
        <f t="shared" si="3"/>
        <v>Tue</v>
      </c>
      <c r="F105" s="15">
        <f t="shared" si="4"/>
        <v>2</v>
      </c>
      <c r="G105" s="16">
        <v>42479.0</v>
      </c>
      <c r="H105" s="14">
        <f t="shared" si="5"/>
        <v>28</v>
      </c>
      <c r="I105" s="7" t="s">
        <v>232</v>
      </c>
      <c r="J105" s="7" t="s">
        <v>570</v>
      </c>
      <c r="K105" s="7" t="str">
        <f>VLOOKUP(J105,countries,2,false)</f>
        <v>Macedonia</v>
      </c>
      <c r="L105" s="7" t="str">
        <f>VLOOKUP($J105,countries,5,false)</f>
        <v>Europe</v>
      </c>
      <c r="M105" s="7" t="str">
        <f>VLOOKUP($J105,countries,6,false)</f>
        <v>Southern Europe</v>
      </c>
      <c r="N105" s="7">
        <v>8969.0</v>
      </c>
      <c r="O105" s="7" t="str">
        <f>VLOOKUP(N105, products, 2, FALSE)</f>
        <v>Snacks</v>
      </c>
      <c r="P105" s="7" t="s">
        <v>334</v>
      </c>
      <c r="Q105" s="7">
        <v>8048.0</v>
      </c>
      <c r="R105" s="17">
        <v>152.58</v>
      </c>
      <c r="S105" s="17">
        <v>97.44</v>
      </c>
      <c r="U105" s="18">
        <f t="shared" si="6"/>
        <v>1227963.84</v>
      </c>
      <c r="V105" s="18">
        <f t="shared" si="7"/>
        <v>784197.12</v>
      </c>
      <c r="W105" s="19">
        <f t="shared" si="8"/>
        <v>443766.72</v>
      </c>
    </row>
    <row r="106">
      <c r="A106" s="7">
        <v>1.63744628E8</v>
      </c>
      <c r="B106" s="12">
        <v>42842.0</v>
      </c>
      <c r="C106" s="7">
        <f t="shared" si="1"/>
        <v>2017</v>
      </c>
      <c r="D106" s="14" t="str">
        <f t="shared" si="2"/>
        <v>04 - Apr</v>
      </c>
      <c r="E106" s="15" t="str">
        <f t="shared" si="3"/>
        <v>Mon</v>
      </c>
      <c r="F106" s="15">
        <f t="shared" si="4"/>
        <v>1</v>
      </c>
      <c r="G106" s="16">
        <v>42856.0</v>
      </c>
      <c r="H106" s="14">
        <f t="shared" si="5"/>
        <v>14</v>
      </c>
      <c r="I106" s="7" t="s">
        <v>364</v>
      </c>
      <c r="J106" s="7" t="s">
        <v>293</v>
      </c>
      <c r="K106" s="7" t="str">
        <f>VLOOKUP(J106,countries,2,false)</f>
        <v>Finland</v>
      </c>
      <c r="L106" s="7" t="str">
        <f>VLOOKUP($J106,countries,5,false)</f>
        <v>Europe</v>
      </c>
      <c r="M106" s="7" t="str">
        <f>VLOOKUP($J106,countries,6,false)</f>
        <v>Northern Europe</v>
      </c>
      <c r="N106" s="7">
        <v>8681.0</v>
      </c>
      <c r="O106" s="7" t="str">
        <f>VLOOKUP(N106, products, 2, FALSE)</f>
        <v>Office Supplies</v>
      </c>
      <c r="P106" s="7" t="s">
        <v>334</v>
      </c>
      <c r="Q106" s="7">
        <v>4529.0</v>
      </c>
      <c r="R106" s="17">
        <v>651.21</v>
      </c>
      <c r="S106" s="17">
        <v>524.96</v>
      </c>
      <c r="U106" s="18">
        <f t="shared" si="6"/>
        <v>2949330.09</v>
      </c>
      <c r="V106" s="18">
        <f t="shared" si="7"/>
        <v>2377543.84</v>
      </c>
      <c r="W106" s="19">
        <f t="shared" si="8"/>
        <v>571786.25</v>
      </c>
    </row>
    <row r="107">
      <c r="A107" s="7">
        <v>1.64259612E8</v>
      </c>
      <c r="B107" s="12">
        <v>42085.0</v>
      </c>
      <c r="C107" s="7">
        <f t="shared" si="1"/>
        <v>2015</v>
      </c>
      <c r="D107" s="14" t="str">
        <f t="shared" si="2"/>
        <v>03 - Mar</v>
      </c>
      <c r="E107" s="15" t="str">
        <f t="shared" si="3"/>
        <v>Sun</v>
      </c>
      <c r="F107" s="15">
        <f t="shared" si="4"/>
        <v>7</v>
      </c>
      <c r="G107" s="16">
        <v>42123.0</v>
      </c>
      <c r="H107" s="14">
        <f t="shared" si="5"/>
        <v>38</v>
      </c>
      <c r="I107" s="7" t="s">
        <v>232</v>
      </c>
      <c r="J107" s="7" t="s">
        <v>124</v>
      </c>
      <c r="K107" s="7" t="str">
        <f>VLOOKUP(J107,countries,2,false)</f>
        <v>Belgium</v>
      </c>
      <c r="L107" s="7" t="str">
        <f>VLOOKUP($J107,countries,5,false)</f>
        <v>Europe</v>
      </c>
      <c r="M107" s="7" t="str">
        <f>VLOOKUP($J107,countries,6,false)</f>
        <v>Western Europe</v>
      </c>
      <c r="N107" s="7">
        <v>8875.0</v>
      </c>
      <c r="O107" s="7" t="str">
        <f>VLOOKUP(N107, products, 2, FALSE)</f>
        <v>Meat</v>
      </c>
      <c r="P107" s="7" t="s">
        <v>334</v>
      </c>
      <c r="Q107" s="7">
        <v>6924.0</v>
      </c>
      <c r="R107" s="17">
        <v>421.89</v>
      </c>
      <c r="S107" s="17">
        <v>364.69</v>
      </c>
      <c r="U107" s="18">
        <f t="shared" si="6"/>
        <v>2921166.36</v>
      </c>
      <c r="V107" s="18">
        <f t="shared" si="7"/>
        <v>2525113.56</v>
      </c>
      <c r="W107" s="19">
        <f t="shared" si="8"/>
        <v>396052.8</v>
      </c>
    </row>
    <row r="108">
      <c r="A108" s="7">
        <v>1.668105E8</v>
      </c>
      <c r="B108" s="12">
        <v>40826.0</v>
      </c>
      <c r="C108" s="7">
        <f t="shared" si="1"/>
        <v>2011</v>
      </c>
      <c r="D108" s="14" t="str">
        <f t="shared" si="2"/>
        <v>10 - Oct</v>
      </c>
      <c r="E108" s="15" t="str">
        <f t="shared" si="3"/>
        <v>Mon</v>
      </c>
      <c r="F108" s="15">
        <f t="shared" si="4"/>
        <v>1</v>
      </c>
      <c r="G108" s="16">
        <v>40868.0</v>
      </c>
      <c r="H108" s="14">
        <f t="shared" si="5"/>
        <v>42</v>
      </c>
      <c r="I108" s="7" t="s">
        <v>232</v>
      </c>
      <c r="J108" s="7" t="s">
        <v>146</v>
      </c>
      <c r="K108" s="7" t="str">
        <f>VLOOKUP(J108,countries,2,false)</f>
        <v>Bosnia and Herzegovina</v>
      </c>
      <c r="L108" s="7" t="str">
        <f>VLOOKUP($J108,countries,5,false)</f>
        <v>Europe</v>
      </c>
      <c r="M108" s="7" t="str">
        <f>VLOOKUP($J108,countries,6,false)</f>
        <v>Southern Europe</v>
      </c>
      <c r="N108" s="7">
        <v>2455.0</v>
      </c>
      <c r="O108" s="7" t="str">
        <f>VLOOKUP(N108, products, 2, FALSE)</f>
        <v>Clothes</v>
      </c>
      <c r="P108" s="7" t="s">
        <v>264</v>
      </c>
      <c r="Q108" s="7">
        <v>1789.0</v>
      </c>
      <c r="R108" s="17">
        <v>109.28</v>
      </c>
      <c r="S108" s="17">
        <v>35.84</v>
      </c>
      <c r="U108" s="18">
        <f t="shared" si="6"/>
        <v>195501.92</v>
      </c>
      <c r="V108" s="18">
        <f t="shared" si="7"/>
        <v>64117.76</v>
      </c>
      <c r="W108" s="19">
        <f t="shared" si="8"/>
        <v>131384.16</v>
      </c>
    </row>
    <row r="109">
      <c r="A109" s="7">
        <v>1.68319404E8</v>
      </c>
      <c r="B109" s="12">
        <v>40959.0</v>
      </c>
      <c r="C109" s="7">
        <f t="shared" si="1"/>
        <v>2012</v>
      </c>
      <c r="D109" s="14" t="str">
        <f t="shared" si="2"/>
        <v>02 - Feb</v>
      </c>
      <c r="E109" s="15" t="str">
        <f t="shared" si="3"/>
        <v>Mon</v>
      </c>
      <c r="F109" s="15">
        <f t="shared" si="4"/>
        <v>1</v>
      </c>
      <c r="G109" s="16">
        <v>40978.0</v>
      </c>
      <c r="H109" s="14">
        <f t="shared" si="5"/>
        <v>19</v>
      </c>
      <c r="I109" s="7" t="s">
        <v>399</v>
      </c>
      <c r="J109" s="7" t="s">
        <v>435</v>
      </c>
      <c r="K109" s="7" t="str">
        <f>VLOOKUP(J109,countries,2,false)</f>
        <v>Slovakia</v>
      </c>
      <c r="L109" s="7" t="str">
        <f>VLOOKUP($J109,countries,5,false)</f>
        <v>Europe</v>
      </c>
      <c r="M109" s="7" t="str">
        <f>VLOOKUP($J109,countries,6,false)</f>
        <v>Eastern Europe</v>
      </c>
      <c r="N109" s="7">
        <v>8681.0</v>
      </c>
      <c r="O109" s="7" t="str">
        <f>VLOOKUP(N109, products, 2, FALSE)</f>
        <v>Office Supplies</v>
      </c>
      <c r="P109" s="7" t="s">
        <v>264</v>
      </c>
      <c r="Q109" s="7">
        <v>8307.0</v>
      </c>
      <c r="R109" s="17">
        <v>651.21</v>
      </c>
      <c r="S109" s="17">
        <v>524.96</v>
      </c>
      <c r="U109" s="18">
        <f t="shared" si="6"/>
        <v>5409601.47</v>
      </c>
      <c r="V109" s="18">
        <f t="shared" si="7"/>
        <v>4360842.72</v>
      </c>
      <c r="W109" s="19">
        <f t="shared" si="8"/>
        <v>1048758.75</v>
      </c>
    </row>
    <row r="110">
      <c r="A110" s="7">
        <v>1.68487203E8</v>
      </c>
      <c r="B110" s="12">
        <v>41854.0</v>
      </c>
      <c r="C110" s="7">
        <f t="shared" si="1"/>
        <v>2014</v>
      </c>
      <c r="D110" s="14" t="str">
        <f t="shared" si="2"/>
        <v>08 - Aug</v>
      </c>
      <c r="E110" s="15" t="str">
        <f t="shared" si="3"/>
        <v>Sun</v>
      </c>
      <c r="F110" s="15">
        <f t="shared" si="4"/>
        <v>7</v>
      </c>
      <c r="G110" s="16">
        <v>41903.0</v>
      </c>
      <c r="H110" s="14">
        <f t="shared" si="5"/>
        <v>49</v>
      </c>
      <c r="I110" s="7" t="s">
        <v>399</v>
      </c>
      <c r="J110" s="7" t="s">
        <v>348</v>
      </c>
      <c r="K110" s="7" t="s">
        <v>348</v>
      </c>
      <c r="L110" s="7" t="s">
        <v>348</v>
      </c>
      <c r="M110" s="7" t="s">
        <v>348</v>
      </c>
      <c r="N110" s="7">
        <v>8681.0</v>
      </c>
      <c r="O110" s="7" t="str">
        <f>VLOOKUP(N110, products, 2, FALSE)</f>
        <v>Office Supplies</v>
      </c>
      <c r="P110" s="7" t="s">
        <v>334</v>
      </c>
      <c r="Q110" s="7">
        <v>7962.0</v>
      </c>
      <c r="R110" s="17">
        <v>651.21</v>
      </c>
      <c r="S110" s="17">
        <v>524.96</v>
      </c>
      <c r="U110" s="18">
        <f t="shared" si="6"/>
        <v>5184934.02</v>
      </c>
      <c r="V110" s="18">
        <f t="shared" si="7"/>
        <v>4179731.52</v>
      </c>
      <c r="W110" s="19">
        <f t="shared" si="8"/>
        <v>1005202.5</v>
      </c>
    </row>
    <row r="111">
      <c r="A111" s="7">
        <v>1.68960559E8</v>
      </c>
      <c r="B111" s="12">
        <v>41469.0</v>
      </c>
      <c r="C111" s="7">
        <f t="shared" si="1"/>
        <v>2013</v>
      </c>
      <c r="D111" s="14" t="str">
        <f t="shared" si="2"/>
        <v>07 - Jul</v>
      </c>
      <c r="E111" s="15" t="str">
        <f t="shared" si="3"/>
        <v>Sun</v>
      </c>
      <c r="F111" s="15">
        <f t="shared" si="4"/>
        <v>7</v>
      </c>
      <c r="G111" s="16">
        <v>41505.0</v>
      </c>
      <c r="H111" s="14">
        <f t="shared" si="5"/>
        <v>36</v>
      </c>
      <c r="I111" s="7" t="s">
        <v>399</v>
      </c>
      <c r="J111" s="7" t="s">
        <v>316</v>
      </c>
      <c r="K111" s="7" t="str">
        <f>VLOOKUP(J111,countries,2,false)</f>
        <v>Georgia</v>
      </c>
      <c r="L111" s="7" t="str">
        <f>VLOOKUP($J111,countries,5,false)</f>
        <v>Asia</v>
      </c>
      <c r="M111" s="7" t="str">
        <f>VLOOKUP($J111,countries,6,false)</f>
        <v>Western Asia</v>
      </c>
      <c r="N111" s="7">
        <v>7331.0</v>
      </c>
      <c r="O111" s="7" t="str">
        <f>VLOOKUP(N111, products, 2, FALSE)</f>
        <v>Baby Food</v>
      </c>
      <c r="P111" s="7" t="s">
        <v>264</v>
      </c>
      <c r="Q111" s="7">
        <v>8039.0</v>
      </c>
      <c r="R111" s="17">
        <v>255.28</v>
      </c>
      <c r="S111" s="17">
        <v>159.42</v>
      </c>
      <c r="U111" s="18">
        <f t="shared" si="6"/>
        <v>2052195.92</v>
      </c>
      <c r="V111" s="18">
        <f t="shared" si="7"/>
        <v>1281577.38</v>
      </c>
      <c r="W111" s="19">
        <f t="shared" si="8"/>
        <v>770618.54</v>
      </c>
    </row>
    <row r="112">
      <c r="A112" s="7">
        <v>1.68979442E8</v>
      </c>
      <c r="B112" s="12">
        <v>40473.0</v>
      </c>
      <c r="C112" s="7">
        <f t="shared" si="1"/>
        <v>2010</v>
      </c>
      <c r="D112" s="14" t="str">
        <f t="shared" si="2"/>
        <v>10 - Oct</v>
      </c>
      <c r="E112" s="15" t="str">
        <f t="shared" si="3"/>
        <v>Fri</v>
      </c>
      <c r="F112" s="15">
        <f t="shared" si="4"/>
        <v>5</v>
      </c>
      <c r="G112" s="16">
        <v>40522.0</v>
      </c>
      <c r="H112" s="14">
        <f t="shared" si="5"/>
        <v>49</v>
      </c>
      <c r="I112" s="7" t="s">
        <v>399</v>
      </c>
      <c r="J112" s="7" t="s">
        <v>656</v>
      </c>
      <c r="K112" s="7" t="str">
        <f>VLOOKUP(J112,countries,2,false)</f>
        <v>San Marino</v>
      </c>
      <c r="L112" s="7" t="str">
        <f>VLOOKUP($J112,countries,5,false)</f>
        <v>Europe</v>
      </c>
      <c r="M112" s="7" t="str">
        <f>VLOOKUP($J112,countries,6,false)</f>
        <v>Southern Europe</v>
      </c>
      <c r="N112" s="7">
        <v>8875.0</v>
      </c>
      <c r="O112" s="7" t="str">
        <f>VLOOKUP(N112, products, 2, FALSE)</f>
        <v>Meat</v>
      </c>
      <c r="P112" s="7" t="s">
        <v>264</v>
      </c>
      <c r="Q112" s="7">
        <v>3627.0</v>
      </c>
      <c r="R112" s="17">
        <v>421.89</v>
      </c>
      <c r="S112" s="17">
        <v>364.69</v>
      </c>
      <c r="U112" s="18">
        <f t="shared" si="6"/>
        <v>1530195.03</v>
      </c>
      <c r="V112" s="18">
        <f t="shared" si="7"/>
        <v>1322730.63</v>
      </c>
      <c r="W112" s="19">
        <f t="shared" si="8"/>
        <v>207464.4</v>
      </c>
    </row>
    <row r="113">
      <c r="A113" s="7">
        <v>1.69378983E8</v>
      </c>
      <c r="B113" s="12">
        <v>41719.0</v>
      </c>
      <c r="C113" s="7">
        <f t="shared" si="1"/>
        <v>2014</v>
      </c>
      <c r="D113" s="14" t="str">
        <f t="shared" si="2"/>
        <v>03 - Mar</v>
      </c>
      <c r="E113" s="15" t="str">
        <f t="shared" si="3"/>
        <v>Fri</v>
      </c>
      <c r="F113" s="15">
        <f t="shared" si="4"/>
        <v>5</v>
      </c>
      <c r="G113" s="16">
        <v>41739.0</v>
      </c>
      <c r="H113" s="14">
        <f t="shared" si="5"/>
        <v>20</v>
      </c>
      <c r="I113" s="7" t="s">
        <v>364</v>
      </c>
      <c r="J113" s="7" t="s">
        <v>720</v>
      </c>
      <c r="K113" s="7" t="str">
        <f>VLOOKUP(J113,countries,2,false)</f>
        <v>Switzerland</v>
      </c>
      <c r="L113" s="7" t="str">
        <f>VLOOKUP($J113,countries,5,false)</f>
        <v>Europe</v>
      </c>
      <c r="M113" s="7" t="str">
        <f>VLOOKUP($J113,countries,6,false)</f>
        <v>Western Europe</v>
      </c>
      <c r="N113" s="7">
        <v>8875.0</v>
      </c>
      <c r="O113" s="7" t="str">
        <f>VLOOKUP(N113, products, 2, FALSE)</f>
        <v>Meat</v>
      </c>
      <c r="P113" s="7" t="s">
        <v>264</v>
      </c>
      <c r="Q113" s="7">
        <v>1860.0</v>
      </c>
      <c r="R113" s="17">
        <v>421.89</v>
      </c>
      <c r="S113" s="17">
        <v>364.69</v>
      </c>
      <c r="U113" s="18">
        <f t="shared" si="6"/>
        <v>784715.4</v>
      </c>
      <c r="V113" s="18">
        <f t="shared" si="7"/>
        <v>678323.4</v>
      </c>
      <c r="W113" s="19">
        <f t="shared" si="8"/>
        <v>106392</v>
      </c>
    </row>
    <row r="114">
      <c r="A114" s="7">
        <v>1.69799983E8</v>
      </c>
      <c r="B114" s="12">
        <v>41204.0</v>
      </c>
      <c r="C114" s="7">
        <f t="shared" si="1"/>
        <v>2012</v>
      </c>
      <c r="D114" s="14" t="str">
        <f t="shared" si="2"/>
        <v>10 - Oct</v>
      </c>
      <c r="E114" s="15" t="str">
        <f t="shared" si="3"/>
        <v>Mon</v>
      </c>
      <c r="F114" s="15">
        <f t="shared" si="4"/>
        <v>1</v>
      </c>
      <c r="G114" s="16">
        <v>41233.0</v>
      </c>
      <c r="H114" s="14">
        <f t="shared" si="5"/>
        <v>29</v>
      </c>
      <c r="I114" s="7" t="s">
        <v>399</v>
      </c>
      <c r="J114" s="7" t="s">
        <v>685</v>
      </c>
      <c r="K114" s="7" t="str">
        <f>VLOOKUP(J114,countries,2,false)</f>
        <v>Slovenia</v>
      </c>
      <c r="L114" s="7" t="str">
        <f>VLOOKUP($J114,countries,5,false)</f>
        <v>Europe</v>
      </c>
      <c r="M114" s="7" t="str">
        <f>VLOOKUP($J114,countries,6,false)</f>
        <v>Southern Europe</v>
      </c>
      <c r="N114" s="7">
        <v>4594.0</v>
      </c>
      <c r="O114" s="7" t="str">
        <f>VLOOKUP(N114, products, 2, FALSE)</f>
        <v>Fruits</v>
      </c>
      <c r="P114" s="7" t="s">
        <v>264</v>
      </c>
      <c r="Q114" s="7">
        <v>6443.0</v>
      </c>
      <c r="R114" s="17">
        <v>9.33</v>
      </c>
      <c r="S114" s="17">
        <v>6.92</v>
      </c>
      <c r="U114" s="18">
        <f t="shared" si="6"/>
        <v>60113.19</v>
      </c>
      <c r="V114" s="18">
        <f t="shared" si="7"/>
        <v>44585.56</v>
      </c>
      <c r="W114" s="19">
        <f t="shared" si="8"/>
        <v>15527.63</v>
      </c>
    </row>
    <row r="115">
      <c r="A115" s="7">
        <v>1.73122918E8</v>
      </c>
      <c r="B115" s="12">
        <v>42163.0</v>
      </c>
      <c r="C115" s="7">
        <f t="shared" si="1"/>
        <v>2015</v>
      </c>
      <c r="D115" s="14" t="str">
        <f t="shared" si="2"/>
        <v>06 - Jun</v>
      </c>
      <c r="E115" s="15" t="str">
        <f t="shared" si="3"/>
        <v>Mon</v>
      </c>
      <c r="F115" s="15">
        <f t="shared" si="4"/>
        <v>1</v>
      </c>
      <c r="G115" s="16">
        <v>42210.0</v>
      </c>
      <c r="H115" s="14">
        <f t="shared" si="5"/>
        <v>47</v>
      </c>
      <c r="I115" s="7" t="s">
        <v>232</v>
      </c>
      <c r="J115" s="7" t="s">
        <v>120</v>
      </c>
      <c r="K115" s="7" t="str">
        <f>VLOOKUP(J115,countries,2,false)</f>
        <v>Belarus</v>
      </c>
      <c r="L115" s="7" t="str">
        <f>VLOOKUP($J115,countries,5,false)</f>
        <v>Europe</v>
      </c>
      <c r="M115" s="7" t="str">
        <f>VLOOKUP($J115,countries,6,false)</f>
        <v>Eastern Europe</v>
      </c>
      <c r="N115" s="7">
        <v>2455.0</v>
      </c>
      <c r="O115" s="7" t="str">
        <f>VLOOKUP(N115, products, 2, FALSE)</f>
        <v>Clothes</v>
      </c>
      <c r="P115" s="7" t="s">
        <v>334</v>
      </c>
      <c r="Q115" s="7">
        <v>9773.0</v>
      </c>
      <c r="R115" s="17">
        <v>109.28</v>
      </c>
      <c r="S115" s="17">
        <v>35.84</v>
      </c>
      <c r="U115" s="18">
        <f t="shared" si="6"/>
        <v>1067993.44</v>
      </c>
      <c r="V115" s="18">
        <f t="shared" si="7"/>
        <v>350264.32</v>
      </c>
      <c r="W115" s="19">
        <f t="shared" si="8"/>
        <v>717729.12</v>
      </c>
    </row>
    <row r="116">
      <c r="A116" s="7">
        <v>1.74218118E8</v>
      </c>
      <c r="B116" s="12">
        <v>42490.0</v>
      </c>
      <c r="C116" s="7">
        <f t="shared" si="1"/>
        <v>2016</v>
      </c>
      <c r="D116" s="14" t="str">
        <f t="shared" si="2"/>
        <v>04 - Apr</v>
      </c>
      <c r="E116" s="15" t="str">
        <f t="shared" si="3"/>
        <v>Sat</v>
      </c>
      <c r="F116" s="15">
        <f t="shared" si="4"/>
        <v>6</v>
      </c>
      <c r="G116" s="16">
        <v>42534.0</v>
      </c>
      <c r="H116" s="14">
        <f t="shared" si="5"/>
        <v>44</v>
      </c>
      <c r="I116" s="7" t="s">
        <v>232</v>
      </c>
      <c r="J116" s="7" t="s">
        <v>319</v>
      </c>
      <c r="K116" s="7" t="str">
        <f>VLOOKUP(J116,countries,2,false)</f>
        <v>Germany</v>
      </c>
      <c r="L116" s="7" t="str">
        <f>VLOOKUP($J116,countries,5,false)</f>
        <v>Europe</v>
      </c>
      <c r="M116" s="7" t="str">
        <f>VLOOKUP($J116,countries,6,false)</f>
        <v>Western Europe</v>
      </c>
      <c r="N116" s="7">
        <v>2103.0</v>
      </c>
      <c r="O116" s="7" t="str">
        <f>VLOOKUP(N116, products, 2, FALSE)</f>
        <v>Cereal</v>
      </c>
      <c r="P116" s="7" t="s">
        <v>334</v>
      </c>
      <c r="Q116" s="7">
        <v>3867.0</v>
      </c>
      <c r="R116" s="17">
        <v>205.7</v>
      </c>
      <c r="S116" s="17">
        <v>117.11</v>
      </c>
      <c r="U116" s="18">
        <f t="shared" si="6"/>
        <v>795441.9</v>
      </c>
      <c r="V116" s="18">
        <f t="shared" si="7"/>
        <v>452864.37</v>
      </c>
      <c r="W116" s="19">
        <f t="shared" si="8"/>
        <v>342577.53</v>
      </c>
    </row>
    <row r="117">
      <c r="A117" s="7">
        <v>1.74614226E8</v>
      </c>
      <c r="B117" s="12">
        <v>42910.0</v>
      </c>
      <c r="C117" s="7">
        <f t="shared" si="1"/>
        <v>2017</v>
      </c>
      <c r="D117" s="14" t="str">
        <f t="shared" si="2"/>
        <v>06 - Jun</v>
      </c>
      <c r="E117" s="15" t="str">
        <f t="shared" si="3"/>
        <v>Sat</v>
      </c>
      <c r="F117" s="15">
        <f t="shared" si="4"/>
        <v>6</v>
      </c>
      <c r="G117" s="16">
        <v>42960.0</v>
      </c>
      <c r="H117" s="14">
        <f t="shared" si="5"/>
        <v>50</v>
      </c>
      <c r="I117" s="7" t="s">
        <v>305</v>
      </c>
      <c r="J117" s="7" t="s">
        <v>67</v>
      </c>
      <c r="K117" s="7" t="str">
        <f>VLOOKUP(J117,countries,2,false)</f>
        <v>Andorra</v>
      </c>
      <c r="L117" s="7" t="str">
        <f>VLOOKUP($J117,countries,5,false)</f>
        <v>Europe</v>
      </c>
      <c r="M117" s="7" t="str">
        <f>VLOOKUP($J117,countries,6,false)</f>
        <v>Southern Europe</v>
      </c>
      <c r="N117" s="7">
        <v>7331.0</v>
      </c>
      <c r="O117" s="7" t="str">
        <f>VLOOKUP(N117, products, 2, FALSE)</f>
        <v>Baby Food</v>
      </c>
      <c r="P117" s="7" t="s">
        <v>334</v>
      </c>
      <c r="Q117" s="7">
        <v>1085.0</v>
      </c>
      <c r="R117" s="17">
        <v>255.28</v>
      </c>
      <c r="S117" s="17">
        <v>159.42</v>
      </c>
      <c r="U117" s="18">
        <f t="shared" si="6"/>
        <v>276978.8</v>
      </c>
      <c r="V117" s="18">
        <f t="shared" si="7"/>
        <v>172970.7</v>
      </c>
      <c r="W117" s="19">
        <f t="shared" si="8"/>
        <v>104008.1</v>
      </c>
    </row>
    <row r="118">
      <c r="A118" s="7">
        <v>1.74935233E8</v>
      </c>
      <c r="B118" s="12">
        <v>42577.0</v>
      </c>
      <c r="C118" s="7">
        <f t="shared" si="1"/>
        <v>2016</v>
      </c>
      <c r="D118" s="14" t="str">
        <f t="shared" si="2"/>
        <v>07 - Jul</v>
      </c>
      <c r="E118" s="15" t="str">
        <f t="shared" si="3"/>
        <v>Tue</v>
      </c>
      <c r="F118" s="15">
        <f t="shared" si="4"/>
        <v>2</v>
      </c>
      <c r="G118" s="16">
        <v>42580.0</v>
      </c>
      <c r="H118" s="14">
        <f t="shared" si="5"/>
        <v>3</v>
      </c>
      <c r="I118" s="7" t="s">
        <v>232</v>
      </c>
      <c r="J118" s="7" t="s">
        <v>296</v>
      </c>
      <c r="K118" s="7" t="str">
        <f>VLOOKUP(J118,countries,2,false)</f>
        <v>France</v>
      </c>
      <c r="L118" s="7" t="str">
        <f>VLOOKUP($J118,countries,5,false)</f>
        <v>Europe</v>
      </c>
      <c r="M118" s="7" t="str">
        <f>VLOOKUP($J118,countries,6,false)</f>
        <v>Western Europe</v>
      </c>
      <c r="N118" s="7">
        <v>8293.0</v>
      </c>
      <c r="O118" s="7" t="str">
        <f>VLOOKUP(N118, products, 2, FALSE)</f>
        <v>Cosmetics</v>
      </c>
      <c r="P118" s="7" t="s">
        <v>264</v>
      </c>
      <c r="Q118" s="7">
        <v>6078.0</v>
      </c>
      <c r="R118" s="17">
        <v>437.2</v>
      </c>
      <c r="S118" s="17">
        <v>263.33</v>
      </c>
      <c r="U118" s="18">
        <f t="shared" si="6"/>
        <v>2657301.6</v>
      </c>
      <c r="V118" s="18">
        <f t="shared" si="7"/>
        <v>1600519.74</v>
      </c>
      <c r="W118" s="19">
        <f t="shared" si="8"/>
        <v>1056781.86</v>
      </c>
    </row>
    <row r="119">
      <c r="A119" s="7">
        <v>1.75723588E8</v>
      </c>
      <c r="B119" s="12">
        <v>41799.0</v>
      </c>
      <c r="C119" s="7">
        <f t="shared" si="1"/>
        <v>2014</v>
      </c>
      <c r="D119" s="14" t="str">
        <f t="shared" si="2"/>
        <v>06 - Jun</v>
      </c>
      <c r="E119" s="15" t="str">
        <f t="shared" si="3"/>
        <v>Mon</v>
      </c>
      <c r="F119" s="15">
        <f t="shared" si="4"/>
        <v>1</v>
      </c>
      <c r="G119" s="16">
        <v>41804.0</v>
      </c>
      <c r="H119" s="14">
        <f t="shared" si="5"/>
        <v>5</v>
      </c>
      <c r="I119" s="7" t="s">
        <v>364</v>
      </c>
      <c r="J119" s="7" t="s">
        <v>516</v>
      </c>
      <c r="K119" s="7" t="str">
        <f>VLOOKUP(J119,countries,2,false)</f>
        <v>Monaco</v>
      </c>
      <c r="L119" s="7" t="str">
        <f>VLOOKUP($J119,countries,5,false)</f>
        <v>Europe</v>
      </c>
      <c r="M119" s="7" t="str">
        <f>VLOOKUP($J119,countries,6,false)</f>
        <v>Western Europe</v>
      </c>
      <c r="N119" s="7">
        <v>7940.0</v>
      </c>
      <c r="O119" s="7" t="str">
        <f>VLOOKUP(N119, products, 2, FALSE)</f>
        <v>Household</v>
      </c>
      <c r="P119" s="7" t="s">
        <v>264</v>
      </c>
      <c r="Q119" s="7">
        <v>9370.0</v>
      </c>
      <c r="R119" s="17">
        <v>668.27</v>
      </c>
      <c r="S119" s="17">
        <v>502.54</v>
      </c>
      <c r="U119" s="18">
        <f t="shared" si="6"/>
        <v>6261689.9</v>
      </c>
      <c r="V119" s="18">
        <f t="shared" si="7"/>
        <v>4708799.8</v>
      </c>
      <c r="W119" s="19">
        <f t="shared" si="8"/>
        <v>1552890.1</v>
      </c>
    </row>
    <row r="120">
      <c r="A120" s="7">
        <v>1.76050603E8</v>
      </c>
      <c r="B120" s="12">
        <v>41525.0</v>
      </c>
      <c r="C120" s="7">
        <f t="shared" si="1"/>
        <v>2013</v>
      </c>
      <c r="D120" s="14" t="str">
        <f t="shared" si="2"/>
        <v>09 - Sep</v>
      </c>
      <c r="E120" s="15" t="str">
        <f t="shared" si="3"/>
        <v>Sun</v>
      </c>
      <c r="F120" s="15">
        <f t="shared" si="4"/>
        <v>7</v>
      </c>
      <c r="G120" s="16">
        <v>41575.0</v>
      </c>
      <c r="H120" s="14">
        <f t="shared" si="5"/>
        <v>50</v>
      </c>
      <c r="I120" s="7" t="s">
        <v>305</v>
      </c>
      <c r="J120" s="7" t="s">
        <v>608</v>
      </c>
      <c r="K120" s="7" t="str">
        <f>VLOOKUP(J120,countries,2,false)</f>
        <v>Poland</v>
      </c>
      <c r="L120" s="7" t="str">
        <f>VLOOKUP($J120,countries,5,false)</f>
        <v>Europe</v>
      </c>
      <c r="M120" s="7" t="str">
        <f>VLOOKUP($J120,countries,6,false)</f>
        <v>Eastern Europe</v>
      </c>
      <c r="N120" s="7">
        <v>2103.0</v>
      </c>
      <c r="O120" s="7" t="str">
        <f>VLOOKUP(N120, products, 2, FALSE)</f>
        <v>Cereal</v>
      </c>
      <c r="P120" s="7" t="s">
        <v>264</v>
      </c>
      <c r="Q120" s="7">
        <v>6140.0</v>
      </c>
      <c r="R120" s="17">
        <v>205.7</v>
      </c>
      <c r="S120" s="17">
        <v>117.11</v>
      </c>
      <c r="U120" s="18">
        <f t="shared" si="6"/>
        <v>1262998</v>
      </c>
      <c r="V120" s="18">
        <f t="shared" si="7"/>
        <v>719055.4</v>
      </c>
      <c r="W120" s="19">
        <f t="shared" si="8"/>
        <v>543942.6</v>
      </c>
    </row>
    <row r="121">
      <c r="A121" s="7">
        <v>1.76722657E8</v>
      </c>
      <c r="B121" s="12">
        <v>41160.0</v>
      </c>
      <c r="C121" s="7">
        <f t="shared" si="1"/>
        <v>2012</v>
      </c>
      <c r="D121" s="14" t="str">
        <f t="shared" si="2"/>
        <v>09 - Sep</v>
      </c>
      <c r="E121" s="15" t="str">
        <f t="shared" si="3"/>
        <v>Sat</v>
      </c>
      <c r="F121" s="15">
        <f t="shared" si="4"/>
        <v>6</v>
      </c>
      <c r="G121" s="16">
        <v>41168.0</v>
      </c>
      <c r="H121" s="14">
        <f t="shared" si="5"/>
        <v>8</v>
      </c>
      <c r="I121" s="7" t="s">
        <v>399</v>
      </c>
      <c r="J121" s="7" t="s">
        <v>274</v>
      </c>
      <c r="K121" s="7" t="str">
        <f>VLOOKUP(J121,countries,2,false)</f>
        <v>Estonia</v>
      </c>
      <c r="L121" s="7" t="str">
        <f>VLOOKUP($J121,countries,5,false)</f>
        <v>Europe</v>
      </c>
      <c r="M121" s="7" t="str">
        <f>VLOOKUP($J121,countries,6,false)</f>
        <v>Northern Europe</v>
      </c>
      <c r="N121" s="7">
        <v>2455.0</v>
      </c>
      <c r="O121" s="7" t="str">
        <f>VLOOKUP(N121, products, 2, FALSE)</f>
        <v>Clothes</v>
      </c>
      <c r="P121" s="7" t="s">
        <v>264</v>
      </c>
      <c r="Q121" s="7">
        <v>5016.0</v>
      </c>
      <c r="R121" s="17">
        <v>109.28</v>
      </c>
      <c r="S121" s="17">
        <v>35.84</v>
      </c>
      <c r="U121" s="18">
        <f t="shared" si="6"/>
        <v>548148.48</v>
      </c>
      <c r="V121" s="18">
        <f t="shared" si="7"/>
        <v>179773.44</v>
      </c>
      <c r="W121" s="19">
        <f t="shared" si="8"/>
        <v>368375.04</v>
      </c>
    </row>
    <row r="122">
      <c r="A122" s="7">
        <v>1.7714709E8</v>
      </c>
      <c r="B122" s="12">
        <v>41470.0</v>
      </c>
      <c r="C122" s="7">
        <f t="shared" si="1"/>
        <v>2013</v>
      </c>
      <c r="D122" s="14" t="str">
        <f t="shared" si="2"/>
        <v>07 - Jul</v>
      </c>
      <c r="E122" s="15" t="str">
        <f t="shared" si="3"/>
        <v>Mon</v>
      </c>
      <c r="F122" s="15">
        <f t="shared" si="4"/>
        <v>1</v>
      </c>
      <c r="G122" s="16">
        <v>41503.0</v>
      </c>
      <c r="H122" s="14">
        <f t="shared" si="5"/>
        <v>33</v>
      </c>
      <c r="I122" s="7" t="s">
        <v>364</v>
      </c>
      <c r="J122" s="7" t="s">
        <v>516</v>
      </c>
      <c r="K122" s="7" t="str">
        <f>VLOOKUP(J122,countries,2,false)</f>
        <v>Monaco</v>
      </c>
      <c r="L122" s="7" t="str">
        <f>VLOOKUP($J122,countries,5,false)</f>
        <v>Europe</v>
      </c>
      <c r="M122" s="7" t="str">
        <f>VLOOKUP($J122,countries,6,false)</f>
        <v>Western Europe</v>
      </c>
      <c r="N122" s="7">
        <v>8875.0</v>
      </c>
      <c r="O122" s="7" t="str">
        <f>VLOOKUP(N122, products, 2, FALSE)</f>
        <v>Meat</v>
      </c>
      <c r="P122" s="7" t="s">
        <v>334</v>
      </c>
      <c r="Q122" s="7">
        <v>615.0</v>
      </c>
      <c r="R122" s="17">
        <v>421.89</v>
      </c>
      <c r="S122" s="17">
        <v>364.69</v>
      </c>
      <c r="U122" s="18">
        <f t="shared" si="6"/>
        <v>259462.35</v>
      </c>
      <c r="V122" s="18">
        <f t="shared" si="7"/>
        <v>224284.35</v>
      </c>
      <c r="W122" s="19">
        <f t="shared" si="8"/>
        <v>35178</v>
      </c>
    </row>
    <row r="123">
      <c r="A123" s="7">
        <v>1.78604066E8</v>
      </c>
      <c r="B123" s="12">
        <v>42267.0</v>
      </c>
      <c r="C123" s="7">
        <f t="shared" si="1"/>
        <v>2015</v>
      </c>
      <c r="D123" s="14" t="str">
        <f t="shared" si="2"/>
        <v>09 - Sep</v>
      </c>
      <c r="E123" s="15" t="str">
        <f t="shared" si="3"/>
        <v>Sun</v>
      </c>
      <c r="F123" s="15">
        <f t="shared" si="4"/>
        <v>7</v>
      </c>
      <c r="G123" s="16">
        <v>42295.0</v>
      </c>
      <c r="H123" s="14">
        <f t="shared" si="5"/>
        <v>28</v>
      </c>
      <c r="I123" s="7" t="s">
        <v>305</v>
      </c>
      <c r="J123" s="7" t="s">
        <v>101</v>
      </c>
      <c r="K123" s="7" t="str">
        <f>VLOOKUP(J123,countries,2,false)</f>
        <v>Austria</v>
      </c>
      <c r="L123" s="7" t="str">
        <f>VLOOKUP($J123,countries,5,false)</f>
        <v>Europe</v>
      </c>
      <c r="M123" s="7" t="str">
        <f>VLOOKUP($J123,countries,6,false)</f>
        <v>Western Europe</v>
      </c>
      <c r="N123" s="7">
        <v>7940.0</v>
      </c>
      <c r="O123" s="7" t="str">
        <f>VLOOKUP(N123, products, 2, FALSE)</f>
        <v>Household</v>
      </c>
      <c r="P123" s="7" t="s">
        <v>264</v>
      </c>
      <c r="Q123" s="7">
        <v>1767.0</v>
      </c>
      <c r="R123" s="17">
        <v>668.27</v>
      </c>
      <c r="S123" s="17">
        <v>502.54</v>
      </c>
      <c r="U123" s="18">
        <f t="shared" si="6"/>
        <v>1180833.09</v>
      </c>
      <c r="V123" s="18">
        <f t="shared" si="7"/>
        <v>887988.18</v>
      </c>
      <c r="W123" s="19">
        <f t="shared" si="8"/>
        <v>292844.91</v>
      </c>
    </row>
    <row r="124">
      <c r="A124" s="7">
        <v>1.79819428E8</v>
      </c>
      <c r="B124" s="12">
        <v>41034.0</v>
      </c>
      <c r="C124" s="7">
        <f t="shared" si="1"/>
        <v>2012</v>
      </c>
      <c r="D124" s="14" t="str">
        <f t="shared" si="2"/>
        <v>05 - May</v>
      </c>
      <c r="E124" s="15" t="str">
        <f t="shared" si="3"/>
        <v>Sat</v>
      </c>
      <c r="F124" s="15">
        <f t="shared" si="4"/>
        <v>6</v>
      </c>
      <c r="G124" s="16">
        <v>41062.0</v>
      </c>
      <c r="H124" s="14">
        <f t="shared" si="5"/>
        <v>28</v>
      </c>
      <c r="I124" s="7" t="s">
        <v>305</v>
      </c>
      <c r="J124" s="7" t="s">
        <v>165</v>
      </c>
      <c r="K124" s="7" t="str">
        <f>VLOOKUP(J124,countries,2,false)</f>
        <v>Bulgaria</v>
      </c>
      <c r="L124" s="7" t="str">
        <f>VLOOKUP($J124,countries,5,false)</f>
        <v>Europe</v>
      </c>
      <c r="M124" s="7" t="str">
        <f>VLOOKUP($J124,countries,6,false)</f>
        <v>Eastern Europe</v>
      </c>
      <c r="N124" s="7">
        <v>8293.0</v>
      </c>
      <c r="O124" s="7" t="str">
        <f>VLOOKUP(N124, products, 2, FALSE)</f>
        <v>Cosmetics</v>
      </c>
      <c r="P124" s="7" t="s">
        <v>264</v>
      </c>
      <c r="Q124" s="7">
        <v>1420.0</v>
      </c>
      <c r="R124" s="17">
        <v>437.2</v>
      </c>
      <c r="S124" s="17">
        <v>263.33</v>
      </c>
      <c r="U124" s="18">
        <f t="shared" si="6"/>
        <v>620824</v>
      </c>
      <c r="V124" s="18">
        <f t="shared" si="7"/>
        <v>373928.6</v>
      </c>
      <c r="W124" s="19">
        <f t="shared" si="8"/>
        <v>246895.4</v>
      </c>
    </row>
    <row r="125">
      <c r="A125" s="7">
        <v>1.80358016E8</v>
      </c>
      <c r="B125" s="12">
        <v>42490.0</v>
      </c>
      <c r="C125" s="7">
        <f t="shared" si="1"/>
        <v>2016</v>
      </c>
      <c r="D125" s="14" t="str">
        <f t="shared" si="2"/>
        <v>04 - Apr</v>
      </c>
      <c r="E125" s="15" t="str">
        <f t="shared" si="3"/>
        <v>Sat</v>
      </c>
      <c r="F125" s="15">
        <f t="shared" si="4"/>
        <v>6</v>
      </c>
      <c r="G125" s="16">
        <v>42506.0</v>
      </c>
      <c r="H125" s="14">
        <f t="shared" si="5"/>
        <v>16</v>
      </c>
      <c r="I125" s="7" t="s">
        <v>232</v>
      </c>
      <c r="J125" s="7" t="s">
        <v>489</v>
      </c>
      <c r="K125" s="7" t="str">
        <f>VLOOKUP(J125,countries,2,false)</f>
        <v>Malta</v>
      </c>
      <c r="L125" s="7" t="str">
        <f>VLOOKUP($J125,countries,5,false)</f>
        <v>Europe</v>
      </c>
      <c r="M125" s="7" t="str">
        <f>VLOOKUP($J125,countries,6,false)</f>
        <v>Southern Europe</v>
      </c>
      <c r="N125" s="7">
        <v>1270.0</v>
      </c>
      <c r="O125" s="7" t="str">
        <f>VLOOKUP(N125, products, 2, FALSE)</f>
        <v>Beverages</v>
      </c>
      <c r="P125" s="7" t="s">
        <v>264</v>
      </c>
      <c r="Q125" s="7">
        <v>800.0</v>
      </c>
      <c r="R125" s="17">
        <v>47.45</v>
      </c>
      <c r="S125" s="17">
        <v>31.79</v>
      </c>
      <c r="U125" s="18">
        <f t="shared" si="6"/>
        <v>37960</v>
      </c>
      <c r="V125" s="18">
        <f t="shared" si="7"/>
        <v>25432</v>
      </c>
      <c r="W125" s="19">
        <f t="shared" si="8"/>
        <v>12528</v>
      </c>
    </row>
    <row r="126">
      <c r="A126" s="7">
        <v>1.80479466E8</v>
      </c>
      <c r="B126" s="12">
        <v>40548.0</v>
      </c>
      <c r="C126" s="7">
        <f t="shared" si="1"/>
        <v>2011</v>
      </c>
      <c r="D126" s="14" t="str">
        <f t="shared" si="2"/>
        <v>01 - Jan</v>
      </c>
      <c r="E126" s="15" t="str">
        <f t="shared" si="3"/>
        <v>Wed</v>
      </c>
      <c r="F126" s="15">
        <f t="shared" si="4"/>
        <v>3</v>
      </c>
      <c r="G126" s="16">
        <v>40555.0</v>
      </c>
      <c r="H126" s="14">
        <f t="shared" si="5"/>
        <v>7</v>
      </c>
      <c r="I126" s="7" t="s">
        <v>305</v>
      </c>
      <c r="J126" s="7" t="s">
        <v>120</v>
      </c>
      <c r="K126" s="7" t="str">
        <f>VLOOKUP(J126,countries,2,false)</f>
        <v>Belarus</v>
      </c>
      <c r="L126" s="7" t="str">
        <f>VLOOKUP($J126,countries,5,false)</f>
        <v>Europe</v>
      </c>
      <c r="M126" s="7" t="str">
        <f>VLOOKUP($J126,countries,6,false)</f>
        <v>Eastern Europe</v>
      </c>
      <c r="N126" s="7">
        <v>5988.0</v>
      </c>
      <c r="O126" s="7" t="str">
        <f>VLOOKUP(N126, products, 2, FALSE)</f>
        <v>Vegetables</v>
      </c>
      <c r="P126" s="7" t="s">
        <v>264</v>
      </c>
      <c r="Q126" s="7">
        <v>6740.0</v>
      </c>
      <c r="R126" s="17">
        <v>154.06</v>
      </c>
      <c r="S126" s="17">
        <v>90.93</v>
      </c>
      <c r="U126" s="18">
        <f t="shared" si="6"/>
        <v>1038364.4</v>
      </c>
      <c r="V126" s="18">
        <f t="shared" si="7"/>
        <v>612868.2</v>
      </c>
      <c r="W126" s="19">
        <f t="shared" si="8"/>
        <v>425496.2</v>
      </c>
    </row>
    <row r="127">
      <c r="A127" s="7">
        <v>1.81260526E8</v>
      </c>
      <c r="B127" s="12">
        <v>42858.0</v>
      </c>
      <c r="C127" s="7">
        <f t="shared" si="1"/>
        <v>2017</v>
      </c>
      <c r="D127" s="14" t="str">
        <f t="shared" si="2"/>
        <v>05 - May</v>
      </c>
      <c r="E127" s="15" t="str">
        <f t="shared" si="3"/>
        <v>Wed</v>
      </c>
      <c r="F127" s="15">
        <f t="shared" si="4"/>
        <v>3</v>
      </c>
      <c r="G127" s="16">
        <v>42889.0</v>
      </c>
      <c r="H127" s="14">
        <f t="shared" si="5"/>
        <v>31</v>
      </c>
      <c r="I127" s="7" t="s">
        <v>232</v>
      </c>
      <c r="J127" s="7" t="s">
        <v>771</v>
      </c>
      <c r="K127" s="7" t="str">
        <f>VLOOKUP(J127,countries,2,false)</f>
        <v>Ukraine</v>
      </c>
      <c r="L127" s="7" t="str">
        <f>VLOOKUP($J127,countries,5,false)</f>
        <v>Europe</v>
      </c>
      <c r="M127" s="7" t="str">
        <f>VLOOKUP($J127,countries,6,false)</f>
        <v>Eastern Europe</v>
      </c>
      <c r="N127" s="7">
        <v>8681.0</v>
      </c>
      <c r="O127" s="7" t="str">
        <f>VLOOKUP(N127, products, 2, FALSE)</f>
        <v>Office Supplies</v>
      </c>
      <c r="P127" s="7" t="s">
        <v>334</v>
      </c>
      <c r="Q127" s="7">
        <v>7872.0</v>
      </c>
      <c r="R127" s="17">
        <v>651.21</v>
      </c>
      <c r="S127" s="17">
        <v>524.96</v>
      </c>
      <c r="U127" s="18">
        <f t="shared" si="6"/>
        <v>5126325.12</v>
      </c>
      <c r="V127" s="18">
        <f t="shared" si="7"/>
        <v>4132485.12</v>
      </c>
      <c r="W127" s="19">
        <f t="shared" si="8"/>
        <v>993840</v>
      </c>
    </row>
    <row r="128">
      <c r="A128" s="7">
        <v>1.82078921E8</v>
      </c>
      <c r="B128" s="12">
        <v>42381.0</v>
      </c>
      <c r="C128" s="7">
        <f t="shared" si="1"/>
        <v>2016</v>
      </c>
      <c r="D128" s="14" t="str">
        <f t="shared" si="2"/>
        <v>01 - Jan</v>
      </c>
      <c r="E128" s="15" t="str">
        <f t="shared" si="3"/>
        <v>Tue</v>
      </c>
      <c r="F128" s="15">
        <f t="shared" si="4"/>
        <v>2</v>
      </c>
      <c r="G128" s="16">
        <v>42414.0</v>
      </c>
      <c r="H128" s="14">
        <f t="shared" si="5"/>
        <v>33</v>
      </c>
      <c r="I128" s="7" t="s">
        <v>399</v>
      </c>
      <c r="J128" s="7" t="s">
        <v>293</v>
      </c>
      <c r="K128" s="7" t="str">
        <f>VLOOKUP(J128,countries,2,false)</f>
        <v>Finland</v>
      </c>
      <c r="L128" s="7" t="str">
        <f>VLOOKUP($J128,countries,5,false)</f>
        <v>Europe</v>
      </c>
      <c r="M128" s="7" t="str">
        <f>VLOOKUP($J128,countries,6,false)</f>
        <v>Northern Europe</v>
      </c>
      <c r="N128" s="7">
        <v>4594.0</v>
      </c>
      <c r="O128" s="7" t="str">
        <f>VLOOKUP(N128, products, 2, FALSE)</f>
        <v>Fruits</v>
      </c>
      <c r="P128" s="7" t="s">
        <v>334</v>
      </c>
      <c r="Q128" s="7">
        <v>54.0</v>
      </c>
      <c r="R128" s="17">
        <v>9.33</v>
      </c>
      <c r="S128" s="17">
        <v>6.92</v>
      </c>
      <c r="U128" s="18">
        <f t="shared" si="6"/>
        <v>503.82</v>
      </c>
      <c r="V128" s="18">
        <f t="shared" si="7"/>
        <v>373.68</v>
      </c>
      <c r="W128" s="19">
        <f t="shared" si="8"/>
        <v>130.14</v>
      </c>
    </row>
    <row r="129">
      <c r="A129" s="7">
        <v>1.82228696E8</v>
      </c>
      <c r="B129" s="12">
        <v>40329.0</v>
      </c>
      <c r="C129" s="7">
        <f t="shared" si="1"/>
        <v>2010</v>
      </c>
      <c r="D129" s="14" t="str">
        <f t="shared" si="2"/>
        <v>05 - May</v>
      </c>
      <c r="E129" s="15" t="str">
        <f t="shared" si="3"/>
        <v>Mon</v>
      </c>
      <c r="F129" s="15">
        <f t="shared" si="4"/>
        <v>1</v>
      </c>
      <c r="G129" s="16">
        <v>40371.0</v>
      </c>
      <c r="H129" s="14">
        <f t="shared" si="5"/>
        <v>42</v>
      </c>
      <c r="I129" s="7" t="s">
        <v>364</v>
      </c>
      <c r="J129" s="7" t="s">
        <v>447</v>
      </c>
      <c r="K129" s="7" t="str">
        <f>VLOOKUP(J129,countries,2,false)</f>
        <v>Latvia</v>
      </c>
      <c r="L129" s="7" t="str">
        <f>VLOOKUP($J129,countries,5,false)</f>
        <v>Europe</v>
      </c>
      <c r="M129" s="7" t="str">
        <f>VLOOKUP($J129,countries,6,false)</f>
        <v>Northern Europe</v>
      </c>
      <c r="N129" s="7">
        <v>8681.0</v>
      </c>
      <c r="O129" s="7" t="str">
        <f>VLOOKUP(N129, products, 2, FALSE)</f>
        <v>Office Supplies</v>
      </c>
      <c r="P129" s="7" t="s">
        <v>264</v>
      </c>
      <c r="Q129" s="7">
        <v>4375.0</v>
      </c>
      <c r="R129" s="17">
        <v>651.21</v>
      </c>
      <c r="S129" s="17">
        <v>524.96</v>
      </c>
      <c r="U129" s="18">
        <f t="shared" si="6"/>
        <v>2849043.75</v>
      </c>
      <c r="V129" s="18">
        <f t="shared" si="7"/>
        <v>2296700</v>
      </c>
      <c r="W129" s="19">
        <f t="shared" si="8"/>
        <v>552343.75</v>
      </c>
    </row>
    <row r="130">
      <c r="A130" s="7">
        <v>1.83778369E8</v>
      </c>
      <c r="B130" s="12">
        <v>41267.0</v>
      </c>
      <c r="C130" s="7">
        <f t="shared" si="1"/>
        <v>2012</v>
      </c>
      <c r="D130" s="14" t="str">
        <f t="shared" si="2"/>
        <v>12 - Dec</v>
      </c>
      <c r="E130" s="15" t="str">
        <f t="shared" si="3"/>
        <v>Mon</v>
      </c>
      <c r="F130" s="15">
        <f t="shared" si="4"/>
        <v>1</v>
      </c>
      <c r="G130" s="16">
        <v>41281.0</v>
      </c>
      <c r="H130" s="14">
        <f t="shared" si="5"/>
        <v>14</v>
      </c>
      <c r="I130" s="7" t="s">
        <v>364</v>
      </c>
      <c r="J130" s="7" t="s">
        <v>146</v>
      </c>
      <c r="K130" s="7" t="str">
        <f>VLOOKUP(J130,countries,2,false)</f>
        <v>Bosnia and Herzegovina</v>
      </c>
      <c r="L130" s="7" t="str">
        <f>VLOOKUP($J130,countries,5,false)</f>
        <v>Europe</v>
      </c>
      <c r="M130" s="7" t="str">
        <f>VLOOKUP($J130,countries,6,false)</f>
        <v>Southern Europe</v>
      </c>
      <c r="N130" s="7">
        <v>8969.0</v>
      </c>
      <c r="O130" s="7" t="str">
        <f>VLOOKUP(N130, products, 2, FALSE)</f>
        <v>Snacks</v>
      </c>
      <c r="P130" s="7" t="s">
        <v>264</v>
      </c>
      <c r="Q130" s="7">
        <v>2958.0</v>
      </c>
      <c r="R130" s="17">
        <v>152.58</v>
      </c>
      <c r="S130" s="17">
        <v>97.44</v>
      </c>
      <c r="U130" s="18">
        <f t="shared" si="6"/>
        <v>451331.64</v>
      </c>
      <c r="V130" s="18">
        <f t="shared" si="7"/>
        <v>288227.52</v>
      </c>
      <c r="W130" s="19">
        <f t="shared" si="8"/>
        <v>163104.12</v>
      </c>
    </row>
    <row r="131">
      <c r="A131" s="7">
        <v>1.83910119E8</v>
      </c>
      <c r="B131" s="12">
        <v>41799.0</v>
      </c>
      <c r="C131" s="7">
        <f t="shared" si="1"/>
        <v>2014</v>
      </c>
      <c r="D131" s="14" t="str">
        <f t="shared" si="2"/>
        <v>06 - Jun</v>
      </c>
      <c r="E131" s="15" t="str">
        <f t="shared" si="3"/>
        <v>Mon</v>
      </c>
      <c r="F131" s="15">
        <f t="shared" si="4"/>
        <v>1</v>
      </c>
      <c r="G131" s="16">
        <v>41801.0</v>
      </c>
      <c r="H131" s="14">
        <f t="shared" si="5"/>
        <v>2</v>
      </c>
      <c r="I131" s="7" t="s">
        <v>305</v>
      </c>
      <c r="J131" s="7" t="s">
        <v>771</v>
      </c>
      <c r="K131" s="7" t="str">
        <f>VLOOKUP(J131,countries,2,false)</f>
        <v>Ukraine</v>
      </c>
      <c r="L131" s="7" t="str">
        <f>VLOOKUP($J131,countries,5,false)</f>
        <v>Europe</v>
      </c>
      <c r="M131" s="7" t="str">
        <f>VLOOKUP($J131,countries,6,false)</f>
        <v>Eastern Europe</v>
      </c>
      <c r="N131" s="7">
        <v>8293.0</v>
      </c>
      <c r="O131" s="7" t="str">
        <f>VLOOKUP(N131, products, 2, FALSE)</f>
        <v>Cosmetics</v>
      </c>
      <c r="P131" s="7" t="s">
        <v>264</v>
      </c>
      <c r="Q131" s="7">
        <v>1946.0</v>
      </c>
      <c r="R131" s="17">
        <v>437.2</v>
      </c>
      <c r="S131" s="17">
        <v>263.33</v>
      </c>
      <c r="U131" s="18">
        <f t="shared" si="6"/>
        <v>850791.2</v>
      </c>
      <c r="V131" s="18">
        <f t="shared" si="7"/>
        <v>512440.18</v>
      </c>
      <c r="W131" s="19">
        <f t="shared" si="8"/>
        <v>338351.02</v>
      </c>
    </row>
    <row r="132">
      <c r="A132" s="7">
        <v>1.84120833E8</v>
      </c>
      <c r="B132" s="12">
        <v>41939.0</v>
      </c>
      <c r="C132" s="7">
        <f t="shared" si="1"/>
        <v>2014</v>
      </c>
      <c r="D132" s="14" t="str">
        <f t="shared" si="2"/>
        <v>10 - Oct</v>
      </c>
      <c r="E132" s="15" t="str">
        <f t="shared" si="3"/>
        <v>Mon</v>
      </c>
      <c r="F132" s="15">
        <f t="shared" si="4"/>
        <v>1</v>
      </c>
      <c r="G132" s="16">
        <v>41943.0</v>
      </c>
      <c r="H132" s="14">
        <f t="shared" si="5"/>
        <v>4</v>
      </c>
      <c r="I132" s="7" t="s">
        <v>399</v>
      </c>
      <c r="J132" s="7" t="s">
        <v>246</v>
      </c>
      <c r="K132" s="7" t="str">
        <f>VLOOKUP(J132,countries,2,false)</f>
        <v>Denmark</v>
      </c>
      <c r="L132" s="7" t="str">
        <f>VLOOKUP($J132,countries,5,false)</f>
        <v>Europe</v>
      </c>
      <c r="M132" s="7" t="str">
        <f>VLOOKUP($J132,countries,6,false)</f>
        <v>Northern Europe</v>
      </c>
      <c r="N132" s="7">
        <v>2455.0</v>
      </c>
      <c r="O132" s="7" t="str">
        <f>VLOOKUP(N132, products, 2, FALSE)</f>
        <v>Clothes</v>
      </c>
      <c r="P132" s="7" t="s">
        <v>334</v>
      </c>
      <c r="Q132" s="7">
        <v>4301.0</v>
      </c>
      <c r="R132" s="17">
        <v>109.28</v>
      </c>
      <c r="S132" s="17">
        <v>35.84</v>
      </c>
      <c r="U132" s="18">
        <f t="shared" si="6"/>
        <v>470013.28</v>
      </c>
      <c r="V132" s="18">
        <f t="shared" si="7"/>
        <v>154147.84</v>
      </c>
      <c r="W132" s="19">
        <f t="shared" si="8"/>
        <v>315865.44</v>
      </c>
    </row>
    <row r="133">
      <c r="A133" s="7">
        <v>1.84412229E8</v>
      </c>
      <c r="B133" s="12">
        <v>42098.0</v>
      </c>
      <c r="C133" s="7">
        <f t="shared" si="1"/>
        <v>2015</v>
      </c>
      <c r="D133" s="14" t="str">
        <f t="shared" si="2"/>
        <v>04 - Apr</v>
      </c>
      <c r="E133" s="15" t="str">
        <f t="shared" si="3"/>
        <v>Sat</v>
      </c>
      <c r="F133" s="15">
        <f t="shared" si="4"/>
        <v>6</v>
      </c>
      <c r="G133" s="16">
        <v>42101.0</v>
      </c>
      <c r="H133" s="14">
        <f t="shared" si="5"/>
        <v>3</v>
      </c>
      <c r="I133" s="7" t="s">
        <v>305</v>
      </c>
      <c r="J133" s="7" t="s">
        <v>146</v>
      </c>
      <c r="K133" s="7" t="str">
        <f>VLOOKUP(J133,countries,2,false)</f>
        <v>Bosnia and Herzegovina</v>
      </c>
      <c r="L133" s="7" t="str">
        <f>VLOOKUP($J133,countries,5,false)</f>
        <v>Europe</v>
      </c>
      <c r="M133" s="7" t="str">
        <f>VLOOKUP($J133,countries,6,false)</f>
        <v>Southern Europe</v>
      </c>
      <c r="N133" s="7">
        <v>7331.0</v>
      </c>
      <c r="O133" s="7" t="str">
        <f>VLOOKUP(N133, products, 2, FALSE)</f>
        <v>Baby Food</v>
      </c>
      <c r="P133" s="7" t="s">
        <v>264</v>
      </c>
      <c r="Q133" s="7">
        <v>531.0</v>
      </c>
      <c r="R133" s="17">
        <v>255.28</v>
      </c>
      <c r="S133" s="17">
        <v>159.42</v>
      </c>
      <c r="U133" s="18">
        <f t="shared" si="6"/>
        <v>135553.68</v>
      </c>
      <c r="V133" s="18">
        <f t="shared" si="7"/>
        <v>84652.02</v>
      </c>
      <c r="W133" s="19">
        <f t="shared" si="8"/>
        <v>50901.66</v>
      </c>
    </row>
    <row r="134">
      <c r="A134" s="7">
        <v>1.84708344E8</v>
      </c>
      <c r="B134" s="12">
        <v>42701.0</v>
      </c>
      <c r="C134" s="7">
        <f t="shared" si="1"/>
        <v>2016</v>
      </c>
      <c r="D134" s="14" t="str">
        <f t="shared" si="2"/>
        <v>11 - Nov</v>
      </c>
      <c r="E134" s="15" t="str">
        <f t="shared" si="3"/>
        <v>Sun</v>
      </c>
      <c r="F134" s="15">
        <f t="shared" si="4"/>
        <v>7</v>
      </c>
      <c r="G134" s="16">
        <v>42706.0</v>
      </c>
      <c r="H134" s="14">
        <f t="shared" si="5"/>
        <v>5</v>
      </c>
      <c r="I134" s="7" t="s">
        <v>399</v>
      </c>
      <c r="J134" s="7" t="s">
        <v>146</v>
      </c>
      <c r="K134" s="7" t="str">
        <f>VLOOKUP(J134,countries,2,false)</f>
        <v>Bosnia and Herzegovina</v>
      </c>
      <c r="L134" s="7" t="str">
        <f>VLOOKUP($J134,countries,5,false)</f>
        <v>Europe</v>
      </c>
      <c r="M134" s="7" t="str">
        <f>VLOOKUP($J134,countries,6,false)</f>
        <v>Southern Europe</v>
      </c>
      <c r="N134" s="7">
        <v>5988.0</v>
      </c>
      <c r="O134" s="7" t="str">
        <f>VLOOKUP(N134, products, 2, FALSE)</f>
        <v>Vegetables</v>
      </c>
      <c r="P134" s="7" t="s">
        <v>264</v>
      </c>
      <c r="Q134" s="7">
        <v>8159.0</v>
      </c>
      <c r="R134" s="17">
        <v>154.06</v>
      </c>
      <c r="S134" s="17">
        <v>90.93</v>
      </c>
      <c r="U134" s="18">
        <f t="shared" si="6"/>
        <v>1256975.54</v>
      </c>
      <c r="V134" s="18">
        <f t="shared" si="7"/>
        <v>741897.87</v>
      </c>
      <c r="W134" s="19">
        <f t="shared" si="8"/>
        <v>515077.67</v>
      </c>
    </row>
    <row r="135">
      <c r="A135" s="7">
        <v>1.84976994E8</v>
      </c>
      <c r="B135" s="12">
        <v>42237.0</v>
      </c>
      <c r="C135" s="7">
        <f t="shared" si="1"/>
        <v>2015</v>
      </c>
      <c r="D135" s="14" t="str">
        <f t="shared" si="2"/>
        <v>08 - Aug</v>
      </c>
      <c r="E135" s="15" t="str">
        <f t="shared" si="3"/>
        <v>Fri</v>
      </c>
      <c r="F135" s="15">
        <f t="shared" si="4"/>
        <v>5</v>
      </c>
      <c r="G135" s="16">
        <v>42268.0</v>
      </c>
      <c r="H135" s="14">
        <f t="shared" si="5"/>
        <v>31</v>
      </c>
      <c r="I135" s="7" t="s">
        <v>305</v>
      </c>
      <c r="J135" s="7" t="s">
        <v>462</v>
      </c>
      <c r="K135" s="7" t="str">
        <f>VLOOKUP(J135,countries,2,false)</f>
        <v>Liechtenstein</v>
      </c>
      <c r="L135" s="7" t="str">
        <f>VLOOKUP($J135,countries,5,false)</f>
        <v>Europe</v>
      </c>
      <c r="M135" s="7" t="str">
        <f>VLOOKUP($J135,countries,6,false)</f>
        <v>Western Europe</v>
      </c>
      <c r="N135" s="7">
        <v>7940.0</v>
      </c>
      <c r="O135" s="7" t="str">
        <f>VLOOKUP(N135, products, 2, FALSE)</f>
        <v>Household</v>
      </c>
      <c r="P135" s="7" t="s">
        <v>264</v>
      </c>
      <c r="Q135" s="7">
        <v>7658.0</v>
      </c>
      <c r="R135" s="17">
        <v>668.27</v>
      </c>
      <c r="S135" s="17">
        <v>502.54</v>
      </c>
      <c r="U135" s="18">
        <f t="shared" si="6"/>
        <v>5117611.66</v>
      </c>
      <c r="V135" s="18">
        <f t="shared" si="7"/>
        <v>3848451.32</v>
      </c>
      <c r="W135" s="19">
        <f t="shared" si="8"/>
        <v>1269160.34</v>
      </c>
    </row>
    <row r="136">
      <c r="A136" s="7">
        <v>1.8594731E8</v>
      </c>
      <c r="B136" s="12">
        <v>40914.0</v>
      </c>
      <c r="C136" s="7">
        <f t="shared" si="1"/>
        <v>2012</v>
      </c>
      <c r="D136" s="14" t="str">
        <f t="shared" si="2"/>
        <v>01 - Jan</v>
      </c>
      <c r="E136" s="15" t="str">
        <f t="shared" si="3"/>
        <v>Fri</v>
      </c>
      <c r="F136" s="15">
        <f t="shared" si="4"/>
        <v>5</v>
      </c>
      <c r="G136" s="16">
        <v>40935.0</v>
      </c>
      <c r="H136" s="14">
        <f t="shared" si="5"/>
        <v>21</v>
      </c>
      <c r="I136" s="7" t="s">
        <v>364</v>
      </c>
      <c r="J136" s="7" t="s">
        <v>656</v>
      </c>
      <c r="K136" s="7" t="str">
        <f>VLOOKUP(J136,countries,2,false)</f>
        <v>San Marino</v>
      </c>
      <c r="L136" s="7" t="str">
        <f>VLOOKUP($J136,countries,5,false)</f>
        <v>Europe</v>
      </c>
      <c r="M136" s="7" t="str">
        <f>VLOOKUP($J136,countries,6,false)</f>
        <v>Southern Europe</v>
      </c>
      <c r="N136" s="7">
        <v>3127.0</v>
      </c>
      <c r="O136" s="7" t="str">
        <f>VLOOKUP(N136, products, 2, FALSE)</f>
        <v>Personal Care</v>
      </c>
      <c r="P136" s="7" t="s">
        <v>834</v>
      </c>
      <c r="Q136" s="7">
        <v>4796.0</v>
      </c>
      <c r="R136" s="17">
        <v>81.73</v>
      </c>
      <c r="S136" s="17">
        <v>56.67</v>
      </c>
      <c r="U136" s="18">
        <f t="shared" si="6"/>
        <v>391977.08</v>
      </c>
      <c r="V136" s="18">
        <f t="shared" si="7"/>
        <v>271789.32</v>
      </c>
      <c r="W136" s="19">
        <f t="shared" si="8"/>
        <v>120187.76</v>
      </c>
    </row>
    <row r="137">
      <c r="A137" s="7">
        <v>1.85960614E8</v>
      </c>
      <c r="B137" s="12">
        <v>40653.0</v>
      </c>
      <c r="C137" s="7">
        <f t="shared" si="1"/>
        <v>2011</v>
      </c>
      <c r="D137" s="14" t="str">
        <f t="shared" si="2"/>
        <v>04 - Apr</v>
      </c>
      <c r="E137" s="15" t="str">
        <f t="shared" si="3"/>
        <v>Wed</v>
      </c>
      <c r="F137" s="15">
        <f t="shared" si="4"/>
        <v>3</v>
      </c>
      <c r="G137" s="16">
        <v>40691.0</v>
      </c>
      <c r="H137" s="14">
        <f t="shared" si="5"/>
        <v>38</v>
      </c>
      <c r="I137" s="7" t="s">
        <v>232</v>
      </c>
      <c r="J137" s="7" t="s">
        <v>101</v>
      </c>
      <c r="K137" s="7" t="str">
        <f>VLOOKUP(J137,countries,2,false)</f>
        <v>Austria</v>
      </c>
      <c r="L137" s="7" t="str">
        <f>VLOOKUP($J137,countries,5,false)</f>
        <v>Europe</v>
      </c>
      <c r="M137" s="7" t="str">
        <f>VLOOKUP($J137,countries,6,false)</f>
        <v>Western Europe</v>
      </c>
      <c r="N137" s="7">
        <v>4594.0</v>
      </c>
      <c r="O137" s="7" t="str">
        <f>VLOOKUP(N137, products, 2, FALSE)</f>
        <v>Fruits</v>
      </c>
      <c r="P137" s="7" t="s">
        <v>334</v>
      </c>
      <c r="Q137" s="7">
        <v>8733.0</v>
      </c>
      <c r="R137" s="17">
        <v>9.33</v>
      </c>
      <c r="S137" s="17">
        <v>6.92</v>
      </c>
      <c r="U137" s="18">
        <f t="shared" si="6"/>
        <v>81478.89</v>
      </c>
      <c r="V137" s="18">
        <f t="shared" si="7"/>
        <v>60432.36</v>
      </c>
      <c r="W137" s="19">
        <f t="shared" si="8"/>
        <v>21046.53</v>
      </c>
    </row>
    <row r="138">
      <c r="A138" s="7">
        <v>1.8607949E8</v>
      </c>
      <c r="B138" s="12">
        <v>42241.0</v>
      </c>
      <c r="C138" s="7">
        <f t="shared" si="1"/>
        <v>2015</v>
      </c>
      <c r="D138" s="14" t="str">
        <f t="shared" si="2"/>
        <v>08 - Aug</v>
      </c>
      <c r="E138" s="15" t="str">
        <f t="shared" si="3"/>
        <v>Tue</v>
      </c>
      <c r="F138" s="15">
        <f t="shared" si="4"/>
        <v>2</v>
      </c>
      <c r="G138" s="16">
        <v>42245.0</v>
      </c>
      <c r="H138" s="14">
        <f t="shared" si="5"/>
        <v>4</v>
      </c>
      <c r="I138" s="7" t="s">
        <v>364</v>
      </c>
      <c r="J138" s="7" t="s">
        <v>246</v>
      </c>
      <c r="K138" s="7" t="str">
        <f>VLOOKUP(J138,countries,2,false)</f>
        <v>Denmark</v>
      </c>
      <c r="L138" s="7" t="str">
        <f>VLOOKUP($J138,countries,5,false)</f>
        <v>Europe</v>
      </c>
      <c r="M138" s="7" t="str">
        <f>VLOOKUP($J138,countries,6,false)</f>
        <v>Northern Europe</v>
      </c>
      <c r="N138" s="7">
        <v>5988.0</v>
      </c>
      <c r="O138" s="7" t="str">
        <f>VLOOKUP(N138, products, 2, FALSE)</f>
        <v>Vegetables</v>
      </c>
      <c r="P138" s="7" t="s">
        <v>264</v>
      </c>
      <c r="Q138" s="7">
        <v>3911.0</v>
      </c>
      <c r="R138" s="17">
        <v>154.06</v>
      </c>
      <c r="S138" s="17">
        <v>90.93</v>
      </c>
      <c r="U138" s="18">
        <f t="shared" si="6"/>
        <v>602528.66</v>
      </c>
      <c r="V138" s="18">
        <f t="shared" si="7"/>
        <v>355627.23</v>
      </c>
      <c r="W138" s="19">
        <f t="shared" si="8"/>
        <v>246901.43</v>
      </c>
    </row>
    <row r="139">
      <c r="A139" s="7">
        <v>1.86597907E8</v>
      </c>
      <c r="B139" s="12">
        <v>42309.0</v>
      </c>
      <c r="C139" s="7">
        <f t="shared" si="1"/>
        <v>2015</v>
      </c>
      <c r="D139" s="14" t="str">
        <f t="shared" si="2"/>
        <v>11 - Nov</v>
      </c>
      <c r="E139" s="15" t="str">
        <f t="shared" si="3"/>
        <v>Sun</v>
      </c>
      <c r="F139" s="15">
        <f t="shared" si="4"/>
        <v>7</v>
      </c>
      <c r="G139" s="16">
        <v>42353.0</v>
      </c>
      <c r="H139" s="14">
        <f t="shared" si="5"/>
        <v>44</v>
      </c>
      <c r="I139" s="7" t="s">
        <v>232</v>
      </c>
      <c r="J139" s="7" t="s">
        <v>462</v>
      </c>
      <c r="K139" s="7" t="str">
        <f>VLOOKUP(J139,countries,2,false)</f>
        <v>Liechtenstein</v>
      </c>
      <c r="L139" s="7" t="str">
        <f>VLOOKUP($J139,countries,5,false)</f>
        <v>Europe</v>
      </c>
      <c r="M139" s="7" t="str">
        <f>VLOOKUP($J139,countries,6,false)</f>
        <v>Western Europe</v>
      </c>
      <c r="N139" s="7">
        <v>8681.0</v>
      </c>
      <c r="O139" s="7" t="str">
        <f>VLOOKUP(N139, products, 2, FALSE)</f>
        <v>Office Supplies</v>
      </c>
      <c r="P139" s="7" t="s">
        <v>264</v>
      </c>
      <c r="Q139" s="7">
        <v>7322.0</v>
      </c>
      <c r="R139" s="17">
        <v>651.21</v>
      </c>
      <c r="S139" s="17">
        <v>524.96</v>
      </c>
      <c r="U139" s="18">
        <f t="shared" si="6"/>
        <v>4768159.62</v>
      </c>
      <c r="V139" s="18">
        <f t="shared" si="7"/>
        <v>3843757.12</v>
      </c>
      <c r="W139" s="19">
        <f t="shared" si="8"/>
        <v>924402.5</v>
      </c>
    </row>
    <row r="140">
      <c r="A140" s="7">
        <v>1.86847674E8</v>
      </c>
      <c r="B140" s="12">
        <v>42841.0</v>
      </c>
      <c r="C140" s="7">
        <f t="shared" si="1"/>
        <v>2017</v>
      </c>
      <c r="D140" s="14" t="str">
        <f t="shared" si="2"/>
        <v>04 - Apr</v>
      </c>
      <c r="E140" s="15" t="str">
        <f t="shared" si="3"/>
        <v>Sun</v>
      </c>
      <c r="F140" s="15">
        <f t="shared" si="4"/>
        <v>7</v>
      </c>
      <c r="G140" s="16">
        <v>42848.0</v>
      </c>
      <c r="H140" s="14">
        <f t="shared" si="5"/>
        <v>7</v>
      </c>
      <c r="I140" s="7" t="s">
        <v>232</v>
      </c>
      <c r="J140" s="7" t="s">
        <v>381</v>
      </c>
      <c r="K140" s="7" t="str">
        <f>VLOOKUP(J140,countries,2,false)</f>
        <v>Iceland</v>
      </c>
      <c r="L140" s="7" t="str">
        <f>VLOOKUP($J140,countries,5,false)</f>
        <v>Europe</v>
      </c>
      <c r="M140" s="7" t="str">
        <f>VLOOKUP($J140,countries,6,false)</f>
        <v>Northern Europe</v>
      </c>
      <c r="N140" s="7">
        <v>8293.0</v>
      </c>
      <c r="O140" s="7" t="str">
        <f>VLOOKUP(N140, products, 2, FALSE)</f>
        <v>Cosmetics</v>
      </c>
      <c r="P140" s="7" t="s">
        <v>264</v>
      </c>
      <c r="Q140" s="7">
        <v>1234.0</v>
      </c>
      <c r="R140" s="17">
        <v>437.2</v>
      </c>
      <c r="S140" s="17">
        <v>263.33</v>
      </c>
      <c r="U140" s="18">
        <f t="shared" si="6"/>
        <v>539504.8</v>
      </c>
      <c r="V140" s="18">
        <f t="shared" si="7"/>
        <v>324949.22</v>
      </c>
      <c r="W140" s="19">
        <f t="shared" si="8"/>
        <v>214555.58</v>
      </c>
    </row>
    <row r="141">
      <c r="A141" s="7">
        <v>1.8710345E8</v>
      </c>
      <c r="B141" s="12">
        <v>40667.0</v>
      </c>
      <c r="C141" s="7">
        <f t="shared" si="1"/>
        <v>2011</v>
      </c>
      <c r="D141" s="14" t="str">
        <f t="shared" si="2"/>
        <v>05 - May</v>
      </c>
      <c r="E141" s="15" t="str">
        <f t="shared" si="3"/>
        <v>Wed</v>
      </c>
      <c r="F141" s="15">
        <f t="shared" si="4"/>
        <v>3</v>
      </c>
      <c r="G141" s="16">
        <v>40677.0</v>
      </c>
      <c r="H141" s="14">
        <f t="shared" si="5"/>
        <v>10</v>
      </c>
      <c r="I141" s="7" t="s">
        <v>232</v>
      </c>
      <c r="J141" s="7" t="s">
        <v>124</v>
      </c>
      <c r="K141" s="7" t="str">
        <f>VLOOKUP(J141,countries,2,false)</f>
        <v>Belgium</v>
      </c>
      <c r="L141" s="7" t="str">
        <f>VLOOKUP($J141,countries,5,false)</f>
        <v>Europe</v>
      </c>
      <c r="M141" s="7" t="str">
        <f>VLOOKUP($J141,countries,6,false)</f>
        <v>Western Europe</v>
      </c>
      <c r="N141" s="7">
        <v>4594.0</v>
      </c>
      <c r="O141" s="7" t="str">
        <f>VLOOKUP(N141, products, 2, FALSE)</f>
        <v>Fruits</v>
      </c>
      <c r="P141" s="7" t="s">
        <v>334</v>
      </c>
      <c r="Q141" s="7">
        <v>6924.0</v>
      </c>
      <c r="R141" s="17">
        <v>9.33</v>
      </c>
      <c r="S141" s="17">
        <v>6.92</v>
      </c>
      <c r="U141" s="18">
        <f t="shared" si="6"/>
        <v>64600.92</v>
      </c>
      <c r="V141" s="18">
        <f t="shared" si="7"/>
        <v>47914.08</v>
      </c>
      <c r="W141" s="19">
        <f t="shared" si="8"/>
        <v>16686.84</v>
      </c>
    </row>
    <row r="142">
      <c r="A142" s="7">
        <v>1.88866841E8</v>
      </c>
      <c r="B142" s="12">
        <v>41775.0</v>
      </c>
      <c r="C142" s="7">
        <f t="shared" si="1"/>
        <v>2014</v>
      </c>
      <c r="D142" s="14" t="str">
        <f t="shared" si="2"/>
        <v>05 - May</v>
      </c>
      <c r="E142" s="15" t="str">
        <f t="shared" si="3"/>
        <v>Fri</v>
      </c>
      <c r="F142" s="15">
        <f t="shared" si="4"/>
        <v>5</v>
      </c>
      <c r="G142" s="16">
        <v>41779.0</v>
      </c>
      <c r="H142" s="14">
        <f t="shared" si="5"/>
        <v>4</v>
      </c>
      <c r="I142" s="7" t="s">
        <v>364</v>
      </c>
      <c r="J142" s="7" t="s">
        <v>685</v>
      </c>
      <c r="K142" s="7" t="str">
        <f>VLOOKUP(J142,countries,2,false)</f>
        <v>Slovenia</v>
      </c>
      <c r="L142" s="7" t="str">
        <f>VLOOKUP($J142,countries,5,false)</f>
        <v>Europe</v>
      </c>
      <c r="M142" s="7" t="str">
        <f>VLOOKUP($J142,countries,6,false)</f>
        <v>Southern Europe</v>
      </c>
      <c r="N142" s="7">
        <v>2455.0</v>
      </c>
      <c r="O142" s="7" t="str">
        <f>VLOOKUP(N142, products, 2, FALSE)</f>
        <v>Clothes</v>
      </c>
      <c r="P142" s="7" t="s">
        <v>334</v>
      </c>
      <c r="Q142" s="7">
        <v>8750.0</v>
      </c>
      <c r="R142" s="17">
        <v>109.28</v>
      </c>
      <c r="S142" s="17">
        <v>35.84</v>
      </c>
      <c r="U142" s="18">
        <f t="shared" si="6"/>
        <v>956200</v>
      </c>
      <c r="V142" s="18">
        <f t="shared" si="7"/>
        <v>313600</v>
      </c>
      <c r="W142" s="19">
        <f t="shared" si="8"/>
        <v>642600</v>
      </c>
    </row>
    <row r="143">
      <c r="A143" s="7">
        <v>1.89108455E8</v>
      </c>
      <c r="B143" s="12">
        <v>41040.0</v>
      </c>
      <c r="C143" s="7">
        <f t="shared" si="1"/>
        <v>2012</v>
      </c>
      <c r="D143" s="14" t="str">
        <f t="shared" si="2"/>
        <v>05 - May</v>
      </c>
      <c r="E143" s="15" t="str">
        <f t="shared" si="3"/>
        <v>Fri</v>
      </c>
      <c r="F143" s="15">
        <f t="shared" si="4"/>
        <v>5</v>
      </c>
      <c r="G143" s="16">
        <v>41090.0</v>
      </c>
      <c r="H143" s="14">
        <f t="shared" si="5"/>
        <v>50</v>
      </c>
      <c r="I143" s="7" t="s">
        <v>399</v>
      </c>
      <c r="J143" s="7" t="s">
        <v>243</v>
      </c>
      <c r="K143" s="7" t="str">
        <f>VLOOKUP(J143,countries,2,false)</f>
        <v>Czech Republic</v>
      </c>
      <c r="L143" s="7" t="str">
        <f>VLOOKUP($J143,countries,5,false)</f>
        <v>Europe</v>
      </c>
      <c r="M143" s="7" t="str">
        <f>VLOOKUP($J143,countries,6,false)</f>
        <v>Eastern Europe</v>
      </c>
      <c r="N143" s="7">
        <v>8681.0</v>
      </c>
      <c r="O143" s="7" t="str">
        <f>VLOOKUP(N143, products, 2, FALSE)</f>
        <v>Office Supplies</v>
      </c>
      <c r="P143" s="7" t="s">
        <v>334</v>
      </c>
      <c r="Q143" s="7">
        <v>249.0</v>
      </c>
      <c r="R143" s="17">
        <v>651.21</v>
      </c>
      <c r="S143" s="17">
        <v>524.96</v>
      </c>
      <c r="U143" s="18">
        <f t="shared" si="6"/>
        <v>162151.29</v>
      </c>
      <c r="V143" s="18">
        <f t="shared" si="7"/>
        <v>130715.04</v>
      </c>
      <c r="W143" s="19">
        <f t="shared" si="8"/>
        <v>31436.25</v>
      </c>
    </row>
    <row r="144">
      <c r="A144" s="7">
        <v>1.89667212E8</v>
      </c>
      <c r="B144" s="12">
        <v>41118.0</v>
      </c>
      <c r="C144" s="7">
        <f t="shared" si="1"/>
        <v>2012</v>
      </c>
      <c r="D144" s="14" t="str">
        <f t="shared" si="2"/>
        <v>07 - Jul</v>
      </c>
      <c r="E144" s="15" t="str">
        <f t="shared" si="3"/>
        <v>Sat</v>
      </c>
      <c r="F144" s="15">
        <f t="shared" si="4"/>
        <v>6</v>
      </c>
      <c r="G144" s="16">
        <v>41155.0</v>
      </c>
      <c r="H144" s="14">
        <f t="shared" si="5"/>
        <v>37</v>
      </c>
      <c r="I144" s="7" t="s">
        <v>399</v>
      </c>
      <c r="J144" s="7" t="s">
        <v>626</v>
      </c>
      <c r="K144" s="7" t="str">
        <f>VLOOKUP(J144,countries,2,false)</f>
        <v>Russia</v>
      </c>
      <c r="L144" s="7" t="str">
        <f>VLOOKUP($J144,countries,5,false)</f>
        <v>Europe</v>
      </c>
      <c r="M144" s="7" t="str">
        <f>VLOOKUP($J144,countries,6,false)</f>
        <v>Eastern Europe</v>
      </c>
      <c r="N144" s="7">
        <v>8969.0</v>
      </c>
      <c r="O144" s="7" t="str">
        <f>VLOOKUP(N144, products, 2, FALSE)</f>
        <v>Snacks</v>
      </c>
      <c r="P144" s="7" t="s">
        <v>334</v>
      </c>
      <c r="Q144" s="7">
        <v>5598.0</v>
      </c>
      <c r="R144" s="17">
        <v>152.58</v>
      </c>
      <c r="S144" s="17">
        <v>97.44</v>
      </c>
      <c r="U144" s="18">
        <f t="shared" si="6"/>
        <v>854142.84</v>
      </c>
      <c r="V144" s="18">
        <f t="shared" si="7"/>
        <v>545469.12</v>
      </c>
      <c r="W144" s="19">
        <f t="shared" si="8"/>
        <v>308673.72</v>
      </c>
    </row>
    <row r="145">
      <c r="A145" s="7">
        <v>1.89924275E8</v>
      </c>
      <c r="B145" s="12">
        <v>41327.0</v>
      </c>
      <c r="C145" s="7">
        <f t="shared" si="1"/>
        <v>2013</v>
      </c>
      <c r="D145" s="14" t="str">
        <f t="shared" si="2"/>
        <v>02 - Feb</v>
      </c>
      <c r="E145" s="15" t="str">
        <f t="shared" si="3"/>
        <v>Fri</v>
      </c>
      <c r="F145" s="15">
        <f t="shared" si="4"/>
        <v>5</v>
      </c>
      <c r="G145" s="16">
        <v>41354.0</v>
      </c>
      <c r="H145" s="14">
        <f t="shared" si="5"/>
        <v>27</v>
      </c>
      <c r="I145" s="7" t="s">
        <v>364</v>
      </c>
      <c r="J145" s="7" t="s">
        <v>229</v>
      </c>
      <c r="K145" s="7" t="str">
        <f>VLOOKUP(J145,countries,2,false)</f>
        <v>Croatia</v>
      </c>
      <c r="L145" s="7" t="str">
        <f>VLOOKUP($J145,countries,5,false)</f>
        <v>Europe</v>
      </c>
      <c r="M145" s="7" t="str">
        <f>VLOOKUP($J145,countries,6,false)</f>
        <v>Southern Europe</v>
      </c>
      <c r="N145" s="7">
        <v>1270.0</v>
      </c>
      <c r="O145" s="7" t="str">
        <f>VLOOKUP(N145, products, 2, FALSE)</f>
        <v>Beverages</v>
      </c>
      <c r="P145" s="7" t="s">
        <v>334</v>
      </c>
      <c r="Q145" s="7">
        <v>1668.0</v>
      </c>
      <c r="R145" s="17">
        <v>47.45</v>
      </c>
      <c r="S145" s="17">
        <v>31.79</v>
      </c>
      <c r="U145" s="18">
        <f t="shared" si="6"/>
        <v>79146.6</v>
      </c>
      <c r="V145" s="18">
        <f t="shared" si="7"/>
        <v>53025.72</v>
      </c>
      <c r="W145" s="19">
        <f t="shared" si="8"/>
        <v>26120.88</v>
      </c>
    </row>
    <row r="146">
      <c r="A146" s="7">
        <v>1.9000281E8</v>
      </c>
      <c r="B146" s="12">
        <v>42906.0</v>
      </c>
      <c r="C146" s="7">
        <f t="shared" si="1"/>
        <v>2017</v>
      </c>
      <c r="D146" s="14" t="str">
        <f t="shared" si="2"/>
        <v>06 - Jun</v>
      </c>
      <c r="E146" s="15" t="str">
        <f t="shared" si="3"/>
        <v>Tue</v>
      </c>
      <c r="F146" s="15">
        <f t="shared" si="4"/>
        <v>2</v>
      </c>
      <c r="G146" s="16">
        <v>42952.0</v>
      </c>
      <c r="H146" s="14">
        <f t="shared" si="5"/>
        <v>46</v>
      </c>
      <c r="I146" s="7" t="s">
        <v>305</v>
      </c>
      <c r="J146" s="7" t="s">
        <v>67</v>
      </c>
      <c r="K146" s="7" t="str">
        <f>VLOOKUP(J146,countries,2,false)</f>
        <v>Andorra</v>
      </c>
      <c r="L146" s="7" t="str">
        <f>VLOOKUP($J146,countries,5,false)</f>
        <v>Europe</v>
      </c>
      <c r="M146" s="7" t="str">
        <f>VLOOKUP($J146,countries,6,false)</f>
        <v>Southern Europe</v>
      </c>
      <c r="N146" s="7">
        <v>2455.0</v>
      </c>
      <c r="O146" s="7" t="str">
        <f>VLOOKUP(N146, products, 2, FALSE)</f>
        <v>Clothes</v>
      </c>
      <c r="P146" s="7" t="s">
        <v>264</v>
      </c>
      <c r="Q146" s="7">
        <v>4909.0</v>
      </c>
      <c r="R146" s="17">
        <v>109.28</v>
      </c>
      <c r="S146" s="17">
        <v>35.84</v>
      </c>
      <c r="U146" s="18">
        <f t="shared" si="6"/>
        <v>536455.52</v>
      </c>
      <c r="V146" s="18">
        <f t="shared" si="7"/>
        <v>175938.56</v>
      </c>
      <c r="W146" s="19">
        <f t="shared" si="8"/>
        <v>360516.96</v>
      </c>
    </row>
    <row r="147">
      <c r="A147" s="7">
        <v>1.92236125E8</v>
      </c>
      <c r="B147" s="12">
        <v>42805.0</v>
      </c>
      <c r="C147" s="7">
        <f t="shared" si="1"/>
        <v>2017</v>
      </c>
      <c r="D147" s="14" t="str">
        <f t="shared" si="2"/>
        <v>03 - Mar</v>
      </c>
      <c r="E147" s="15" t="str">
        <f t="shared" si="3"/>
        <v>Sat</v>
      </c>
      <c r="F147" s="15">
        <f t="shared" si="4"/>
        <v>6</v>
      </c>
      <c r="G147" s="16">
        <v>42816.0</v>
      </c>
      <c r="H147" s="14">
        <f t="shared" si="5"/>
        <v>11</v>
      </c>
      <c r="I147" s="7" t="s">
        <v>399</v>
      </c>
      <c r="J147" s="7" t="s">
        <v>229</v>
      </c>
      <c r="K147" s="7" t="str">
        <f>VLOOKUP(J147,countries,2,false)</f>
        <v>Croatia</v>
      </c>
      <c r="L147" s="7" t="str">
        <f>VLOOKUP($J147,countries,5,false)</f>
        <v>Europe</v>
      </c>
      <c r="M147" s="7" t="str">
        <f>VLOOKUP($J147,countries,6,false)</f>
        <v>Southern Europe</v>
      </c>
      <c r="N147" s="7">
        <v>1270.0</v>
      </c>
      <c r="O147" s="7" t="str">
        <f>VLOOKUP(N147, products, 2, FALSE)</f>
        <v>Beverages</v>
      </c>
      <c r="P147" s="7" t="s">
        <v>334</v>
      </c>
      <c r="Q147" s="7">
        <v>5796.0</v>
      </c>
      <c r="R147" s="17">
        <v>47.45</v>
      </c>
      <c r="S147" s="17">
        <v>31.79</v>
      </c>
      <c r="U147" s="18">
        <f t="shared" si="6"/>
        <v>275020.2</v>
      </c>
      <c r="V147" s="18">
        <f t="shared" si="7"/>
        <v>184254.84</v>
      </c>
      <c r="W147" s="19">
        <f t="shared" si="8"/>
        <v>90765.36</v>
      </c>
    </row>
    <row r="148">
      <c r="A148" s="7">
        <v>1.92589318E8</v>
      </c>
      <c r="B148" s="12">
        <v>41214.0</v>
      </c>
      <c r="C148" s="7">
        <f t="shared" si="1"/>
        <v>2012</v>
      </c>
      <c r="D148" s="14" t="str">
        <f t="shared" si="2"/>
        <v>11 - Nov</v>
      </c>
      <c r="E148" s="15" t="str">
        <f t="shared" si="3"/>
        <v>Thu</v>
      </c>
      <c r="F148" s="15">
        <f t="shared" si="4"/>
        <v>4</v>
      </c>
      <c r="G148" s="16">
        <v>41259.0</v>
      </c>
      <c r="H148" s="14">
        <f t="shared" si="5"/>
        <v>45</v>
      </c>
      <c r="I148" s="7" t="s">
        <v>232</v>
      </c>
      <c r="J148" s="7" t="s">
        <v>243</v>
      </c>
      <c r="K148" s="7" t="str">
        <f>VLOOKUP(J148,countries,2,false)</f>
        <v>Czech Republic</v>
      </c>
      <c r="L148" s="7" t="str">
        <f>VLOOKUP($J148,countries,5,false)</f>
        <v>Europe</v>
      </c>
      <c r="M148" s="7" t="str">
        <f>VLOOKUP($J148,countries,6,false)</f>
        <v>Eastern Europe</v>
      </c>
      <c r="N148" s="7">
        <v>4594.0</v>
      </c>
      <c r="O148" s="7" t="str">
        <f>VLOOKUP(N148, products, 2, FALSE)</f>
        <v>Fruits</v>
      </c>
      <c r="P148" s="7" t="s">
        <v>264</v>
      </c>
      <c r="Q148" s="7">
        <v>314.0</v>
      </c>
      <c r="R148" s="17">
        <v>9.33</v>
      </c>
      <c r="S148" s="17">
        <v>6.92</v>
      </c>
      <c r="U148" s="18">
        <f t="shared" si="6"/>
        <v>2929.62</v>
      </c>
      <c r="V148" s="18">
        <f t="shared" si="7"/>
        <v>2172.88</v>
      </c>
      <c r="W148" s="19">
        <f t="shared" si="8"/>
        <v>756.74</v>
      </c>
    </row>
    <row r="149">
      <c r="A149" s="7">
        <v>1.92922341E8</v>
      </c>
      <c r="B149" s="12">
        <v>41001.0</v>
      </c>
      <c r="C149" s="7">
        <f t="shared" si="1"/>
        <v>2012</v>
      </c>
      <c r="D149" s="14" t="str">
        <f t="shared" si="2"/>
        <v>04 - Apr</v>
      </c>
      <c r="E149" s="15" t="str">
        <f t="shared" si="3"/>
        <v>Mon</v>
      </c>
      <c r="F149" s="15">
        <f t="shared" si="4"/>
        <v>1</v>
      </c>
      <c r="G149" s="16">
        <v>41030.0</v>
      </c>
      <c r="H149" s="14">
        <f t="shared" si="5"/>
        <v>29</v>
      </c>
      <c r="I149" s="7" t="s">
        <v>305</v>
      </c>
      <c r="J149" s="7" t="s">
        <v>101</v>
      </c>
      <c r="K149" s="7" t="str">
        <f>VLOOKUP(J149,countries,2,false)</f>
        <v>Austria</v>
      </c>
      <c r="L149" s="7" t="str">
        <f>VLOOKUP($J149,countries,5,false)</f>
        <v>Europe</v>
      </c>
      <c r="M149" s="7" t="str">
        <f>VLOOKUP($J149,countries,6,false)</f>
        <v>Western Europe</v>
      </c>
      <c r="N149" s="7">
        <v>1270.0</v>
      </c>
      <c r="O149" s="7" t="str">
        <f>VLOOKUP(N149, products, 2, FALSE)</f>
        <v>Beverages</v>
      </c>
      <c r="P149" s="7" t="s">
        <v>334</v>
      </c>
      <c r="Q149" s="7">
        <v>8863.0</v>
      </c>
      <c r="R149" s="17">
        <v>47.45</v>
      </c>
      <c r="S149" s="17">
        <v>31.79</v>
      </c>
      <c r="U149" s="18">
        <f t="shared" si="6"/>
        <v>420549.35</v>
      </c>
      <c r="V149" s="18">
        <f t="shared" si="7"/>
        <v>281754.77</v>
      </c>
      <c r="W149" s="19">
        <f t="shared" si="8"/>
        <v>138794.58</v>
      </c>
    </row>
    <row r="150">
      <c r="A150" s="7">
        <v>1.93472945E8</v>
      </c>
      <c r="B150" s="12">
        <v>42578.0</v>
      </c>
      <c r="C150" s="7">
        <f t="shared" si="1"/>
        <v>2016</v>
      </c>
      <c r="D150" s="14" t="str">
        <f t="shared" si="2"/>
        <v>07 - Jul</v>
      </c>
      <c r="E150" s="15" t="str">
        <f t="shared" si="3"/>
        <v>Wed</v>
      </c>
      <c r="F150" s="15">
        <f t="shared" si="4"/>
        <v>3</v>
      </c>
      <c r="G150" s="16">
        <v>42626.0</v>
      </c>
      <c r="H150" s="14">
        <f t="shared" si="5"/>
        <v>48</v>
      </c>
      <c r="I150" s="7" t="s">
        <v>232</v>
      </c>
      <c r="J150" s="7" t="s">
        <v>124</v>
      </c>
      <c r="K150" s="7" t="str">
        <f>VLOOKUP(J150,countries,2,false)</f>
        <v>Belgium</v>
      </c>
      <c r="L150" s="7" t="str">
        <f>VLOOKUP($J150,countries,5,false)</f>
        <v>Europe</v>
      </c>
      <c r="M150" s="7" t="str">
        <f>VLOOKUP($J150,countries,6,false)</f>
        <v>Western Europe</v>
      </c>
      <c r="N150" s="7">
        <v>8293.0</v>
      </c>
      <c r="O150" s="7" t="str">
        <f>VLOOKUP(N150, products, 2, FALSE)</f>
        <v>Cosmetics</v>
      </c>
      <c r="P150" s="7" t="s">
        <v>334</v>
      </c>
      <c r="Q150" s="7">
        <v>1799.0</v>
      </c>
      <c r="R150" s="17">
        <v>437.2</v>
      </c>
      <c r="S150" s="17">
        <v>263.33</v>
      </c>
      <c r="U150" s="18">
        <f t="shared" si="6"/>
        <v>786522.8</v>
      </c>
      <c r="V150" s="18">
        <f t="shared" si="7"/>
        <v>473730.67</v>
      </c>
      <c r="W150" s="19">
        <f t="shared" si="8"/>
        <v>312792.13</v>
      </c>
    </row>
    <row r="151">
      <c r="A151" s="7">
        <v>1.94176757E8</v>
      </c>
      <c r="B151" s="12">
        <v>42926.0</v>
      </c>
      <c r="C151" s="7">
        <f t="shared" si="1"/>
        <v>2017</v>
      </c>
      <c r="D151" s="14" t="str">
        <f t="shared" si="2"/>
        <v>07 - Jul</v>
      </c>
      <c r="E151" s="15" t="str">
        <f t="shared" si="3"/>
        <v>Mon</v>
      </c>
      <c r="F151" s="15">
        <f t="shared" si="4"/>
        <v>1</v>
      </c>
      <c r="G151" s="16">
        <v>42967.0</v>
      </c>
      <c r="H151" s="14">
        <f t="shared" si="5"/>
        <v>41</v>
      </c>
      <c r="I151" s="7" t="s">
        <v>232</v>
      </c>
      <c r="J151" s="7" t="s">
        <v>626</v>
      </c>
      <c r="K151" s="7" t="str">
        <f>VLOOKUP(J151,countries,2,false)</f>
        <v>Russia</v>
      </c>
      <c r="L151" s="7" t="str">
        <f>VLOOKUP($J151,countries,5,false)</f>
        <v>Europe</v>
      </c>
      <c r="M151" s="7" t="str">
        <f>VLOOKUP($J151,countries,6,false)</f>
        <v>Eastern Europe</v>
      </c>
      <c r="N151" s="7">
        <v>7940.0</v>
      </c>
      <c r="O151" s="7" t="str">
        <f>VLOOKUP(N151, products, 2, FALSE)</f>
        <v>Household</v>
      </c>
      <c r="P151" s="7" t="s">
        <v>264</v>
      </c>
      <c r="Q151" s="7">
        <v>72.0</v>
      </c>
      <c r="R151" s="17">
        <v>668.27</v>
      </c>
      <c r="S151" s="17">
        <v>502.54</v>
      </c>
      <c r="U151" s="18">
        <f t="shared" si="6"/>
        <v>48115.44</v>
      </c>
      <c r="V151" s="18">
        <f t="shared" si="7"/>
        <v>36182.88</v>
      </c>
      <c r="W151" s="19">
        <f t="shared" si="8"/>
        <v>11932.56</v>
      </c>
    </row>
    <row r="152">
      <c r="A152" s="7">
        <v>1.94785726E8</v>
      </c>
      <c r="B152" s="12">
        <v>41928.0</v>
      </c>
      <c r="C152" s="7">
        <f t="shared" si="1"/>
        <v>2014</v>
      </c>
      <c r="D152" s="14" t="str">
        <f t="shared" si="2"/>
        <v>10 - Oct</v>
      </c>
      <c r="E152" s="15" t="str">
        <f t="shared" si="3"/>
        <v>Thu</v>
      </c>
      <c r="F152" s="15">
        <f t="shared" si="4"/>
        <v>4</v>
      </c>
      <c r="G152" s="16">
        <v>41956.0</v>
      </c>
      <c r="H152" s="14">
        <f t="shared" si="5"/>
        <v>28</v>
      </c>
      <c r="I152" s="7" t="s">
        <v>364</v>
      </c>
      <c r="J152" s="7" t="s">
        <v>462</v>
      </c>
      <c r="K152" s="7" t="str">
        <f>VLOOKUP(J152,countries,2,false)</f>
        <v>Liechtenstein</v>
      </c>
      <c r="L152" s="7" t="str">
        <f>VLOOKUP($J152,countries,5,false)</f>
        <v>Europe</v>
      </c>
      <c r="M152" s="7" t="str">
        <f>VLOOKUP($J152,countries,6,false)</f>
        <v>Western Europe</v>
      </c>
      <c r="N152" s="7">
        <v>2103.0</v>
      </c>
      <c r="O152" s="7" t="str">
        <f>VLOOKUP(N152, products, 2, FALSE)</f>
        <v>Cereal</v>
      </c>
      <c r="P152" s="7" t="s">
        <v>334</v>
      </c>
      <c r="Q152" s="7">
        <v>280.0</v>
      </c>
      <c r="R152" s="17">
        <v>205.7</v>
      </c>
      <c r="S152" s="17">
        <v>117.11</v>
      </c>
      <c r="U152" s="18">
        <f t="shared" si="6"/>
        <v>57596</v>
      </c>
      <c r="V152" s="18">
        <f t="shared" si="7"/>
        <v>32790.8</v>
      </c>
      <c r="W152" s="19">
        <f t="shared" si="8"/>
        <v>24805.2</v>
      </c>
    </row>
    <row r="153">
      <c r="A153" s="7">
        <v>1.94858253E8</v>
      </c>
      <c r="B153" s="12">
        <v>40680.0</v>
      </c>
      <c r="C153" s="7">
        <f t="shared" si="1"/>
        <v>2011</v>
      </c>
      <c r="D153" s="14" t="str">
        <f t="shared" si="2"/>
        <v>05 - May</v>
      </c>
      <c r="E153" s="15" t="str">
        <f t="shared" si="3"/>
        <v>Tue</v>
      </c>
      <c r="F153" s="15">
        <f t="shared" si="4"/>
        <v>2</v>
      </c>
      <c r="G153" s="16">
        <v>40685.0</v>
      </c>
      <c r="H153" s="14">
        <f t="shared" si="5"/>
        <v>5</v>
      </c>
      <c r="I153" s="7" t="s">
        <v>364</v>
      </c>
      <c r="J153" s="7" t="s">
        <v>468</v>
      </c>
      <c r="K153" s="7" t="str">
        <f>VLOOKUP(J153,countries,2,false)</f>
        <v>Luxembourg</v>
      </c>
      <c r="L153" s="7" t="str">
        <f>VLOOKUP($J153,countries,5,false)</f>
        <v>Europe</v>
      </c>
      <c r="M153" s="7" t="str">
        <f>VLOOKUP($J153,countries,6,false)</f>
        <v>Western Europe</v>
      </c>
      <c r="N153" s="7">
        <v>3127.0</v>
      </c>
      <c r="O153" s="7" t="str">
        <f>VLOOKUP(N153, products, 2, FALSE)</f>
        <v>Personal Care</v>
      </c>
      <c r="P153" s="7" t="s">
        <v>264</v>
      </c>
      <c r="Q153" s="7">
        <v>1742.0</v>
      </c>
      <c r="R153" s="17">
        <v>81.73</v>
      </c>
      <c r="S153" s="17">
        <v>56.67</v>
      </c>
      <c r="U153" s="18">
        <f t="shared" si="6"/>
        <v>142373.66</v>
      </c>
      <c r="V153" s="18">
        <f t="shared" si="7"/>
        <v>98719.14</v>
      </c>
      <c r="W153" s="19">
        <f t="shared" si="8"/>
        <v>43654.52</v>
      </c>
    </row>
    <row r="154">
      <c r="A154" s="7">
        <v>1.94922626E8</v>
      </c>
      <c r="B154" s="12">
        <v>40931.0</v>
      </c>
      <c r="C154" s="7">
        <f t="shared" si="1"/>
        <v>2012</v>
      </c>
      <c r="D154" s="14" t="str">
        <f t="shared" si="2"/>
        <v>01 - Jan</v>
      </c>
      <c r="E154" s="15" t="str">
        <f t="shared" si="3"/>
        <v>Mon</v>
      </c>
      <c r="F154" s="15">
        <f t="shared" si="4"/>
        <v>1</v>
      </c>
      <c r="G154" s="16">
        <v>40946.0</v>
      </c>
      <c r="H154" s="14">
        <f t="shared" si="5"/>
        <v>15</v>
      </c>
      <c r="I154" s="7" t="s">
        <v>399</v>
      </c>
      <c r="J154" s="7" t="s">
        <v>90</v>
      </c>
      <c r="K154" s="7" t="str">
        <f>VLOOKUP(J154,countries,2,false)</f>
        <v>Armenia</v>
      </c>
      <c r="L154" s="7" t="str">
        <f>VLOOKUP($J154,countries,5,false)</f>
        <v>Asia</v>
      </c>
      <c r="M154" s="7" t="str">
        <f>VLOOKUP($J154,countries,6,false)</f>
        <v>Western Asia</v>
      </c>
      <c r="N154" s="7">
        <v>7331.0</v>
      </c>
      <c r="O154" s="7" t="str">
        <f>VLOOKUP(N154, products, 2, FALSE)</f>
        <v>Baby Food</v>
      </c>
      <c r="P154" s="7" t="s">
        <v>334</v>
      </c>
      <c r="Q154" s="7">
        <v>791.0</v>
      </c>
      <c r="R154" s="17">
        <v>255.28</v>
      </c>
      <c r="S154" s="17">
        <v>159.42</v>
      </c>
      <c r="U154" s="18">
        <f t="shared" si="6"/>
        <v>201926.48</v>
      </c>
      <c r="V154" s="18">
        <f t="shared" si="7"/>
        <v>126101.22</v>
      </c>
      <c r="W154" s="19">
        <f t="shared" si="8"/>
        <v>75825.26</v>
      </c>
    </row>
    <row r="155">
      <c r="A155" s="7">
        <v>1.95171105E8</v>
      </c>
      <c r="B155" s="12">
        <v>41845.0</v>
      </c>
      <c r="C155" s="7">
        <f t="shared" si="1"/>
        <v>2014</v>
      </c>
      <c r="D155" s="14" t="str">
        <f t="shared" si="2"/>
        <v>07 - Jul</v>
      </c>
      <c r="E155" s="15" t="str">
        <f t="shared" si="3"/>
        <v>Fri</v>
      </c>
      <c r="F155" s="15">
        <f t="shared" si="4"/>
        <v>5</v>
      </c>
      <c r="G155" s="16">
        <v>41886.0</v>
      </c>
      <c r="H155" s="14">
        <f t="shared" si="5"/>
        <v>41</v>
      </c>
      <c r="I155" s="7" t="s">
        <v>232</v>
      </c>
      <c r="J155" s="7" t="s">
        <v>293</v>
      </c>
      <c r="K155" s="7" t="str">
        <f>VLOOKUP(J155,countries,2,false)</f>
        <v>Finland</v>
      </c>
      <c r="L155" s="7" t="str">
        <f>VLOOKUP($J155,countries,5,false)</f>
        <v>Europe</v>
      </c>
      <c r="M155" s="7" t="str">
        <f>VLOOKUP($J155,countries,6,false)</f>
        <v>Northern Europe</v>
      </c>
      <c r="N155" s="7">
        <v>3127.0</v>
      </c>
      <c r="O155" s="7" t="str">
        <f>VLOOKUP(N155, products, 2, FALSE)</f>
        <v>Personal Care</v>
      </c>
      <c r="P155" s="7" t="s">
        <v>264</v>
      </c>
      <c r="Q155" s="7">
        <v>4322.0</v>
      </c>
      <c r="R155" s="17">
        <v>81.73</v>
      </c>
      <c r="S155" s="17">
        <v>56.67</v>
      </c>
      <c r="U155" s="18">
        <f t="shared" si="6"/>
        <v>353237.06</v>
      </c>
      <c r="V155" s="18">
        <f t="shared" si="7"/>
        <v>244927.74</v>
      </c>
      <c r="W155" s="19">
        <f t="shared" si="8"/>
        <v>108309.32</v>
      </c>
    </row>
    <row r="156">
      <c r="A156" s="7">
        <v>1.95212733E8</v>
      </c>
      <c r="B156" s="12">
        <v>41473.0</v>
      </c>
      <c r="C156" s="7">
        <f t="shared" si="1"/>
        <v>2013</v>
      </c>
      <c r="D156" s="14" t="str">
        <f t="shared" si="2"/>
        <v>07 - Jul</v>
      </c>
      <c r="E156" s="15" t="str">
        <f t="shared" si="3"/>
        <v>Thu</v>
      </c>
      <c r="F156" s="15">
        <f t="shared" si="4"/>
        <v>4</v>
      </c>
      <c r="G156" s="16">
        <v>41500.0</v>
      </c>
      <c r="H156" s="14">
        <f t="shared" si="5"/>
        <v>27</v>
      </c>
      <c r="I156" s="7" t="s">
        <v>399</v>
      </c>
      <c r="J156" s="7" t="s">
        <v>274</v>
      </c>
      <c r="K156" s="7" t="str">
        <f>VLOOKUP(J156,countries,2,false)</f>
        <v>Estonia</v>
      </c>
      <c r="L156" s="7" t="str">
        <f>VLOOKUP($J156,countries,5,false)</f>
        <v>Europe</v>
      </c>
      <c r="M156" s="7" t="str">
        <f>VLOOKUP($J156,countries,6,false)</f>
        <v>Northern Europe</v>
      </c>
      <c r="N156" s="7">
        <v>2103.0</v>
      </c>
      <c r="O156" s="7" t="str">
        <f>VLOOKUP(N156, products, 2, FALSE)</f>
        <v>Cereal</v>
      </c>
      <c r="P156" s="7" t="s">
        <v>334</v>
      </c>
      <c r="Q156" s="7">
        <v>6641.0</v>
      </c>
      <c r="R156" s="17">
        <v>205.7</v>
      </c>
      <c r="S156" s="17">
        <v>117.11</v>
      </c>
      <c r="U156" s="18">
        <f t="shared" si="6"/>
        <v>1366053.7</v>
      </c>
      <c r="V156" s="18">
        <f t="shared" si="7"/>
        <v>777727.51</v>
      </c>
      <c r="W156" s="19">
        <f t="shared" si="8"/>
        <v>588326.19</v>
      </c>
    </row>
    <row r="157">
      <c r="A157" s="7">
        <v>1.95259082E8</v>
      </c>
      <c r="B157" s="12">
        <v>41543.0</v>
      </c>
      <c r="C157" s="7">
        <f t="shared" si="1"/>
        <v>2013</v>
      </c>
      <c r="D157" s="14" t="str">
        <f t="shared" si="2"/>
        <v>09 - Sep</v>
      </c>
      <c r="E157" s="15" t="str">
        <f t="shared" si="3"/>
        <v>Thu</v>
      </c>
      <c r="F157" s="15">
        <f t="shared" si="4"/>
        <v>4</v>
      </c>
      <c r="G157" s="16">
        <v>41558.0</v>
      </c>
      <c r="H157" s="14">
        <f t="shared" si="5"/>
        <v>15</v>
      </c>
      <c r="I157" s="7" t="s">
        <v>364</v>
      </c>
      <c r="J157" s="7" t="s">
        <v>328</v>
      </c>
      <c r="K157" s="7" t="str">
        <f>VLOOKUP(J157,countries,2,false)</f>
        <v>Greece</v>
      </c>
      <c r="L157" s="7" t="str">
        <f>VLOOKUP($J157,countries,5,false)</f>
        <v>Europe</v>
      </c>
      <c r="M157" s="7" t="str">
        <f>VLOOKUP($J157,countries,6,false)</f>
        <v>Southern Europe</v>
      </c>
      <c r="N157" s="7">
        <v>7940.0</v>
      </c>
      <c r="O157" s="7" t="str">
        <f>VLOOKUP(N157, products, 2, FALSE)</f>
        <v>Household</v>
      </c>
      <c r="P157" s="7" t="s">
        <v>264</v>
      </c>
      <c r="Q157" s="7">
        <v>356.0</v>
      </c>
      <c r="R157" s="17">
        <v>668.27</v>
      </c>
      <c r="S157" s="17">
        <v>502.54</v>
      </c>
      <c r="U157" s="18">
        <f t="shared" si="6"/>
        <v>237904.12</v>
      </c>
      <c r="V157" s="18">
        <f t="shared" si="7"/>
        <v>178904.24</v>
      </c>
      <c r="W157" s="19">
        <f t="shared" si="8"/>
        <v>58999.88</v>
      </c>
    </row>
    <row r="158">
      <c r="A158" s="7">
        <v>1.96346127E8</v>
      </c>
      <c r="B158" s="12">
        <v>40602.0</v>
      </c>
      <c r="C158" s="7">
        <f t="shared" si="1"/>
        <v>2011</v>
      </c>
      <c r="D158" s="14" t="str">
        <f t="shared" si="2"/>
        <v>02 - Feb</v>
      </c>
      <c r="E158" s="15" t="str">
        <f t="shared" si="3"/>
        <v>Mon</v>
      </c>
      <c r="F158" s="15">
        <f t="shared" si="4"/>
        <v>1</v>
      </c>
      <c r="G158" s="16">
        <v>40645.0</v>
      </c>
      <c r="H158" s="14">
        <f t="shared" si="5"/>
        <v>43</v>
      </c>
      <c r="I158" s="7" t="s">
        <v>399</v>
      </c>
      <c r="J158" s="7" t="s">
        <v>90</v>
      </c>
      <c r="K158" s="7" t="str">
        <f>VLOOKUP(J158,countries,2,false)</f>
        <v>Armenia</v>
      </c>
      <c r="L158" s="7" t="str">
        <f>VLOOKUP($J158,countries,5,false)</f>
        <v>Asia</v>
      </c>
      <c r="M158" s="7" t="str">
        <f>VLOOKUP($J158,countries,6,false)</f>
        <v>Western Asia</v>
      </c>
      <c r="N158" s="7">
        <v>8969.0</v>
      </c>
      <c r="O158" s="7" t="str">
        <f>VLOOKUP(N158, products, 2, FALSE)</f>
        <v>Snacks</v>
      </c>
      <c r="P158" s="7" t="s">
        <v>264</v>
      </c>
      <c r="Q158" s="7">
        <v>2037.0</v>
      </c>
      <c r="R158" s="17">
        <v>152.58</v>
      </c>
      <c r="S158" s="17">
        <v>97.44</v>
      </c>
      <c r="U158" s="18">
        <f t="shared" si="6"/>
        <v>310805.46</v>
      </c>
      <c r="V158" s="18">
        <f t="shared" si="7"/>
        <v>198485.28</v>
      </c>
      <c r="W158" s="19">
        <f t="shared" si="8"/>
        <v>112320.18</v>
      </c>
    </row>
    <row r="159">
      <c r="A159" s="7">
        <v>1.98537814E8</v>
      </c>
      <c r="B159" s="12">
        <v>40873.0</v>
      </c>
      <c r="C159" s="7">
        <f t="shared" si="1"/>
        <v>2011</v>
      </c>
      <c r="D159" s="14" t="str">
        <f t="shared" si="2"/>
        <v>11 - Nov</v>
      </c>
      <c r="E159" s="15" t="str">
        <f t="shared" si="3"/>
        <v>Sat</v>
      </c>
      <c r="F159" s="15">
        <f t="shared" si="4"/>
        <v>6</v>
      </c>
      <c r="G159" s="16">
        <v>40896.0</v>
      </c>
      <c r="H159" s="14">
        <f t="shared" si="5"/>
        <v>23</v>
      </c>
      <c r="I159" s="7" t="s">
        <v>305</v>
      </c>
      <c r="J159" s="7" t="s">
        <v>246</v>
      </c>
      <c r="K159" s="7" t="str">
        <f>VLOOKUP(J159,countries,2,false)</f>
        <v>Denmark</v>
      </c>
      <c r="L159" s="7" t="str">
        <f>VLOOKUP($J159,countries,5,false)</f>
        <v>Europe</v>
      </c>
      <c r="M159" s="7" t="str">
        <f>VLOOKUP($J159,countries,6,false)</f>
        <v>Northern Europe</v>
      </c>
      <c r="N159" s="7">
        <v>8875.0</v>
      </c>
      <c r="O159" s="7" t="str">
        <f>VLOOKUP(N159, products, 2, FALSE)</f>
        <v>Meat</v>
      </c>
      <c r="P159" s="7" t="s">
        <v>264</v>
      </c>
      <c r="Q159" s="7">
        <v>606.0</v>
      </c>
      <c r="R159" s="17">
        <v>421.89</v>
      </c>
      <c r="S159" s="17">
        <v>364.69</v>
      </c>
      <c r="U159" s="18">
        <f t="shared" si="6"/>
        <v>255665.34</v>
      </c>
      <c r="V159" s="18">
        <f t="shared" si="7"/>
        <v>221002.14</v>
      </c>
      <c r="W159" s="19">
        <f t="shared" si="8"/>
        <v>34663.2</v>
      </c>
    </row>
    <row r="160">
      <c r="A160" s="7">
        <v>2.0035485E8</v>
      </c>
      <c r="B160" s="12">
        <v>41730.0</v>
      </c>
      <c r="C160" s="7">
        <f t="shared" si="1"/>
        <v>2014</v>
      </c>
      <c r="D160" s="14" t="str">
        <f t="shared" si="2"/>
        <v>04 - Apr</v>
      </c>
      <c r="E160" s="15" t="str">
        <f t="shared" si="3"/>
        <v>Tue</v>
      </c>
      <c r="F160" s="15">
        <f t="shared" si="4"/>
        <v>2</v>
      </c>
      <c r="G160" s="16">
        <v>41763.0</v>
      </c>
      <c r="H160" s="14">
        <f t="shared" si="5"/>
        <v>33</v>
      </c>
      <c r="I160" s="7" t="s">
        <v>399</v>
      </c>
      <c r="J160" s="7" t="s">
        <v>570</v>
      </c>
      <c r="K160" s="7" t="str">
        <f>VLOOKUP(J160,countries,2,false)</f>
        <v>Macedonia</v>
      </c>
      <c r="L160" s="7" t="str">
        <f>VLOOKUP($J160,countries,5,false)</f>
        <v>Europe</v>
      </c>
      <c r="M160" s="7" t="str">
        <f>VLOOKUP($J160,countries,6,false)</f>
        <v>Southern Europe</v>
      </c>
      <c r="N160" s="7">
        <v>7331.0</v>
      </c>
      <c r="O160" s="7" t="str">
        <f>VLOOKUP(N160, products, 2, FALSE)</f>
        <v>Baby Food</v>
      </c>
      <c r="P160" s="7" t="s">
        <v>334</v>
      </c>
      <c r="Q160" s="7">
        <v>8307.0</v>
      </c>
      <c r="R160" s="17">
        <v>255.28</v>
      </c>
      <c r="S160" s="17">
        <v>159.42</v>
      </c>
      <c r="U160" s="18">
        <f t="shared" si="6"/>
        <v>2120610.96</v>
      </c>
      <c r="V160" s="18">
        <f t="shared" si="7"/>
        <v>1324301.94</v>
      </c>
      <c r="W160" s="19">
        <f t="shared" si="8"/>
        <v>796309.02</v>
      </c>
    </row>
    <row r="161">
      <c r="A161" s="7">
        <v>2.00432097E8</v>
      </c>
      <c r="B161" s="12">
        <v>40925.0</v>
      </c>
      <c r="C161" s="7">
        <f t="shared" si="1"/>
        <v>2012</v>
      </c>
      <c r="D161" s="14" t="str">
        <f t="shared" si="2"/>
        <v>01 - Jan</v>
      </c>
      <c r="E161" s="15" t="str">
        <f t="shared" si="3"/>
        <v>Tue</v>
      </c>
      <c r="F161" s="15">
        <f t="shared" si="4"/>
        <v>2</v>
      </c>
      <c r="G161" s="16">
        <v>40939.0</v>
      </c>
      <c r="H161" s="14">
        <f t="shared" si="5"/>
        <v>14</v>
      </c>
      <c r="I161" s="7" t="s">
        <v>364</v>
      </c>
      <c r="J161" s="7" t="s">
        <v>611</v>
      </c>
      <c r="K161" s="7" t="str">
        <f>VLOOKUP(J161,countries,2,false)</f>
        <v>Portugal</v>
      </c>
      <c r="L161" s="7" t="str">
        <f>VLOOKUP($J161,countries,5,false)</f>
        <v>Europe</v>
      </c>
      <c r="M161" s="7" t="str">
        <f>VLOOKUP($J161,countries,6,false)</f>
        <v>Southern Europe</v>
      </c>
      <c r="N161" s="7">
        <v>7940.0</v>
      </c>
      <c r="O161" s="7" t="str">
        <f>VLOOKUP(N161, products, 2, FALSE)</f>
        <v>Household</v>
      </c>
      <c r="P161" s="7" t="s">
        <v>264</v>
      </c>
      <c r="Q161" s="7">
        <v>1167.0</v>
      </c>
      <c r="R161" s="17">
        <v>668.27</v>
      </c>
      <c r="S161" s="17">
        <v>502.54</v>
      </c>
      <c r="U161" s="18">
        <f t="shared" si="6"/>
        <v>779871.09</v>
      </c>
      <c r="V161" s="18">
        <f t="shared" si="7"/>
        <v>586464.18</v>
      </c>
      <c r="W161" s="19">
        <f t="shared" si="8"/>
        <v>193406.91</v>
      </c>
    </row>
    <row r="162">
      <c r="A162" s="7">
        <v>2.00507199E8</v>
      </c>
      <c r="B162" s="12">
        <v>41679.0</v>
      </c>
      <c r="C162" s="7">
        <f t="shared" si="1"/>
        <v>2014</v>
      </c>
      <c r="D162" s="14" t="str">
        <f t="shared" si="2"/>
        <v>02 - Feb</v>
      </c>
      <c r="E162" s="15" t="str">
        <f t="shared" si="3"/>
        <v>Sun</v>
      </c>
      <c r="F162" s="15">
        <f t="shared" si="4"/>
        <v>7</v>
      </c>
      <c r="G162" s="16">
        <v>41695.0</v>
      </c>
      <c r="H162" s="14">
        <f t="shared" si="5"/>
        <v>16</v>
      </c>
      <c r="I162" s="7" t="s">
        <v>305</v>
      </c>
      <c r="J162" s="7" t="s">
        <v>165</v>
      </c>
      <c r="K162" s="7" t="str">
        <f>VLOOKUP(J162,countries,2,false)</f>
        <v>Bulgaria</v>
      </c>
      <c r="L162" s="7" t="str">
        <f>VLOOKUP($J162,countries,5,false)</f>
        <v>Europe</v>
      </c>
      <c r="M162" s="7" t="str">
        <f>VLOOKUP($J162,countries,6,false)</f>
        <v>Eastern Europe</v>
      </c>
      <c r="N162" s="7">
        <v>8681.0</v>
      </c>
      <c r="O162" s="7" t="str">
        <f>VLOOKUP(N162, products, 2, FALSE)</f>
        <v>Office Supplies</v>
      </c>
      <c r="P162" s="7" t="s">
        <v>334</v>
      </c>
      <c r="Q162" s="7">
        <v>3391.0</v>
      </c>
      <c r="R162" s="17">
        <v>651.21</v>
      </c>
      <c r="S162" s="17">
        <v>524.96</v>
      </c>
      <c r="U162" s="18">
        <f t="shared" si="6"/>
        <v>2208253.11</v>
      </c>
      <c r="V162" s="18">
        <f t="shared" si="7"/>
        <v>1780139.36</v>
      </c>
      <c r="W162" s="19">
        <f t="shared" si="8"/>
        <v>428113.75</v>
      </c>
    </row>
    <row r="163">
      <c r="A163" s="7">
        <v>2.01294267E8</v>
      </c>
      <c r="B163" s="12">
        <v>41283.0</v>
      </c>
      <c r="C163" s="7">
        <f t="shared" si="1"/>
        <v>2013</v>
      </c>
      <c r="D163" s="14" t="str">
        <f t="shared" si="2"/>
        <v>01 - Jan</v>
      </c>
      <c r="E163" s="15" t="str">
        <f t="shared" si="3"/>
        <v>Wed</v>
      </c>
      <c r="F163" s="15">
        <f t="shared" si="4"/>
        <v>3</v>
      </c>
      <c r="G163" s="16">
        <v>41314.0</v>
      </c>
      <c r="H163" s="14">
        <f t="shared" si="5"/>
        <v>31</v>
      </c>
      <c r="I163" s="7" t="s">
        <v>364</v>
      </c>
      <c r="J163" s="7" t="s">
        <v>656</v>
      </c>
      <c r="K163" s="7" t="str">
        <f>VLOOKUP(J163,countries,2,false)</f>
        <v>San Marino</v>
      </c>
      <c r="L163" s="7" t="str">
        <f>VLOOKUP($J163,countries,5,false)</f>
        <v>Europe</v>
      </c>
      <c r="M163" s="7" t="str">
        <f>VLOOKUP($J163,countries,6,false)</f>
        <v>Southern Europe</v>
      </c>
      <c r="N163" s="7">
        <v>8969.0</v>
      </c>
      <c r="O163" s="7" t="str">
        <f>VLOOKUP(N163, products, 2, FALSE)</f>
        <v>Snacks</v>
      </c>
      <c r="P163" s="7" t="s">
        <v>334</v>
      </c>
      <c r="Q163" s="7">
        <v>6302.0</v>
      </c>
      <c r="R163" s="17">
        <v>152.58</v>
      </c>
      <c r="S163" s="17">
        <v>97.44</v>
      </c>
      <c r="U163" s="18">
        <f t="shared" si="6"/>
        <v>961559.16</v>
      </c>
      <c r="V163" s="18">
        <f t="shared" si="7"/>
        <v>614066.88</v>
      </c>
      <c r="W163" s="19">
        <f t="shared" si="8"/>
        <v>347492.28</v>
      </c>
    </row>
    <row r="164">
      <c r="A164" s="7">
        <v>2.02047002E8</v>
      </c>
      <c r="B164" s="12">
        <v>40937.0</v>
      </c>
      <c r="C164" s="7">
        <f t="shared" si="1"/>
        <v>2012</v>
      </c>
      <c r="D164" s="14" t="str">
        <f t="shared" si="2"/>
        <v>01 - Jan</v>
      </c>
      <c r="E164" s="15" t="str">
        <f t="shared" si="3"/>
        <v>Sun</v>
      </c>
      <c r="F164" s="15">
        <f t="shared" si="4"/>
        <v>7</v>
      </c>
      <c r="G164" s="16">
        <v>40974.0</v>
      </c>
      <c r="H164" s="14">
        <f t="shared" si="5"/>
        <v>37</v>
      </c>
      <c r="I164" s="7" t="s">
        <v>399</v>
      </c>
      <c r="J164" s="7" t="s">
        <v>771</v>
      </c>
      <c r="K164" s="7" t="str">
        <f>VLOOKUP(J164,countries,2,false)</f>
        <v>Ukraine</v>
      </c>
      <c r="L164" s="7" t="str">
        <f>VLOOKUP($J164,countries,5,false)</f>
        <v>Europe</v>
      </c>
      <c r="M164" s="7" t="str">
        <f>VLOOKUP($J164,countries,6,false)</f>
        <v>Eastern Europe</v>
      </c>
      <c r="N164" s="7">
        <v>8293.0</v>
      </c>
      <c r="O164" s="7" t="str">
        <f>VLOOKUP(N164, products, 2, FALSE)</f>
        <v>Cosmetics</v>
      </c>
      <c r="P164" s="7" t="s">
        <v>264</v>
      </c>
      <c r="Q164" s="7">
        <v>9053.0</v>
      </c>
      <c r="R164" s="17">
        <v>437.2</v>
      </c>
      <c r="S164" s="17">
        <v>263.33</v>
      </c>
      <c r="U164" s="18">
        <f t="shared" si="6"/>
        <v>3957971.6</v>
      </c>
      <c r="V164" s="18">
        <f t="shared" si="7"/>
        <v>2383926.49</v>
      </c>
      <c r="W164" s="19">
        <f t="shared" si="8"/>
        <v>1574045.11</v>
      </c>
    </row>
    <row r="165">
      <c r="A165" s="7">
        <v>2.0303663E8</v>
      </c>
      <c r="B165" s="12">
        <v>42179.0</v>
      </c>
      <c r="C165" s="7">
        <f t="shared" si="1"/>
        <v>2015</v>
      </c>
      <c r="D165" s="14" t="str">
        <f t="shared" si="2"/>
        <v>06 - Jun</v>
      </c>
      <c r="E165" s="15" t="str">
        <f t="shared" si="3"/>
        <v>Wed</v>
      </c>
      <c r="F165" s="15">
        <f t="shared" si="4"/>
        <v>3</v>
      </c>
      <c r="G165" s="16">
        <v>42213.0</v>
      </c>
      <c r="H165" s="14">
        <f t="shared" si="5"/>
        <v>34</v>
      </c>
      <c r="I165" s="7" t="s">
        <v>364</v>
      </c>
      <c r="J165" s="7" t="s">
        <v>316</v>
      </c>
      <c r="K165" s="7" t="str">
        <f>VLOOKUP(J165,countries,2,false)</f>
        <v>Georgia</v>
      </c>
      <c r="L165" s="7" t="str">
        <f>VLOOKUP($J165,countries,5,false)</f>
        <v>Asia</v>
      </c>
      <c r="M165" s="7" t="str">
        <f>VLOOKUP($J165,countries,6,false)</f>
        <v>Western Asia</v>
      </c>
      <c r="N165" s="7">
        <v>7331.0</v>
      </c>
      <c r="O165" s="7" t="str">
        <f>VLOOKUP(N165, products, 2, FALSE)</f>
        <v>Baby Food</v>
      </c>
      <c r="P165" s="7" t="s">
        <v>264</v>
      </c>
      <c r="Q165" s="7">
        <v>1905.0</v>
      </c>
      <c r="R165" s="17">
        <v>255.28</v>
      </c>
      <c r="S165" s="17">
        <v>159.42</v>
      </c>
      <c r="U165" s="18">
        <f t="shared" si="6"/>
        <v>486308.4</v>
      </c>
      <c r="V165" s="18">
        <f t="shared" si="7"/>
        <v>303695.1</v>
      </c>
      <c r="W165" s="19">
        <f t="shared" si="8"/>
        <v>182613.3</v>
      </c>
    </row>
    <row r="166">
      <c r="A166" s="7">
        <v>2.03955876E8</v>
      </c>
      <c r="B166" s="12">
        <v>40344.0</v>
      </c>
      <c r="C166" s="7">
        <f t="shared" si="1"/>
        <v>2010</v>
      </c>
      <c r="D166" s="14" t="str">
        <f t="shared" si="2"/>
        <v>06 - Jun</v>
      </c>
      <c r="E166" s="15" t="str">
        <f t="shared" si="3"/>
        <v>Tue</v>
      </c>
      <c r="F166" s="15">
        <f t="shared" si="4"/>
        <v>2</v>
      </c>
      <c r="G166" s="16">
        <v>40377.0</v>
      </c>
      <c r="H166" s="14">
        <f t="shared" si="5"/>
        <v>33</v>
      </c>
      <c r="I166" s="7" t="s">
        <v>232</v>
      </c>
      <c r="J166" s="7" t="s">
        <v>381</v>
      </c>
      <c r="K166" s="7" t="str">
        <f>VLOOKUP(J166,countries,2,false)</f>
        <v>Iceland</v>
      </c>
      <c r="L166" s="7" t="str">
        <f>VLOOKUP($J166,countries,5,false)</f>
        <v>Europe</v>
      </c>
      <c r="M166" s="7" t="str">
        <f>VLOOKUP($J166,countries,6,false)</f>
        <v>Northern Europe</v>
      </c>
      <c r="N166" s="7">
        <v>2103.0</v>
      </c>
      <c r="O166" s="7" t="str">
        <f>VLOOKUP(N166, products, 2, FALSE)</f>
        <v>Cereal</v>
      </c>
      <c r="P166" s="7" t="s">
        <v>264</v>
      </c>
      <c r="Q166" s="7">
        <v>3931.0</v>
      </c>
      <c r="R166" s="17">
        <v>205.7</v>
      </c>
      <c r="S166" s="17">
        <v>117.11</v>
      </c>
      <c r="U166" s="18">
        <f t="shared" si="6"/>
        <v>808606.7</v>
      </c>
      <c r="V166" s="18">
        <f t="shared" si="7"/>
        <v>460359.41</v>
      </c>
      <c r="W166" s="19">
        <f t="shared" si="8"/>
        <v>348247.29</v>
      </c>
    </row>
    <row r="167">
      <c r="A167" s="7">
        <v>2.04392325E8</v>
      </c>
      <c r="B167" s="12">
        <v>40775.0</v>
      </c>
      <c r="C167" s="7">
        <f t="shared" si="1"/>
        <v>2011</v>
      </c>
      <c r="D167" s="14" t="str">
        <f t="shared" si="2"/>
        <v>08 - Aug</v>
      </c>
      <c r="E167" s="15" t="str">
        <f t="shared" si="3"/>
        <v>Sat</v>
      </c>
      <c r="F167" s="15">
        <f t="shared" si="4"/>
        <v>6</v>
      </c>
      <c r="G167" s="16">
        <v>40812.0</v>
      </c>
      <c r="H167" s="14">
        <f t="shared" si="5"/>
        <v>37</v>
      </c>
      <c r="I167" s="7" t="s">
        <v>399</v>
      </c>
      <c r="J167" s="7" t="s">
        <v>378</v>
      </c>
      <c r="K167" s="7" t="str">
        <f>VLOOKUP(J167,countries,2,false)</f>
        <v>Hungary</v>
      </c>
      <c r="L167" s="7" t="str">
        <f>VLOOKUP($J167,countries,5,false)</f>
        <v>Europe</v>
      </c>
      <c r="M167" s="7" t="str">
        <f>VLOOKUP($J167,countries,6,false)</f>
        <v>Eastern Europe</v>
      </c>
      <c r="N167" s="7">
        <v>8681.0</v>
      </c>
      <c r="O167" s="7" t="str">
        <f>VLOOKUP(N167, products, 2, FALSE)</f>
        <v>Office Supplies</v>
      </c>
      <c r="P167" s="7" t="s">
        <v>264</v>
      </c>
      <c r="Q167" s="7">
        <v>3086.0</v>
      </c>
      <c r="R167" s="17">
        <v>651.21</v>
      </c>
      <c r="S167" s="17">
        <v>524.96</v>
      </c>
      <c r="U167" s="18">
        <f t="shared" si="6"/>
        <v>2009634.06</v>
      </c>
      <c r="V167" s="18">
        <f t="shared" si="7"/>
        <v>1620026.56</v>
      </c>
      <c r="W167" s="19">
        <f t="shared" si="8"/>
        <v>389607.5</v>
      </c>
    </row>
    <row r="168">
      <c r="A168" s="7">
        <v>2.04418504E8</v>
      </c>
      <c r="B168" s="12">
        <v>42223.0</v>
      </c>
      <c r="C168" s="7">
        <f t="shared" si="1"/>
        <v>2015</v>
      </c>
      <c r="D168" s="14" t="str">
        <f t="shared" si="2"/>
        <v>08 - Aug</v>
      </c>
      <c r="E168" s="15" t="str">
        <f t="shared" si="3"/>
        <v>Fri</v>
      </c>
      <c r="F168" s="15">
        <f t="shared" si="4"/>
        <v>5</v>
      </c>
      <c r="G168" s="16">
        <v>42250.0</v>
      </c>
      <c r="H168" s="14">
        <f t="shared" si="5"/>
        <v>27</v>
      </c>
      <c r="I168" s="7" t="s">
        <v>305</v>
      </c>
      <c r="J168" s="7" t="s">
        <v>319</v>
      </c>
      <c r="K168" s="7" t="str">
        <f>VLOOKUP(J168,countries,2,false)</f>
        <v>Germany</v>
      </c>
      <c r="L168" s="7" t="str">
        <f>VLOOKUP($J168,countries,5,false)</f>
        <v>Europe</v>
      </c>
      <c r="M168" s="7" t="str">
        <f>VLOOKUP($J168,countries,6,false)</f>
        <v>Western Europe</v>
      </c>
      <c r="N168" s="7">
        <v>5988.0</v>
      </c>
      <c r="O168" s="7" t="str">
        <f>VLOOKUP(N168, products, 2, FALSE)</f>
        <v>Vegetables</v>
      </c>
      <c r="P168" s="7" t="s">
        <v>334</v>
      </c>
      <c r="Q168" s="7">
        <v>833.0</v>
      </c>
      <c r="R168" s="17">
        <v>154.06</v>
      </c>
      <c r="S168" s="17">
        <v>90.93</v>
      </c>
      <c r="U168" s="18">
        <f t="shared" si="6"/>
        <v>128331.98</v>
      </c>
      <c r="V168" s="18">
        <f t="shared" si="7"/>
        <v>75744.69</v>
      </c>
      <c r="W168" s="19">
        <f t="shared" si="8"/>
        <v>52587.29</v>
      </c>
    </row>
    <row r="169">
      <c r="A169" s="7">
        <v>2.05354487E8</v>
      </c>
      <c r="B169" s="12">
        <v>40951.0</v>
      </c>
      <c r="C169" s="7">
        <f t="shared" si="1"/>
        <v>2012</v>
      </c>
      <c r="D169" s="14" t="str">
        <f t="shared" si="2"/>
        <v>02 - Feb</v>
      </c>
      <c r="E169" s="15" t="str">
        <f t="shared" si="3"/>
        <v>Sun</v>
      </c>
      <c r="F169" s="15">
        <f t="shared" si="4"/>
        <v>7</v>
      </c>
      <c r="G169" s="16">
        <v>40959.0</v>
      </c>
      <c r="H169" s="14">
        <f t="shared" si="5"/>
        <v>8</v>
      </c>
      <c r="I169" s="7" t="s">
        <v>399</v>
      </c>
      <c r="J169" s="7" t="s">
        <v>146</v>
      </c>
      <c r="K169" s="7" t="str">
        <f>VLOOKUP(J169,countries,2,false)</f>
        <v>Bosnia and Herzegovina</v>
      </c>
      <c r="L169" s="7" t="str">
        <f>VLOOKUP($J169,countries,5,false)</f>
        <v>Europe</v>
      </c>
      <c r="M169" s="7" t="str">
        <f>VLOOKUP($J169,countries,6,false)</f>
        <v>Southern Europe</v>
      </c>
      <c r="N169" s="7">
        <v>8293.0</v>
      </c>
      <c r="O169" s="7" t="str">
        <f>VLOOKUP(N169, products, 2, FALSE)</f>
        <v>Cosmetics</v>
      </c>
      <c r="P169" s="7" t="s">
        <v>334</v>
      </c>
      <c r="Q169" s="7">
        <v>7811.0</v>
      </c>
      <c r="R169" s="17">
        <v>437.2</v>
      </c>
      <c r="S169" s="17">
        <v>263.33</v>
      </c>
      <c r="U169" s="18">
        <f t="shared" si="6"/>
        <v>3414969.2</v>
      </c>
      <c r="V169" s="18">
        <f t="shared" si="7"/>
        <v>2056870.63</v>
      </c>
      <c r="W169" s="19">
        <f t="shared" si="8"/>
        <v>1358098.57</v>
      </c>
    </row>
    <row r="170">
      <c r="A170" s="7">
        <v>2.08238399E8</v>
      </c>
      <c r="B170" s="12">
        <v>42245.0</v>
      </c>
      <c r="C170" s="7">
        <f t="shared" si="1"/>
        <v>2015</v>
      </c>
      <c r="D170" s="14" t="str">
        <f t="shared" si="2"/>
        <v>08 - Aug</v>
      </c>
      <c r="E170" s="15" t="str">
        <f t="shared" si="3"/>
        <v>Sat</v>
      </c>
      <c r="F170" s="15">
        <f t="shared" si="4"/>
        <v>6</v>
      </c>
      <c r="G170" s="16">
        <v>42292.0</v>
      </c>
      <c r="H170" s="14">
        <f t="shared" si="5"/>
        <v>47</v>
      </c>
      <c r="I170" s="7" t="s">
        <v>364</v>
      </c>
      <c r="J170" s="7" t="s">
        <v>41</v>
      </c>
      <c r="K170" s="7" t="str">
        <f>VLOOKUP(J170,countries,2,false)</f>
        <v>Albania</v>
      </c>
      <c r="L170" s="7" t="str">
        <f>VLOOKUP($J170,countries,5,false)</f>
        <v>Europe</v>
      </c>
      <c r="M170" s="7" t="str">
        <f>VLOOKUP($J170,countries,6,false)</f>
        <v>Southern Europe</v>
      </c>
      <c r="N170" s="7">
        <v>8293.0</v>
      </c>
      <c r="O170" s="7" t="str">
        <f>VLOOKUP(N170, products, 2, FALSE)</f>
        <v>Cosmetics</v>
      </c>
      <c r="P170" s="7" t="s">
        <v>334</v>
      </c>
      <c r="Q170" s="7">
        <v>1224.0</v>
      </c>
      <c r="R170" s="17">
        <v>437.2</v>
      </c>
      <c r="S170" s="17">
        <v>263.33</v>
      </c>
      <c r="U170" s="18">
        <f t="shared" si="6"/>
        <v>535132.8</v>
      </c>
      <c r="V170" s="18">
        <f t="shared" si="7"/>
        <v>322315.92</v>
      </c>
      <c r="W170" s="19">
        <f t="shared" si="8"/>
        <v>212816.88</v>
      </c>
    </row>
    <row r="171">
      <c r="A171" s="7">
        <v>2.08365428E8</v>
      </c>
      <c r="B171" s="12">
        <v>42335.0</v>
      </c>
      <c r="C171" s="7">
        <f t="shared" si="1"/>
        <v>2015</v>
      </c>
      <c r="D171" s="14" t="str">
        <f t="shared" si="2"/>
        <v>11 - Nov</v>
      </c>
      <c r="E171" s="15" t="str">
        <f t="shared" si="3"/>
        <v>Fri</v>
      </c>
      <c r="F171" s="15">
        <f t="shared" si="4"/>
        <v>5</v>
      </c>
      <c r="G171" s="16">
        <v>42367.0</v>
      </c>
      <c r="H171" s="14">
        <f t="shared" si="5"/>
        <v>32</v>
      </c>
      <c r="I171" s="7" t="s">
        <v>232</v>
      </c>
      <c r="J171" s="7" t="s">
        <v>608</v>
      </c>
      <c r="K171" s="7" t="str">
        <f>VLOOKUP(J171,countries,2,false)</f>
        <v>Poland</v>
      </c>
      <c r="L171" s="7" t="str">
        <f>VLOOKUP($J171,countries,5,false)</f>
        <v>Europe</v>
      </c>
      <c r="M171" s="7" t="str">
        <f>VLOOKUP($J171,countries,6,false)</f>
        <v>Eastern Europe</v>
      </c>
      <c r="N171" s="7">
        <v>8681.0</v>
      </c>
      <c r="O171" s="7" t="str">
        <f>VLOOKUP(N171, products, 2, FALSE)</f>
        <v>Office Supplies</v>
      </c>
      <c r="P171" s="7" t="s">
        <v>334</v>
      </c>
      <c r="Q171" s="7">
        <v>8815.0</v>
      </c>
      <c r="R171" s="17">
        <v>651.21</v>
      </c>
      <c r="S171" s="17">
        <v>524.96</v>
      </c>
      <c r="U171" s="18">
        <f t="shared" si="6"/>
        <v>5740416.15</v>
      </c>
      <c r="V171" s="18">
        <f t="shared" si="7"/>
        <v>4627522.4</v>
      </c>
      <c r="W171" s="19">
        <f t="shared" si="8"/>
        <v>1112893.75</v>
      </c>
    </row>
    <row r="172">
      <c r="A172" s="7">
        <v>2.09357202E8</v>
      </c>
      <c r="B172" s="12">
        <v>42018.0</v>
      </c>
      <c r="C172" s="7">
        <f t="shared" si="1"/>
        <v>2015</v>
      </c>
      <c r="D172" s="14" t="str">
        <f t="shared" si="2"/>
        <v>01 - Jan</v>
      </c>
      <c r="E172" s="15" t="str">
        <f t="shared" si="3"/>
        <v>Wed</v>
      </c>
      <c r="F172" s="15">
        <f t="shared" si="4"/>
        <v>3</v>
      </c>
      <c r="G172" s="16">
        <v>42026.0</v>
      </c>
      <c r="H172" s="14">
        <f t="shared" si="5"/>
        <v>8</v>
      </c>
      <c r="I172" s="7" t="s">
        <v>399</v>
      </c>
      <c r="J172" s="7" t="s">
        <v>435</v>
      </c>
      <c r="K172" s="7" t="str">
        <f>VLOOKUP(J172,countries,2,false)</f>
        <v>Slovakia</v>
      </c>
      <c r="L172" s="7" t="str">
        <f>VLOOKUP($J172,countries,5,false)</f>
        <v>Europe</v>
      </c>
      <c r="M172" s="7" t="str">
        <f>VLOOKUP($J172,countries,6,false)</f>
        <v>Eastern Europe</v>
      </c>
      <c r="N172" s="7">
        <v>2103.0</v>
      </c>
      <c r="O172" s="7" t="str">
        <f>VLOOKUP(N172, products, 2, FALSE)</f>
        <v>Cereal</v>
      </c>
      <c r="P172" s="7" t="s">
        <v>264</v>
      </c>
      <c r="Q172" s="7">
        <v>2303.0</v>
      </c>
      <c r="R172" s="17">
        <v>205.7</v>
      </c>
      <c r="S172" s="17">
        <v>117.11</v>
      </c>
      <c r="U172" s="18">
        <f t="shared" si="6"/>
        <v>473727.1</v>
      </c>
      <c r="V172" s="18">
        <f t="shared" si="7"/>
        <v>269704.33</v>
      </c>
      <c r="W172" s="19">
        <f t="shared" si="8"/>
        <v>204022.77</v>
      </c>
    </row>
    <row r="173">
      <c r="A173" s="7">
        <v>2.09445178E8</v>
      </c>
      <c r="B173" s="12">
        <v>41716.0</v>
      </c>
      <c r="C173" s="7">
        <f t="shared" si="1"/>
        <v>2014</v>
      </c>
      <c r="D173" s="14" t="str">
        <f t="shared" si="2"/>
        <v>03 - Mar</v>
      </c>
      <c r="E173" s="15" t="str">
        <f t="shared" si="3"/>
        <v>Tue</v>
      </c>
      <c r="F173" s="15">
        <f t="shared" si="4"/>
        <v>2</v>
      </c>
      <c r="G173" s="16">
        <v>41749.0</v>
      </c>
      <c r="H173" s="14">
        <f t="shared" si="5"/>
        <v>33</v>
      </c>
      <c r="I173" s="7" t="s">
        <v>232</v>
      </c>
      <c r="J173" s="7" t="s">
        <v>720</v>
      </c>
      <c r="K173" s="7" t="str">
        <f>VLOOKUP(J173,countries,2,false)</f>
        <v>Switzerland</v>
      </c>
      <c r="L173" s="7" t="str">
        <f>VLOOKUP($J173,countries,5,false)</f>
        <v>Europe</v>
      </c>
      <c r="M173" s="7" t="str">
        <f>VLOOKUP($J173,countries,6,false)</f>
        <v>Western Europe</v>
      </c>
      <c r="N173" s="7">
        <v>8293.0</v>
      </c>
      <c r="O173" s="7" t="str">
        <f>VLOOKUP(N173, products, 2, FALSE)</f>
        <v>Cosmetics</v>
      </c>
      <c r="P173" s="7" t="s">
        <v>334</v>
      </c>
      <c r="Q173" s="7">
        <v>8337.0</v>
      </c>
      <c r="R173" s="17">
        <v>437.2</v>
      </c>
      <c r="S173" s="17">
        <v>263.33</v>
      </c>
      <c r="U173" s="18">
        <f t="shared" si="6"/>
        <v>3644936.4</v>
      </c>
      <c r="V173" s="18">
        <f t="shared" si="7"/>
        <v>2195382.21</v>
      </c>
      <c r="W173" s="19">
        <f t="shared" si="8"/>
        <v>1449554.19</v>
      </c>
    </row>
    <row r="174">
      <c r="A174" s="7">
        <v>2.09598815E8</v>
      </c>
      <c r="B174" s="12">
        <v>41283.0</v>
      </c>
      <c r="C174" s="7">
        <f t="shared" si="1"/>
        <v>2013</v>
      </c>
      <c r="D174" s="14" t="str">
        <f t="shared" si="2"/>
        <v>01 - Jan</v>
      </c>
      <c r="E174" s="15" t="str">
        <f t="shared" si="3"/>
        <v>Wed</v>
      </c>
      <c r="F174" s="15">
        <f t="shared" si="4"/>
        <v>3</v>
      </c>
      <c r="G174" s="16">
        <v>41285.0</v>
      </c>
      <c r="H174" s="14">
        <f t="shared" si="5"/>
        <v>2</v>
      </c>
      <c r="I174" s="7" t="s">
        <v>364</v>
      </c>
      <c r="J174" s="7" t="s">
        <v>240</v>
      </c>
      <c r="K174" s="7" t="str">
        <f>VLOOKUP(J174,countries,2,false)</f>
        <v>Cyprus</v>
      </c>
      <c r="L174" s="7" t="str">
        <f>VLOOKUP($J174,countries,5,false)</f>
        <v>Asia</v>
      </c>
      <c r="M174" s="7" t="str">
        <f>VLOOKUP($J174,countries,6,false)</f>
        <v>Western Asia</v>
      </c>
      <c r="N174" s="7">
        <v>2455.0</v>
      </c>
      <c r="O174" s="7" t="str">
        <f>VLOOKUP(N174, products, 2, FALSE)</f>
        <v>Clothes</v>
      </c>
      <c r="P174" s="7" t="s">
        <v>334</v>
      </c>
      <c r="Q174" s="7">
        <v>3802.0</v>
      </c>
      <c r="R174" s="17">
        <v>109.28</v>
      </c>
      <c r="S174" s="17">
        <v>35.84</v>
      </c>
      <c r="U174" s="18">
        <f t="shared" si="6"/>
        <v>415482.56</v>
      </c>
      <c r="V174" s="18">
        <f t="shared" si="7"/>
        <v>136263.68</v>
      </c>
      <c r="W174" s="19">
        <f t="shared" si="8"/>
        <v>279218.88</v>
      </c>
    </row>
    <row r="175">
      <c r="A175" s="7">
        <v>2.09736573E8</v>
      </c>
      <c r="B175" s="12">
        <v>41875.0</v>
      </c>
      <c r="C175" s="7">
        <f t="shared" si="1"/>
        <v>2014</v>
      </c>
      <c r="D175" s="14" t="str">
        <f t="shared" si="2"/>
        <v>08 - Aug</v>
      </c>
      <c r="E175" s="15" t="str">
        <f t="shared" si="3"/>
        <v>Sun</v>
      </c>
      <c r="F175" s="15">
        <f t="shared" si="4"/>
        <v>7</v>
      </c>
      <c r="G175" s="16">
        <v>41906.0</v>
      </c>
      <c r="H175" s="14">
        <f t="shared" si="5"/>
        <v>31</v>
      </c>
      <c r="I175" s="7" t="s">
        <v>305</v>
      </c>
      <c r="J175" s="7" t="s">
        <v>306</v>
      </c>
      <c r="K175" s="7" t="str">
        <f>VLOOKUP(J175,countries,2,false)</f>
        <v>Serbia</v>
      </c>
      <c r="L175" s="7" t="str">
        <f>VLOOKUP($J175,countries,5,false)</f>
        <v>Europe</v>
      </c>
      <c r="M175" s="7" t="str">
        <f>VLOOKUP($J175,countries,6,false)</f>
        <v>Southern Europe</v>
      </c>
      <c r="N175" s="7">
        <v>8681.0</v>
      </c>
      <c r="O175" s="7" t="str">
        <f>VLOOKUP(N175, products, 2, FALSE)</f>
        <v>Office Supplies</v>
      </c>
      <c r="P175" s="7" t="s">
        <v>334</v>
      </c>
      <c r="Q175" s="7">
        <v>4568.0</v>
      </c>
      <c r="R175" s="17">
        <v>651.21</v>
      </c>
      <c r="S175" s="17">
        <v>524.96</v>
      </c>
      <c r="U175" s="18">
        <f t="shared" si="6"/>
        <v>2974727.28</v>
      </c>
      <c r="V175" s="18">
        <f t="shared" si="7"/>
        <v>2398017.28</v>
      </c>
      <c r="W175" s="19">
        <f t="shared" si="8"/>
        <v>576710</v>
      </c>
    </row>
    <row r="176">
      <c r="A176" s="7">
        <v>2.11344611E8</v>
      </c>
      <c r="B176" s="12">
        <v>40238.0</v>
      </c>
      <c r="C176" s="7">
        <f t="shared" si="1"/>
        <v>2010</v>
      </c>
      <c r="D176" s="14" t="str">
        <f t="shared" si="2"/>
        <v>03 - Mar</v>
      </c>
      <c r="E176" s="15" t="str">
        <f t="shared" si="3"/>
        <v>Mon</v>
      </c>
      <c r="F176" s="15">
        <f t="shared" si="4"/>
        <v>1</v>
      </c>
      <c r="G176" s="16">
        <v>40260.0</v>
      </c>
      <c r="H176" s="14">
        <f t="shared" si="5"/>
        <v>22</v>
      </c>
      <c r="I176" s="7" t="s">
        <v>364</v>
      </c>
      <c r="J176" s="7" t="s">
        <v>165</v>
      </c>
      <c r="K176" s="7" t="str">
        <f>VLOOKUP(J176,countries,2,false)</f>
        <v>Bulgaria</v>
      </c>
      <c r="L176" s="7" t="str">
        <f>VLOOKUP($J176,countries,5,false)</f>
        <v>Europe</v>
      </c>
      <c r="M176" s="7" t="str">
        <f>VLOOKUP($J176,countries,6,false)</f>
        <v>Eastern Europe</v>
      </c>
      <c r="N176" s="7">
        <v>8969.0</v>
      </c>
      <c r="O176" s="7" t="str">
        <f>VLOOKUP(N176, products, 2, FALSE)</f>
        <v>Snacks</v>
      </c>
      <c r="P176" s="7" t="s">
        <v>334</v>
      </c>
      <c r="Q176" s="7">
        <v>422.0</v>
      </c>
      <c r="R176" s="17">
        <v>152.58</v>
      </c>
      <c r="S176" s="17">
        <v>97.44</v>
      </c>
      <c r="U176" s="18">
        <f t="shared" si="6"/>
        <v>64388.76</v>
      </c>
      <c r="V176" s="18">
        <f t="shared" si="7"/>
        <v>41119.68</v>
      </c>
      <c r="W176" s="19">
        <f t="shared" si="8"/>
        <v>23269.08</v>
      </c>
    </row>
    <row r="177">
      <c r="A177" s="7">
        <v>2.12106788E8</v>
      </c>
      <c r="B177" s="12">
        <v>40778.0</v>
      </c>
      <c r="C177" s="7">
        <f t="shared" si="1"/>
        <v>2011</v>
      </c>
      <c r="D177" s="14" t="str">
        <f t="shared" si="2"/>
        <v>08 - Aug</v>
      </c>
      <c r="E177" s="15" t="str">
        <f t="shared" si="3"/>
        <v>Tue</v>
      </c>
      <c r="F177" s="15">
        <f t="shared" si="4"/>
        <v>2</v>
      </c>
      <c r="G177" s="16">
        <v>40812.0</v>
      </c>
      <c r="H177" s="14">
        <f t="shared" si="5"/>
        <v>34</v>
      </c>
      <c r="I177" s="7" t="s">
        <v>399</v>
      </c>
      <c r="J177" s="7" t="s">
        <v>465</v>
      </c>
      <c r="K177" s="7" t="str">
        <f>VLOOKUP(J177,countries,2,false)</f>
        <v>Lithuania</v>
      </c>
      <c r="L177" s="7" t="str">
        <f>VLOOKUP($J177,countries,5,false)</f>
        <v>Europe</v>
      </c>
      <c r="M177" s="7" t="str">
        <f>VLOOKUP($J177,countries,6,false)</f>
        <v>Northern Europe</v>
      </c>
      <c r="N177" s="7">
        <v>8681.0</v>
      </c>
      <c r="O177" s="7" t="str">
        <f>VLOOKUP(N177, products, 2, FALSE)</f>
        <v>Office Supplies</v>
      </c>
      <c r="P177" s="7" t="s">
        <v>264</v>
      </c>
      <c r="Q177" s="7">
        <v>5967.0</v>
      </c>
      <c r="R177" s="17">
        <v>651.21</v>
      </c>
      <c r="S177" s="17">
        <v>524.96</v>
      </c>
      <c r="U177" s="18">
        <f t="shared" si="6"/>
        <v>3885770.07</v>
      </c>
      <c r="V177" s="18">
        <f t="shared" si="7"/>
        <v>3132436.32</v>
      </c>
      <c r="W177" s="19">
        <f t="shared" si="8"/>
        <v>753333.75</v>
      </c>
    </row>
    <row r="178">
      <c r="A178" s="7">
        <v>2.12319648E8</v>
      </c>
      <c r="B178" s="12">
        <v>42124.0</v>
      </c>
      <c r="C178" s="7">
        <f t="shared" si="1"/>
        <v>2015</v>
      </c>
      <c r="D178" s="14" t="str">
        <f t="shared" si="2"/>
        <v>04 - Apr</v>
      </c>
      <c r="E178" s="15" t="str">
        <f t="shared" si="3"/>
        <v>Thu</v>
      </c>
      <c r="F178" s="15">
        <f t="shared" si="4"/>
        <v>4</v>
      </c>
      <c r="G178" s="16">
        <v>42139.0</v>
      </c>
      <c r="H178" s="14">
        <f t="shared" si="5"/>
        <v>15</v>
      </c>
      <c r="I178" s="7" t="s">
        <v>364</v>
      </c>
      <c r="J178" s="7" t="s">
        <v>570</v>
      </c>
      <c r="K178" s="7" t="str">
        <f>VLOOKUP(J178,countries,2,false)</f>
        <v>Macedonia</v>
      </c>
      <c r="L178" s="7" t="str">
        <f>VLOOKUP($J178,countries,5,false)</f>
        <v>Europe</v>
      </c>
      <c r="M178" s="7" t="str">
        <f>VLOOKUP($J178,countries,6,false)</f>
        <v>Southern Europe</v>
      </c>
      <c r="N178" s="7">
        <v>1270.0</v>
      </c>
      <c r="O178" s="7" t="str">
        <f>VLOOKUP(N178, products, 2, FALSE)</f>
        <v>Beverages</v>
      </c>
      <c r="P178" s="7" t="s">
        <v>334</v>
      </c>
      <c r="Q178" s="7">
        <v>8957.0</v>
      </c>
      <c r="R178" s="17">
        <v>47.45</v>
      </c>
      <c r="S178" s="17">
        <v>31.79</v>
      </c>
      <c r="U178" s="18">
        <f t="shared" si="6"/>
        <v>425009.65</v>
      </c>
      <c r="V178" s="18">
        <f t="shared" si="7"/>
        <v>284743.03</v>
      </c>
      <c r="W178" s="19">
        <f t="shared" si="8"/>
        <v>140266.62</v>
      </c>
    </row>
    <row r="179">
      <c r="A179" s="7">
        <v>2.12903726E8</v>
      </c>
      <c r="B179" s="12">
        <v>42061.0</v>
      </c>
      <c r="C179" s="7">
        <f t="shared" si="1"/>
        <v>2015</v>
      </c>
      <c r="D179" s="14" t="str">
        <f t="shared" si="2"/>
        <v>02 - Feb</v>
      </c>
      <c r="E179" s="15" t="str">
        <f t="shared" si="3"/>
        <v>Thu</v>
      </c>
      <c r="F179" s="15">
        <f t="shared" si="4"/>
        <v>4</v>
      </c>
      <c r="G179" s="16">
        <v>42061.0</v>
      </c>
      <c r="H179" s="14">
        <f t="shared" si="5"/>
        <v>0</v>
      </c>
      <c r="I179" s="7" t="s">
        <v>364</v>
      </c>
      <c r="J179" s="7" t="s">
        <v>67</v>
      </c>
      <c r="K179" s="7" t="str">
        <f>VLOOKUP(J179,countries,2,false)</f>
        <v>Andorra</v>
      </c>
      <c r="L179" s="7" t="str">
        <f>VLOOKUP($J179,countries,5,false)</f>
        <v>Europe</v>
      </c>
      <c r="M179" s="7" t="str">
        <f>VLOOKUP($J179,countries,6,false)</f>
        <v>Southern Europe</v>
      </c>
      <c r="N179" s="7">
        <v>8875.0</v>
      </c>
      <c r="O179" s="7" t="str">
        <f>VLOOKUP(N179, products, 2, FALSE)</f>
        <v>Meat</v>
      </c>
      <c r="P179" s="7" t="s">
        <v>264</v>
      </c>
      <c r="Q179" s="7">
        <v>1798.0</v>
      </c>
      <c r="R179" s="17">
        <v>421.89</v>
      </c>
      <c r="S179" s="17">
        <v>364.69</v>
      </c>
      <c r="U179" s="18">
        <f t="shared" si="6"/>
        <v>758558.22</v>
      </c>
      <c r="V179" s="18">
        <f t="shared" si="7"/>
        <v>655712.62</v>
      </c>
      <c r="W179" s="19">
        <f t="shared" si="8"/>
        <v>102845.6</v>
      </c>
    </row>
    <row r="180">
      <c r="A180" s="7">
        <v>2.14033257E8</v>
      </c>
      <c r="B180" s="12">
        <v>42337.0</v>
      </c>
      <c r="C180" s="7">
        <f t="shared" si="1"/>
        <v>2015</v>
      </c>
      <c r="D180" s="14" t="str">
        <f t="shared" si="2"/>
        <v>11 - Nov</v>
      </c>
      <c r="E180" s="15" t="str">
        <f t="shared" si="3"/>
        <v>Sun</v>
      </c>
      <c r="F180" s="15">
        <f t="shared" si="4"/>
        <v>7</v>
      </c>
      <c r="G180" s="16">
        <v>42341.0</v>
      </c>
      <c r="H180" s="14">
        <f t="shared" si="5"/>
        <v>4</v>
      </c>
      <c r="I180" s="7" t="s">
        <v>364</v>
      </c>
      <c r="J180" s="7" t="s">
        <v>626</v>
      </c>
      <c r="K180" s="7" t="str">
        <f>VLOOKUP(J180,countries,2,false)</f>
        <v>Russia</v>
      </c>
      <c r="L180" s="7" t="str">
        <f>VLOOKUP($J180,countries,5,false)</f>
        <v>Europe</v>
      </c>
      <c r="M180" s="7" t="str">
        <f>VLOOKUP($J180,countries,6,false)</f>
        <v>Eastern Europe</v>
      </c>
      <c r="N180" s="7">
        <v>8969.0</v>
      </c>
      <c r="O180" s="7" t="str">
        <f>VLOOKUP(N180, products, 2, FALSE)</f>
        <v>Snacks</v>
      </c>
      <c r="P180" s="7" t="s">
        <v>334</v>
      </c>
      <c r="Q180" s="7">
        <v>6052.0</v>
      </c>
      <c r="R180" s="17">
        <v>152.58</v>
      </c>
      <c r="S180" s="17">
        <v>97.44</v>
      </c>
      <c r="U180" s="18">
        <f t="shared" si="6"/>
        <v>923414.16</v>
      </c>
      <c r="V180" s="18">
        <f t="shared" si="7"/>
        <v>589706.88</v>
      </c>
      <c r="W180" s="19">
        <f t="shared" si="8"/>
        <v>333707.28</v>
      </c>
    </row>
    <row r="181">
      <c r="A181" s="7">
        <v>2.14292466E8</v>
      </c>
      <c r="B181" s="12">
        <v>40988.0</v>
      </c>
      <c r="C181" s="7">
        <f t="shared" si="1"/>
        <v>2012</v>
      </c>
      <c r="D181" s="14" t="str">
        <f t="shared" si="2"/>
        <v>03 - Mar</v>
      </c>
      <c r="E181" s="15" t="str">
        <f t="shared" si="3"/>
        <v>Tue</v>
      </c>
      <c r="F181" s="15">
        <f t="shared" si="4"/>
        <v>2</v>
      </c>
      <c r="G181" s="16">
        <v>41012.0</v>
      </c>
      <c r="H181" s="14">
        <f t="shared" si="5"/>
        <v>24</v>
      </c>
      <c r="I181" s="7" t="s">
        <v>364</v>
      </c>
      <c r="J181" s="7" t="s">
        <v>720</v>
      </c>
      <c r="K181" s="7" t="str">
        <f>VLOOKUP(J181,countries,2,false)</f>
        <v>Switzerland</v>
      </c>
      <c r="L181" s="7" t="str">
        <f>VLOOKUP($J181,countries,5,false)</f>
        <v>Europe</v>
      </c>
      <c r="M181" s="7" t="str">
        <f>VLOOKUP($J181,countries,6,false)</f>
        <v>Western Europe</v>
      </c>
      <c r="N181" s="7">
        <v>8969.0</v>
      </c>
      <c r="O181" s="7" t="str">
        <f>VLOOKUP(N181, products, 2, FALSE)</f>
        <v>Snacks</v>
      </c>
      <c r="P181" s="7" t="s">
        <v>264</v>
      </c>
      <c r="Q181" s="7">
        <v>2758.0</v>
      </c>
      <c r="R181" s="17">
        <v>152.58</v>
      </c>
      <c r="S181" s="17">
        <v>97.44</v>
      </c>
      <c r="U181" s="18">
        <f t="shared" si="6"/>
        <v>420815.64</v>
      </c>
      <c r="V181" s="18">
        <f t="shared" si="7"/>
        <v>268739.52</v>
      </c>
      <c r="W181" s="19">
        <f t="shared" si="8"/>
        <v>152076.12</v>
      </c>
    </row>
    <row r="182">
      <c r="A182" s="7">
        <v>2.15540015E8</v>
      </c>
      <c r="B182" s="12">
        <v>41264.0</v>
      </c>
      <c r="C182" s="7">
        <f t="shared" si="1"/>
        <v>2012</v>
      </c>
      <c r="D182" s="14" t="str">
        <f t="shared" si="2"/>
        <v>12 - Dec</v>
      </c>
      <c r="E182" s="15" t="str">
        <f t="shared" si="3"/>
        <v>Fri</v>
      </c>
      <c r="F182" s="15">
        <f t="shared" si="4"/>
        <v>5</v>
      </c>
      <c r="G182" s="16">
        <v>41267.0</v>
      </c>
      <c r="H182" s="14">
        <f t="shared" si="5"/>
        <v>3</v>
      </c>
      <c r="I182" s="7" t="s">
        <v>232</v>
      </c>
      <c r="J182" s="7" t="s">
        <v>623</v>
      </c>
      <c r="K182" s="7" t="str">
        <f>VLOOKUP(J182,countries,2,false)</f>
        <v>Romania</v>
      </c>
      <c r="L182" s="7" t="str">
        <f>VLOOKUP($J182,countries,5,false)</f>
        <v>Europe</v>
      </c>
      <c r="M182" s="7" t="str">
        <f>VLOOKUP($J182,countries,6,false)</f>
        <v>Eastern Europe</v>
      </c>
      <c r="N182" s="7">
        <v>3127.0</v>
      </c>
      <c r="O182" s="7" t="str">
        <f>VLOOKUP(N182, products, 2, FALSE)</f>
        <v>Personal Care</v>
      </c>
      <c r="P182" s="7" t="s">
        <v>334</v>
      </c>
      <c r="Q182" s="7">
        <v>1935.0</v>
      </c>
      <c r="R182" s="17">
        <v>81.73</v>
      </c>
      <c r="S182" s="17">
        <v>56.67</v>
      </c>
      <c r="U182" s="18">
        <f t="shared" si="6"/>
        <v>158147.55</v>
      </c>
      <c r="V182" s="18">
        <f t="shared" si="7"/>
        <v>109656.45</v>
      </c>
      <c r="W182" s="19">
        <f t="shared" si="8"/>
        <v>48491.1</v>
      </c>
    </row>
    <row r="183">
      <c r="A183" s="7">
        <v>2.15584218E8</v>
      </c>
      <c r="B183" s="12">
        <v>42893.0</v>
      </c>
      <c r="C183" s="7">
        <f t="shared" si="1"/>
        <v>2017</v>
      </c>
      <c r="D183" s="14" t="str">
        <f t="shared" si="2"/>
        <v>06 - Jun</v>
      </c>
      <c r="E183" s="15" t="str">
        <f t="shared" si="3"/>
        <v>Wed</v>
      </c>
      <c r="F183" s="15">
        <f t="shared" si="4"/>
        <v>3</v>
      </c>
      <c r="G183" s="16">
        <v>42907.0</v>
      </c>
      <c r="H183" s="14">
        <f t="shared" si="5"/>
        <v>14</v>
      </c>
      <c r="I183" s="7" t="s">
        <v>232</v>
      </c>
      <c r="J183" s="7" t="s">
        <v>120</v>
      </c>
      <c r="K183" s="7" t="str">
        <f>VLOOKUP(J183,countries,2,false)</f>
        <v>Belarus</v>
      </c>
      <c r="L183" s="7" t="str">
        <f>VLOOKUP($J183,countries,5,false)</f>
        <v>Europe</v>
      </c>
      <c r="M183" s="7" t="str">
        <f>VLOOKUP($J183,countries,6,false)</f>
        <v>Eastern Europe</v>
      </c>
      <c r="N183" s="7">
        <v>5988.0</v>
      </c>
      <c r="O183" s="7" t="str">
        <f>VLOOKUP(N183, products, 2, FALSE)</f>
        <v>Vegetables</v>
      </c>
      <c r="P183" s="7" t="s">
        <v>334</v>
      </c>
      <c r="Q183" s="7">
        <v>5016.0</v>
      </c>
      <c r="R183" s="17">
        <v>154.06</v>
      </c>
      <c r="S183" s="17">
        <v>90.93</v>
      </c>
      <c r="U183" s="18">
        <f t="shared" si="6"/>
        <v>772764.96</v>
      </c>
      <c r="V183" s="18">
        <f t="shared" si="7"/>
        <v>456104.88</v>
      </c>
      <c r="W183" s="19">
        <f t="shared" si="8"/>
        <v>316660.08</v>
      </c>
    </row>
    <row r="184">
      <c r="A184" s="7">
        <v>2.16278588E8</v>
      </c>
      <c r="B184" s="12">
        <v>42357.0</v>
      </c>
      <c r="C184" s="7">
        <f t="shared" si="1"/>
        <v>2015</v>
      </c>
      <c r="D184" s="14" t="str">
        <f t="shared" si="2"/>
        <v>12 - Dec</v>
      </c>
      <c r="E184" s="15" t="str">
        <f t="shared" si="3"/>
        <v>Sat</v>
      </c>
      <c r="F184" s="15">
        <f t="shared" si="4"/>
        <v>6</v>
      </c>
      <c r="G184" s="16">
        <v>42357.0</v>
      </c>
      <c r="H184" s="14">
        <f t="shared" si="5"/>
        <v>0</v>
      </c>
      <c r="I184" s="7" t="s">
        <v>232</v>
      </c>
      <c r="J184" s="7" t="s">
        <v>468</v>
      </c>
      <c r="K184" s="7" t="str">
        <f>VLOOKUP(J184,countries,2,false)</f>
        <v>Luxembourg</v>
      </c>
      <c r="L184" s="7" t="str">
        <f>VLOOKUP($J184,countries,5,false)</f>
        <v>Europe</v>
      </c>
      <c r="M184" s="7" t="str">
        <f>VLOOKUP($J184,countries,6,false)</f>
        <v>Western Europe</v>
      </c>
      <c r="N184" s="7">
        <v>8875.0</v>
      </c>
      <c r="O184" s="7" t="str">
        <f>VLOOKUP(N184, products, 2, FALSE)</f>
        <v>Meat</v>
      </c>
      <c r="P184" s="7" t="s">
        <v>264</v>
      </c>
      <c r="Q184" s="7">
        <v>495.0</v>
      </c>
      <c r="R184" s="17">
        <v>421.89</v>
      </c>
      <c r="S184" s="17">
        <v>364.69</v>
      </c>
      <c r="U184" s="18">
        <f t="shared" si="6"/>
        <v>208835.55</v>
      </c>
      <c r="V184" s="18">
        <f t="shared" si="7"/>
        <v>180521.55</v>
      </c>
      <c r="W184" s="19">
        <f t="shared" si="8"/>
        <v>28314</v>
      </c>
    </row>
    <row r="185">
      <c r="A185" s="7">
        <v>2.17165648E8</v>
      </c>
      <c r="B185" s="12">
        <v>41779.0</v>
      </c>
      <c r="C185" s="7">
        <f t="shared" si="1"/>
        <v>2014</v>
      </c>
      <c r="D185" s="14" t="str">
        <f t="shared" si="2"/>
        <v>05 - May</v>
      </c>
      <c r="E185" s="15" t="str">
        <f t="shared" si="3"/>
        <v>Tue</v>
      </c>
      <c r="F185" s="15">
        <f t="shared" si="4"/>
        <v>2</v>
      </c>
      <c r="G185" s="16">
        <v>41798.0</v>
      </c>
      <c r="H185" s="14">
        <f t="shared" si="5"/>
        <v>19</v>
      </c>
      <c r="I185" s="7" t="s">
        <v>232</v>
      </c>
      <c r="J185" s="7" t="s">
        <v>517</v>
      </c>
      <c r="K185" s="7" t="str">
        <f>VLOOKUP(J185,countries,2,false)</f>
        <v>Spain</v>
      </c>
      <c r="L185" s="7" t="str">
        <f>VLOOKUP($J185,countries,5,false)</f>
        <v>Europe</v>
      </c>
      <c r="M185" s="7" t="str">
        <f>VLOOKUP($J185,countries,6,false)</f>
        <v>Southern Europe</v>
      </c>
      <c r="N185" s="7">
        <v>8875.0</v>
      </c>
      <c r="O185" s="7" t="str">
        <f>VLOOKUP(N185, products, 2, FALSE)</f>
        <v>Meat</v>
      </c>
      <c r="P185" s="7" t="s">
        <v>334</v>
      </c>
      <c r="R185" s="17">
        <v>421.89</v>
      </c>
      <c r="S185" s="17">
        <v>364.69</v>
      </c>
      <c r="U185" s="18">
        <f t="shared" si="6"/>
        <v>0</v>
      </c>
      <c r="V185" s="18">
        <f t="shared" si="7"/>
        <v>0</v>
      </c>
      <c r="W185" s="19">
        <f t="shared" si="8"/>
        <v>0</v>
      </c>
    </row>
    <row r="186">
      <c r="A186" s="7">
        <v>2.17248904E8</v>
      </c>
      <c r="B186" s="12">
        <v>41034.0</v>
      </c>
      <c r="C186" s="7">
        <f t="shared" si="1"/>
        <v>2012</v>
      </c>
      <c r="D186" s="14" t="str">
        <f t="shared" si="2"/>
        <v>05 - May</v>
      </c>
      <c r="E186" s="15" t="str">
        <f t="shared" si="3"/>
        <v>Sat</v>
      </c>
      <c r="F186" s="15">
        <f t="shared" si="4"/>
        <v>6</v>
      </c>
      <c r="G186" s="16">
        <v>41075.0</v>
      </c>
      <c r="H186" s="14">
        <f t="shared" si="5"/>
        <v>41</v>
      </c>
      <c r="I186" s="7" t="s">
        <v>305</v>
      </c>
      <c r="J186" s="7" t="s">
        <v>435</v>
      </c>
      <c r="K186" s="7" t="str">
        <f>VLOOKUP(J186,countries,2,false)</f>
        <v>Slovakia</v>
      </c>
      <c r="L186" s="7" t="str">
        <f>VLOOKUP($J186,countries,5,false)</f>
        <v>Europe</v>
      </c>
      <c r="M186" s="7" t="str">
        <f>VLOOKUP($J186,countries,6,false)</f>
        <v>Eastern Europe</v>
      </c>
      <c r="N186" s="7">
        <v>8681.0</v>
      </c>
      <c r="O186" s="7" t="str">
        <f>VLOOKUP(N186, products, 2, FALSE)</f>
        <v>Office Supplies</v>
      </c>
      <c r="P186" s="7" t="s">
        <v>834</v>
      </c>
      <c r="Q186" s="7">
        <v>7633.0</v>
      </c>
      <c r="R186" s="17">
        <v>651.21</v>
      </c>
      <c r="S186" s="17">
        <v>524.96</v>
      </c>
      <c r="U186" s="18">
        <f t="shared" si="6"/>
        <v>4970685.93</v>
      </c>
      <c r="V186" s="18">
        <f t="shared" si="7"/>
        <v>4007019.68</v>
      </c>
      <c r="W186" s="19">
        <f t="shared" si="8"/>
        <v>963666.25</v>
      </c>
    </row>
    <row r="187">
      <c r="A187" s="7">
        <v>2.1785916E8</v>
      </c>
      <c r="B187" s="12">
        <v>42419.0</v>
      </c>
      <c r="C187" s="7">
        <f t="shared" si="1"/>
        <v>2016</v>
      </c>
      <c r="D187" s="14" t="str">
        <f t="shared" si="2"/>
        <v>02 - Feb</v>
      </c>
      <c r="E187" s="15" t="str">
        <f t="shared" si="3"/>
        <v>Fri</v>
      </c>
      <c r="F187" s="15">
        <f t="shared" si="4"/>
        <v>5</v>
      </c>
      <c r="G187" s="16">
        <v>42434.0</v>
      </c>
      <c r="H187" s="14">
        <f t="shared" si="5"/>
        <v>15</v>
      </c>
      <c r="I187" s="7" t="s">
        <v>364</v>
      </c>
      <c r="J187" s="7" t="s">
        <v>274</v>
      </c>
      <c r="K187" s="7" t="str">
        <f>VLOOKUP(J187,countries,2,false)</f>
        <v>Estonia</v>
      </c>
      <c r="L187" s="7" t="str">
        <f>VLOOKUP($J187,countries,5,false)</f>
        <v>Europe</v>
      </c>
      <c r="M187" s="7" t="str">
        <f>VLOOKUP($J187,countries,6,false)</f>
        <v>Northern Europe</v>
      </c>
      <c r="N187" s="7">
        <v>1270.0</v>
      </c>
      <c r="O187" s="7" t="str">
        <f>VLOOKUP(N187, products, 2, FALSE)</f>
        <v>Beverages</v>
      </c>
      <c r="P187" s="7" t="s">
        <v>334</v>
      </c>
      <c r="Q187" s="7">
        <v>8222.0</v>
      </c>
      <c r="R187" s="17">
        <v>47.45</v>
      </c>
      <c r="S187" s="17">
        <v>31.79</v>
      </c>
      <c r="U187" s="18">
        <f t="shared" si="6"/>
        <v>390133.9</v>
      </c>
      <c r="V187" s="18">
        <f t="shared" si="7"/>
        <v>261377.38</v>
      </c>
      <c r="W187" s="19">
        <f t="shared" si="8"/>
        <v>128756.52</v>
      </c>
    </row>
    <row r="188">
      <c r="A188" s="7">
        <v>2.17920958E8</v>
      </c>
      <c r="B188" s="12">
        <v>40669.0</v>
      </c>
      <c r="C188" s="7">
        <f t="shared" si="1"/>
        <v>2011</v>
      </c>
      <c r="D188" s="14" t="str">
        <f t="shared" si="2"/>
        <v>05 - May</v>
      </c>
      <c r="E188" s="15" t="str">
        <f t="shared" si="3"/>
        <v>Fri</v>
      </c>
      <c r="F188" s="15">
        <f t="shared" si="4"/>
        <v>5</v>
      </c>
      <c r="G188" s="16">
        <v>40719.0</v>
      </c>
      <c r="H188" s="14">
        <f t="shared" si="5"/>
        <v>50</v>
      </c>
      <c r="I188" s="7" t="s">
        <v>399</v>
      </c>
      <c r="J188" s="7" t="s">
        <v>378</v>
      </c>
      <c r="K188" s="7" t="str">
        <f>VLOOKUP(J188,countries,2,false)</f>
        <v>Hungary</v>
      </c>
      <c r="L188" s="7" t="str">
        <f>VLOOKUP($J188,countries,5,false)</f>
        <v>Europe</v>
      </c>
      <c r="M188" s="7" t="str">
        <f>VLOOKUP($J188,countries,6,false)</f>
        <v>Eastern Europe</v>
      </c>
      <c r="N188" s="7">
        <v>7331.0</v>
      </c>
      <c r="O188" s="7" t="str">
        <f>VLOOKUP(N188, products, 2, FALSE)</f>
        <v>Baby Food</v>
      </c>
      <c r="P188" s="7" t="s">
        <v>264</v>
      </c>
      <c r="Q188" s="7">
        <v>6509.0</v>
      </c>
      <c r="R188" s="17">
        <v>255.28</v>
      </c>
      <c r="S188" s="17">
        <v>159.42</v>
      </c>
      <c r="U188" s="18">
        <f t="shared" si="6"/>
        <v>1661617.52</v>
      </c>
      <c r="V188" s="18">
        <f t="shared" si="7"/>
        <v>1037664.78</v>
      </c>
      <c r="W188" s="19">
        <f t="shared" si="8"/>
        <v>623952.74</v>
      </c>
    </row>
    <row r="189">
      <c r="A189" s="7">
        <v>2.1945132E8</v>
      </c>
      <c r="B189" s="12">
        <v>41808.0</v>
      </c>
      <c r="C189" s="7">
        <f t="shared" si="1"/>
        <v>2014</v>
      </c>
      <c r="D189" s="14" t="str">
        <f t="shared" si="2"/>
        <v>06 - Jun</v>
      </c>
      <c r="E189" s="15" t="str">
        <f t="shared" si="3"/>
        <v>Wed</v>
      </c>
      <c r="F189" s="15">
        <f t="shared" si="4"/>
        <v>3</v>
      </c>
      <c r="G189" s="16">
        <v>41822.0</v>
      </c>
      <c r="H189" s="14">
        <f t="shared" si="5"/>
        <v>14</v>
      </c>
      <c r="I189" s="7" t="s">
        <v>232</v>
      </c>
      <c r="J189" s="7" t="s">
        <v>771</v>
      </c>
      <c r="K189" s="7" t="str">
        <f>VLOOKUP(J189,countries,2,false)</f>
        <v>Ukraine</v>
      </c>
      <c r="L189" s="7" t="str">
        <f>VLOOKUP($J189,countries,5,false)</f>
        <v>Europe</v>
      </c>
      <c r="M189" s="7" t="str">
        <f>VLOOKUP($J189,countries,6,false)</f>
        <v>Eastern Europe</v>
      </c>
      <c r="N189" s="7">
        <v>8875.0</v>
      </c>
      <c r="O189" s="7" t="str">
        <f>VLOOKUP(N189, products, 2, FALSE)</f>
        <v>Meat</v>
      </c>
      <c r="P189" s="7" t="s">
        <v>334</v>
      </c>
      <c r="Q189" s="7">
        <v>9377.0</v>
      </c>
      <c r="R189" s="17">
        <v>421.89</v>
      </c>
      <c r="S189" s="17">
        <v>364.69</v>
      </c>
      <c r="U189" s="18">
        <f t="shared" si="6"/>
        <v>3956062.53</v>
      </c>
      <c r="V189" s="18">
        <f t="shared" si="7"/>
        <v>3419698.13</v>
      </c>
      <c r="W189" s="19">
        <f t="shared" si="8"/>
        <v>536364.4</v>
      </c>
    </row>
    <row r="190">
      <c r="A190" s="7">
        <v>2.20607459E8</v>
      </c>
      <c r="B190" s="12">
        <v>41561.0</v>
      </c>
      <c r="C190" s="7">
        <f t="shared" si="1"/>
        <v>2013</v>
      </c>
      <c r="D190" s="14" t="str">
        <f t="shared" si="2"/>
        <v>10 - Oct</v>
      </c>
      <c r="E190" s="15" t="str">
        <f t="shared" si="3"/>
        <v>Mon</v>
      </c>
      <c r="F190" s="15">
        <f t="shared" si="4"/>
        <v>1</v>
      </c>
      <c r="G190" s="16">
        <v>41564.0</v>
      </c>
      <c r="H190" s="14">
        <f t="shared" si="5"/>
        <v>3</v>
      </c>
      <c r="I190" s="7" t="s">
        <v>305</v>
      </c>
      <c r="J190" s="7" t="s">
        <v>274</v>
      </c>
      <c r="K190" s="7" t="str">
        <f>VLOOKUP(J190,countries,2,false)</f>
        <v>Estonia</v>
      </c>
      <c r="L190" s="7" t="str">
        <f>VLOOKUP($J190,countries,5,false)</f>
        <v>Europe</v>
      </c>
      <c r="M190" s="7" t="str">
        <f>VLOOKUP($J190,countries,6,false)</f>
        <v>Northern Europe</v>
      </c>
      <c r="N190" s="7">
        <v>2103.0</v>
      </c>
      <c r="O190" s="7" t="str">
        <f>VLOOKUP(N190, products, 2, FALSE)</f>
        <v>Cereal</v>
      </c>
      <c r="P190" s="7" t="s">
        <v>264</v>
      </c>
      <c r="Q190" s="7">
        <v>1504.0</v>
      </c>
      <c r="R190" s="17">
        <v>205.7</v>
      </c>
      <c r="S190" s="17">
        <v>117.11</v>
      </c>
      <c r="U190" s="18">
        <f t="shared" si="6"/>
        <v>309372.8</v>
      </c>
      <c r="V190" s="18">
        <f t="shared" si="7"/>
        <v>176133.44</v>
      </c>
      <c r="W190" s="19">
        <f t="shared" si="8"/>
        <v>133239.36</v>
      </c>
    </row>
    <row r="191">
      <c r="A191" s="7">
        <v>2.21628844E8</v>
      </c>
      <c r="B191" s="12">
        <v>40752.0</v>
      </c>
      <c r="C191" s="7">
        <f t="shared" si="1"/>
        <v>2011</v>
      </c>
      <c r="D191" s="14" t="str">
        <f t="shared" si="2"/>
        <v>07 - Jul</v>
      </c>
      <c r="E191" s="15" t="str">
        <f t="shared" si="3"/>
        <v>Thu</v>
      </c>
      <c r="F191" s="15">
        <f t="shared" si="4"/>
        <v>4</v>
      </c>
      <c r="G191" s="16">
        <v>40787.0</v>
      </c>
      <c r="H191" s="14">
        <f t="shared" si="5"/>
        <v>35</v>
      </c>
      <c r="I191" s="7" t="s">
        <v>232</v>
      </c>
      <c r="J191" s="7" t="s">
        <v>626</v>
      </c>
      <c r="K191" s="7" t="str">
        <f>VLOOKUP(J191,countries,2,false)</f>
        <v>Russia</v>
      </c>
      <c r="L191" s="7" t="str">
        <f>VLOOKUP($J191,countries,5,false)</f>
        <v>Europe</v>
      </c>
      <c r="M191" s="7" t="str">
        <f>VLOOKUP($J191,countries,6,false)</f>
        <v>Eastern Europe</v>
      </c>
      <c r="N191" s="7">
        <v>2455.0</v>
      </c>
      <c r="O191" s="7" t="str">
        <f>VLOOKUP(N191, products, 2, FALSE)</f>
        <v>Clothes</v>
      </c>
      <c r="P191" s="7" t="s">
        <v>334</v>
      </c>
      <c r="Q191" s="7">
        <v>3755.0</v>
      </c>
      <c r="R191" s="17">
        <v>109.28</v>
      </c>
      <c r="S191" s="17">
        <v>35.84</v>
      </c>
      <c r="U191" s="18">
        <f t="shared" si="6"/>
        <v>410346.4</v>
      </c>
      <c r="V191" s="18">
        <f t="shared" si="7"/>
        <v>134579.2</v>
      </c>
      <c r="W191" s="19">
        <f t="shared" si="8"/>
        <v>275767.2</v>
      </c>
    </row>
    <row r="192">
      <c r="A192" s="7">
        <v>2.22720611E8</v>
      </c>
      <c r="B192" s="12">
        <v>40253.0</v>
      </c>
      <c r="C192" s="7">
        <f t="shared" si="1"/>
        <v>2010</v>
      </c>
      <c r="D192" s="14" t="str">
        <f t="shared" si="2"/>
        <v>03 - Mar</v>
      </c>
      <c r="E192" s="15" t="str">
        <f t="shared" si="3"/>
        <v>Tue</v>
      </c>
      <c r="F192" s="15">
        <f t="shared" si="4"/>
        <v>2</v>
      </c>
      <c r="G192" s="16">
        <v>40269.0</v>
      </c>
      <c r="H192" s="14">
        <f t="shared" si="5"/>
        <v>16</v>
      </c>
      <c r="I192" s="7" t="s">
        <v>364</v>
      </c>
      <c r="J192" s="7" t="s">
        <v>489</v>
      </c>
      <c r="K192" s="7" t="str">
        <f>VLOOKUP(J192,countries,2,false)</f>
        <v>Malta</v>
      </c>
      <c r="L192" s="7" t="str">
        <f>VLOOKUP($J192,countries,5,false)</f>
        <v>Europe</v>
      </c>
      <c r="M192" s="7" t="str">
        <f>VLOOKUP($J192,countries,6,false)</f>
        <v>Southern Europe</v>
      </c>
      <c r="N192" s="7">
        <v>7331.0</v>
      </c>
      <c r="O192" s="7" t="str">
        <f>VLOOKUP(N192, products, 2, FALSE)</f>
        <v>Baby Food</v>
      </c>
      <c r="P192" s="7" t="s">
        <v>334</v>
      </c>
      <c r="Q192" s="7">
        <v>6833.0</v>
      </c>
      <c r="R192" s="17">
        <v>255.28</v>
      </c>
      <c r="S192" s="17">
        <v>159.42</v>
      </c>
      <c r="U192" s="18">
        <f t="shared" si="6"/>
        <v>1744328.24</v>
      </c>
      <c r="V192" s="18">
        <f t="shared" si="7"/>
        <v>1089316.86</v>
      </c>
      <c r="W192" s="19">
        <f t="shared" si="8"/>
        <v>655011.38</v>
      </c>
    </row>
    <row r="193">
      <c r="A193" s="7">
        <v>2.23199975E8</v>
      </c>
      <c r="B193" s="12">
        <v>42695.0</v>
      </c>
      <c r="C193" s="7">
        <f t="shared" si="1"/>
        <v>2016</v>
      </c>
      <c r="D193" s="14" t="str">
        <f t="shared" si="2"/>
        <v>11 - Nov</v>
      </c>
      <c r="E193" s="15" t="str">
        <f t="shared" si="3"/>
        <v>Mon</v>
      </c>
      <c r="F193" s="15">
        <f t="shared" si="4"/>
        <v>1</v>
      </c>
      <c r="G193" s="16">
        <v>42739.0</v>
      </c>
      <c r="H193" s="14">
        <f t="shared" si="5"/>
        <v>44</v>
      </c>
      <c r="I193" s="7" t="s">
        <v>364</v>
      </c>
      <c r="J193" s="7" t="s">
        <v>246</v>
      </c>
      <c r="K193" s="7" t="str">
        <f>VLOOKUP(J193,countries,2,false)</f>
        <v>Denmark</v>
      </c>
      <c r="L193" s="7" t="str">
        <f>VLOOKUP($J193,countries,5,false)</f>
        <v>Europe</v>
      </c>
      <c r="M193" s="7" t="str">
        <f>VLOOKUP($J193,countries,6,false)</f>
        <v>Northern Europe</v>
      </c>
      <c r="N193" s="7">
        <v>1270.0</v>
      </c>
      <c r="O193" s="7" t="str">
        <f>VLOOKUP(N193, products, 2, FALSE)</f>
        <v>Beverages</v>
      </c>
      <c r="P193" s="7" t="s">
        <v>264</v>
      </c>
      <c r="Q193" s="7">
        <v>8687.0</v>
      </c>
      <c r="R193" s="17">
        <v>47.45</v>
      </c>
      <c r="S193" s="17">
        <v>31.79</v>
      </c>
      <c r="U193" s="18">
        <f t="shared" si="6"/>
        <v>412198.15</v>
      </c>
      <c r="V193" s="18">
        <f t="shared" si="7"/>
        <v>276159.73</v>
      </c>
      <c r="W193" s="19">
        <f t="shared" si="8"/>
        <v>136038.42</v>
      </c>
    </row>
    <row r="194">
      <c r="A194" s="7">
        <v>2.23869454E8</v>
      </c>
      <c r="B194" s="12">
        <v>40328.0</v>
      </c>
      <c r="C194" s="7">
        <f t="shared" si="1"/>
        <v>2010</v>
      </c>
      <c r="D194" s="14" t="str">
        <f t="shared" si="2"/>
        <v>05 - May</v>
      </c>
      <c r="E194" s="15" t="str">
        <f t="shared" si="3"/>
        <v>Sun</v>
      </c>
      <c r="F194" s="15">
        <f t="shared" si="4"/>
        <v>7</v>
      </c>
      <c r="G194" s="16">
        <v>40356.0</v>
      </c>
      <c r="H194" s="14">
        <f t="shared" si="5"/>
        <v>28</v>
      </c>
      <c r="I194" s="7" t="s">
        <v>364</v>
      </c>
      <c r="J194" s="7" t="s">
        <v>396</v>
      </c>
      <c r="K194" s="7" t="str">
        <f>VLOOKUP(J194,countries,2,false)</f>
        <v>Ireland</v>
      </c>
      <c r="L194" s="7" t="str">
        <f>VLOOKUP($J194,countries,5,false)</f>
        <v>Europe</v>
      </c>
      <c r="M194" s="7" t="str">
        <f>VLOOKUP($J194,countries,6,false)</f>
        <v>Northern Europe</v>
      </c>
      <c r="N194" s="7">
        <v>4594.0</v>
      </c>
      <c r="O194" s="7" t="str">
        <f>VLOOKUP(N194, products, 2, FALSE)</f>
        <v>Fruits</v>
      </c>
      <c r="P194" s="7" t="s">
        <v>264</v>
      </c>
      <c r="Q194" s="7">
        <v>6801.0</v>
      </c>
      <c r="R194" s="17">
        <v>9.33</v>
      </c>
      <c r="S194" s="17">
        <v>6.92</v>
      </c>
      <c r="U194" s="18">
        <f t="shared" si="6"/>
        <v>63453.33</v>
      </c>
      <c r="V194" s="18">
        <f t="shared" si="7"/>
        <v>47062.92</v>
      </c>
      <c r="W194" s="19">
        <f t="shared" si="8"/>
        <v>16390.41</v>
      </c>
    </row>
    <row r="195">
      <c r="A195" s="7">
        <v>2.2464708E8</v>
      </c>
      <c r="B195" s="12">
        <v>41813.0</v>
      </c>
      <c r="C195" s="7">
        <f t="shared" si="1"/>
        <v>2014</v>
      </c>
      <c r="D195" s="14" t="str">
        <f t="shared" si="2"/>
        <v>06 - Jun</v>
      </c>
      <c r="E195" s="15" t="str">
        <f t="shared" si="3"/>
        <v>Mon</v>
      </c>
      <c r="F195" s="15">
        <f t="shared" si="4"/>
        <v>1</v>
      </c>
      <c r="G195" s="16">
        <v>41850.0</v>
      </c>
      <c r="H195" s="14">
        <f t="shared" si="5"/>
        <v>37</v>
      </c>
      <c r="I195" s="7" t="s">
        <v>399</v>
      </c>
      <c r="J195" s="7" t="s">
        <v>435</v>
      </c>
      <c r="K195" s="7" t="str">
        <f>VLOOKUP(J195,countries,2,false)</f>
        <v>Slovakia</v>
      </c>
      <c r="L195" s="7" t="str">
        <f>VLOOKUP($J195,countries,5,false)</f>
        <v>Europe</v>
      </c>
      <c r="M195" s="7" t="str">
        <f>VLOOKUP($J195,countries,6,false)</f>
        <v>Eastern Europe</v>
      </c>
      <c r="N195" s="7">
        <v>8681.0</v>
      </c>
      <c r="O195" s="7" t="str">
        <f>VLOOKUP(N195, products, 2, FALSE)</f>
        <v>Office Supplies</v>
      </c>
      <c r="P195" s="7" t="s">
        <v>334</v>
      </c>
      <c r="Q195" s="7">
        <v>6918.0</v>
      </c>
      <c r="R195" s="17">
        <v>651.21</v>
      </c>
      <c r="S195" s="17">
        <v>524.96</v>
      </c>
      <c r="U195" s="18">
        <f t="shared" si="6"/>
        <v>4505070.78</v>
      </c>
      <c r="V195" s="18">
        <f t="shared" si="7"/>
        <v>3631673.28</v>
      </c>
      <c r="W195" s="19">
        <f t="shared" si="8"/>
        <v>873397.5</v>
      </c>
    </row>
    <row r="196">
      <c r="A196" s="7">
        <v>2.282112E8</v>
      </c>
      <c r="B196" s="12">
        <v>41243.0</v>
      </c>
      <c r="C196" s="7">
        <f t="shared" si="1"/>
        <v>2012</v>
      </c>
      <c r="D196" s="14" t="str">
        <f t="shared" si="2"/>
        <v>11 - Nov</v>
      </c>
      <c r="E196" s="15" t="str">
        <f t="shared" si="3"/>
        <v>Fri</v>
      </c>
      <c r="F196" s="15">
        <f t="shared" si="4"/>
        <v>5</v>
      </c>
      <c r="G196" s="16">
        <v>41246.0</v>
      </c>
      <c r="H196" s="14">
        <f t="shared" si="5"/>
        <v>3</v>
      </c>
      <c r="I196" s="7" t="s">
        <v>399</v>
      </c>
      <c r="J196" s="7" t="s">
        <v>656</v>
      </c>
      <c r="K196" s="7" t="str">
        <f>VLOOKUP(J196,countries,2,false)</f>
        <v>San Marino</v>
      </c>
      <c r="L196" s="7" t="str">
        <f>VLOOKUP($J196,countries,5,false)</f>
        <v>Europe</v>
      </c>
      <c r="M196" s="7" t="str">
        <f>VLOOKUP($J196,countries,6,false)</f>
        <v>Southern Europe</v>
      </c>
      <c r="N196" s="7">
        <v>8293.0</v>
      </c>
      <c r="O196" s="7" t="str">
        <f>VLOOKUP(N196, products, 2, FALSE)</f>
        <v>Cosmetics</v>
      </c>
      <c r="P196" s="7" t="s">
        <v>264</v>
      </c>
      <c r="Q196" s="7">
        <v>1620.0</v>
      </c>
      <c r="R196" s="17">
        <v>437.2</v>
      </c>
      <c r="S196" s="17">
        <v>263.33</v>
      </c>
      <c r="U196" s="18">
        <f t="shared" si="6"/>
        <v>708264</v>
      </c>
      <c r="V196" s="18">
        <f t="shared" si="7"/>
        <v>426594.6</v>
      </c>
      <c r="W196" s="19">
        <f t="shared" si="8"/>
        <v>281669.4</v>
      </c>
    </row>
    <row r="197">
      <c r="A197" s="7">
        <v>2.29105556E8</v>
      </c>
      <c r="B197" s="12">
        <v>40343.0</v>
      </c>
      <c r="C197" s="7">
        <f t="shared" si="1"/>
        <v>2010</v>
      </c>
      <c r="D197" s="14" t="str">
        <f t="shared" si="2"/>
        <v>06 - Jun</v>
      </c>
      <c r="E197" s="15" t="str">
        <f t="shared" si="3"/>
        <v>Mon</v>
      </c>
      <c r="F197" s="15">
        <f t="shared" si="4"/>
        <v>1</v>
      </c>
      <c r="G197" s="16">
        <v>40393.0</v>
      </c>
      <c r="H197" s="14">
        <f t="shared" si="5"/>
        <v>50</v>
      </c>
      <c r="I197" s="7" t="s">
        <v>364</v>
      </c>
      <c r="J197" s="7" t="s">
        <v>348</v>
      </c>
      <c r="K197" s="7" t="s">
        <v>348</v>
      </c>
      <c r="L197" s="7" t="s">
        <v>348</v>
      </c>
      <c r="M197" s="7" t="s">
        <v>348</v>
      </c>
      <c r="N197" s="7">
        <v>8875.0</v>
      </c>
      <c r="O197" s="7" t="str">
        <f>VLOOKUP(N197, products, 2, FALSE)</f>
        <v>Meat</v>
      </c>
      <c r="P197" s="7" t="s">
        <v>334</v>
      </c>
      <c r="Q197" s="7">
        <v>6280.0</v>
      </c>
      <c r="R197" s="17">
        <v>421.89</v>
      </c>
      <c r="S197" s="17">
        <v>364.69</v>
      </c>
      <c r="U197" s="18">
        <f t="shared" si="6"/>
        <v>2649469.2</v>
      </c>
      <c r="V197" s="18">
        <f t="shared" si="7"/>
        <v>2290253.2</v>
      </c>
      <c r="W197" s="19">
        <f t="shared" si="8"/>
        <v>359216</v>
      </c>
    </row>
    <row r="198">
      <c r="A198" s="7">
        <v>2.29355323E8</v>
      </c>
      <c r="B198" s="12">
        <v>40875.0</v>
      </c>
      <c r="C198" s="7">
        <f t="shared" si="1"/>
        <v>2011</v>
      </c>
      <c r="D198" s="14" t="str">
        <f t="shared" si="2"/>
        <v>11 - Nov</v>
      </c>
      <c r="E198" s="15" t="str">
        <f t="shared" si="3"/>
        <v>Mon</v>
      </c>
      <c r="F198" s="15">
        <f t="shared" si="4"/>
        <v>1</v>
      </c>
      <c r="G198" s="16">
        <v>40887.0</v>
      </c>
      <c r="H198" s="14">
        <f t="shared" si="5"/>
        <v>12</v>
      </c>
      <c r="I198" s="7" t="s">
        <v>364</v>
      </c>
      <c r="J198" s="7" t="s">
        <v>462</v>
      </c>
      <c r="K198" s="7" t="str">
        <f>VLOOKUP(J198,countries,2,false)</f>
        <v>Liechtenstein</v>
      </c>
      <c r="L198" s="7" t="str">
        <f>VLOOKUP($J198,countries,5,false)</f>
        <v>Europe</v>
      </c>
      <c r="M198" s="7" t="str">
        <f>VLOOKUP($J198,countries,6,false)</f>
        <v>Western Europe</v>
      </c>
      <c r="N198" s="7">
        <v>5988.0</v>
      </c>
      <c r="O198" s="7" t="str">
        <f>VLOOKUP(N198, products, 2, FALSE)</f>
        <v>Vegetables</v>
      </c>
      <c r="P198" s="7" t="s">
        <v>334</v>
      </c>
      <c r="Q198" s="7">
        <v>192.0</v>
      </c>
      <c r="R198" s="17">
        <v>154.06</v>
      </c>
      <c r="S198" s="17">
        <v>90.93</v>
      </c>
      <c r="U198" s="18">
        <f t="shared" si="6"/>
        <v>29579.52</v>
      </c>
      <c r="V198" s="18">
        <f t="shared" si="7"/>
        <v>17458.56</v>
      </c>
      <c r="W198" s="19">
        <f t="shared" si="8"/>
        <v>12120.96</v>
      </c>
    </row>
    <row r="199">
      <c r="A199" s="7">
        <v>2.29693067E8</v>
      </c>
      <c r="B199" s="12">
        <v>41105.0</v>
      </c>
      <c r="C199" s="7">
        <f t="shared" si="1"/>
        <v>2012</v>
      </c>
      <c r="D199" s="14" t="str">
        <f t="shared" si="2"/>
        <v>07 - Jul</v>
      </c>
      <c r="E199" s="15" t="str">
        <f t="shared" si="3"/>
        <v>Sun</v>
      </c>
      <c r="F199" s="15">
        <f t="shared" si="4"/>
        <v>7</v>
      </c>
      <c r="G199" s="16">
        <v>41105.0</v>
      </c>
      <c r="H199" s="14">
        <f t="shared" si="5"/>
        <v>0</v>
      </c>
      <c r="I199" s="7" t="s">
        <v>364</v>
      </c>
      <c r="J199" s="7" t="s">
        <v>462</v>
      </c>
      <c r="K199" s="7" t="str">
        <f>VLOOKUP(J199,countries,2,false)</f>
        <v>Liechtenstein</v>
      </c>
      <c r="L199" s="7" t="str">
        <f>VLOOKUP($J199,countries,5,false)</f>
        <v>Europe</v>
      </c>
      <c r="M199" s="7" t="str">
        <f>VLOOKUP($J199,countries,6,false)</f>
        <v>Western Europe</v>
      </c>
      <c r="N199" s="7">
        <v>8293.0</v>
      </c>
      <c r="O199" s="7" t="str">
        <f>VLOOKUP(N199, products, 2, FALSE)</f>
        <v>Cosmetics</v>
      </c>
      <c r="P199" s="7" t="s">
        <v>264</v>
      </c>
      <c r="Q199" s="7">
        <v>138.0</v>
      </c>
      <c r="R199" s="17">
        <v>437.2</v>
      </c>
      <c r="S199" s="17">
        <v>263.33</v>
      </c>
      <c r="U199" s="18">
        <f t="shared" si="6"/>
        <v>60333.6</v>
      </c>
      <c r="V199" s="18">
        <f t="shared" si="7"/>
        <v>36339.54</v>
      </c>
      <c r="W199" s="19">
        <f t="shared" si="8"/>
        <v>23994.06</v>
      </c>
    </row>
    <row r="200">
      <c r="A200" s="7">
        <v>2.31341445E8</v>
      </c>
      <c r="B200" s="12">
        <v>42244.0</v>
      </c>
      <c r="C200" s="7">
        <f t="shared" si="1"/>
        <v>2015</v>
      </c>
      <c r="D200" s="14" t="str">
        <f t="shared" si="2"/>
        <v>08 - Aug</v>
      </c>
      <c r="E200" s="15" t="str">
        <f t="shared" si="3"/>
        <v>Fri</v>
      </c>
      <c r="F200" s="15">
        <f t="shared" si="4"/>
        <v>5</v>
      </c>
      <c r="G200" s="16">
        <v>42284.0</v>
      </c>
      <c r="H200" s="14">
        <f t="shared" si="5"/>
        <v>40</v>
      </c>
      <c r="I200" s="7" t="s">
        <v>232</v>
      </c>
      <c r="J200" s="7" t="s">
        <v>146</v>
      </c>
      <c r="K200" s="7" t="str">
        <f>VLOOKUP(J200,countries,2,false)</f>
        <v>Bosnia and Herzegovina</v>
      </c>
      <c r="L200" s="7" t="str">
        <f>VLOOKUP($J200,countries,5,false)</f>
        <v>Europe</v>
      </c>
      <c r="M200" s="7" t="str">
        <f>VLOOKUP($J200,countries,6,false)</f>
        <v>Southern Europe</v>
      </c>
      <c r="N200" s="7">
        <v>1270.0</v>
      </c>
      <c r="O200" s="7" t="str">
        <f>VLOOKUP(N200, products, 2, FALSE)</f>
        <v>Beverages</v>
      </c>
      <c r="P200" s="7" t="s">
        <v>264</v>
      </c>
      <c r="Q200" s="7">
        <v>7929.0</v>
      </c>
      <c r="R200" s="17">
        <v>47.45</v>
      </c>
      <c r="S200" s="17">
        <v>31.79</v>
      </c>
      <c r="U200" s="18">
        <f t="shared" si="6"/>
        <v>376231.05</v>
      </c>
      <c r="V200" s="18">
        <f t="shared" si="7"/>
        <v>252062.91</v>
      </c>
      <c r="W200" s="19">
        <f t="shared" si="8"/>
        <v>124168.14</v>
      </c>
    </row>
    <row r="201">
      <c r="A201" s="7">
        <v>2.31369769E8</v>
      </c>
      <c r="B201" s="12">
        <v>42133.0</v>
      </c>
      <c r="C201" s="7">
        <f t="shared" si="1"/>
        <v>2015</v>
      </c>
      <c r="D201" s="14" t="str">
        <f t="shared" si="2"/>
        <v>05 - May</v>
      </c>
      <c r="E201" s="15" t="str">
        <f t="shared" si="3"/>
        <v>Sat</v>
      </c>
      <c r="F201" s="15">
        <f t="shared" si="4"/>
        <v>6</v>
      </c>
      <c r="G201" s="16">
        <v>42140.0</v>
      </c>
      <c r="H201" s="14">
        <f t="shared" si="5"/>
        <v>7</v>
      </c>
      <c r="I201" s="7" t="s">
        <v>232</v>
      </c>
      <c r="J201" s="7" t="s">
        <v>435</v>
      </c>
      <c r="K201" s="7" t="str">
        <f>VLOOKUP(J201,countries,2,false)</f>
        <v>Slovakia</v>
      </c>
      <c r="L201" s="7" t="str">
        <f>VLOOKUP($J201,countries,5,false)</f>
        <v>Europe</v>
      </c>
      <c r="M201" s="7" t="str">
        <f>VLOOKUP($J201,countries,6,false)</f>
        <v>Eastern Europe</v>
      </c>
      <c r="N201" s="7">
        <v>2455.0</v>
      </c>
      <c r="O201" s="7" t="str">
        <f>VLOOKUP(N201, products, 2, FALSE)</f>
        <v>Clothes</v>
      </c>
      <c r="P201" s="7" t="s">
        <v>264</v>
      </c>
      <c r="Q201" s="7">
        <v>6311.0</v>
      </c>
      <c r="R201" s="17">
        <v>109.28</v>
      </c>
      <c r="S201" s="17">
        <v>35.84</v>
      </c>
      <c r="U201" s="18">
        <f t="shared" si="6"/>
        <v>689666.08</v>
      </c>
      <c r="V201" s="18">
        <f t="shared" si="7"/>
        <v>226186.24</v>
      </c>
      <c r="W201" s="19">
        <f t="shared" si="8"/>
        <v>463479.84</v>
      </c>
    </row>
    <row r="202">
      <c r="A202" s="7">
        <v>2.31450879E8</v>
      </c>
      <c r="B202" s="12">
        <v>40181.0</v>
      </c>
      <c r="C202" s="7">
        <f t="shared" si="1"/>
        <v>2010</v>
      </c>
      <c r="D202" s="14" t="str">
        <f t="shared" si="2"/>
        <v>01 - Jan</v>
      </c>
      <c r="E202" s="15" t="str">
        <f t="shared" si="3"/>
        <v>Sun</v>
      </c>
      <c r="F202" s="15">
        <f t="shared" si="4"/>
        <v>7</v>
      </c>
      <c r="G202" s="16">
        <v>40231.0</v>
      </c>
      <c r="H202" s="14">
        <f t="shared" si="5"/>
        <v>50</v>
      </c>
      <c r="I202" s="7" t="s">
        <v>364</v>
      </c>
      <c r="J202" s="7" t="s">
        <v>90</v>
      </c>
      <c r="K202" s="7" t="str">
        <f>VLOOKUP(J202,countries,2,false)</f>
        <v>Armenia</v>
      </c>
      <c r="L202" s="7" t="str">
        <f>VLOOKUP($J202,countries,5,false)</f>
        <v>Asia</v>
      </c>
      <c r="M202" s="7" t="str">
        <f>VLOOKUP($J202,countries,6,false)</f>
        <v>Western Asia</v>
      </c>
      <c r="N202" s="7">
        <v>2455.0</v>
      </c>
      <c r="O202" s="7" t="str">
        <f>VLOOKUP(N202, products, 2, FALSE)</f>
        <v>Clothes</v>
      </c>
      <c r="P202" s="7" t="s">
        <v>264</v>
      </c>
      <c r="Q202" s="7">
        <v>313.0</v>
      </c>
      <c r="R202" s="17">
        <v>109.28</v>
      </c>
      <c r="S202" s="17">
        <v>35.84</v>
      </c>
      <c r="U202" s="18">
        <f t="shared" si="6"/>
        <v>34204.64</v>
      </c>
      <c r="V202" s="18">
        <f t="shared" si="7"/>
        <v>11217.92</v>
      </c>
      <c r="W202" s="19">
        <f t="shared" si="8"/>
        <v>22986.72</v>
      </c>
    </row>
    <row r="203">
      <c r="A203" s="7">
        <v>2.3186115E8</v>
      </c>
      <c r="B203" s="12">
        <v>41929.0</v>
      </c>
      <c r="C203" s="7">
        <f t="shared" si="1"/>
        <v>2014</v>
      </c>
      <c r="D203" s="14" t="str">
        <f t="shared" si="2"/>
        <v>10 - Oct</v>
      </c>
      <c r="E203" s="15" t="str">
        <f t="shared" si="3"/>
        <v>Fri</v>
      </c>
      <c r="F203" s="15">
        <f t="shared" si="4"/>
        <v>5</v>
      </c>
      <c r="G203" s="16">
        <v>41944.0</v>
      </c>
      <c r="H203" s="14">
        <f t="shared" si="5"/>
        <v>15</v>
      </c>
      <c r="I203" s="7" t="s">
        <v>364</v>
      </c>
      <c r="J203" s="7" t="s">
        <v>120</v>
      </c>
      <c r="K203" s="7" t="str">
        <f>VLOOKUP(J203,countries,2,false)</f>
        <v>Belarus</v>
      </c>
      <c r="L203" s="7" t="str">
        <f>VLOOKUP($J203,countries,5,false)</f>
        <v>Europe</v>
      </c>
      <c r="M203" s="7" t="str">
        <f>VLOOKUP($J203,countries,6,false)</f>
        <v>Eastern Europe</v>
      </c>
      <c r="N203" s="7">
        <v>8293.0</v>
      </c>
      <c r="O203" s="7" t="str">
        <f>VLOOKUP(N203, products, 2, FALSE)</f>
        <v>Cosmetics</v>
      </c>
      <c r="P203" s="7" t="s">
        <v>264</v>
      </c>
      <c r="Q203" s="7">
        <v>1722.0</v>
      </c>
      <c r="R203" s="17">
        <v>437.2</v>
      </c>
      <c r="S203" s="17">
        <v>263.33</v>
      </c>
      <c r="U203" s="18">
        <f t="shared" si="6"/>
        <v>752858.4</v>
      </c>
      <c r="V203" s="18">
        <f t="shared" si="7"/>
        <v>453454.26</v>
      </c>
      <c r="W203" s="19">
        <f t="shared" si="8"/>
        <v>299404.14</v>
      </c>
    </row>
    <row r="204">
      <c r="A204" s="7">
        <v>2.32196319E8</v>
      </c>
      <c r="B204" s="12">
        <v>42923.0</v>
      </c>
      <c r="C204" s="7">
        <f t="shared" si="1"/>
        <v>2017</v>
      </c>
      <c r="D204" s="14" t="str">
        <f t="shared" si="2"/>
        <v>07 - Jul</v>
      </c>
      <c r="E204" s="15" t="str">
        <f t="shared" si="3"/>
        <v>Fri</v>
      </c>
      <c r="F204" s="15">
        <f t="shared" si="4"/>
        <v>5</v>
      </c>
      <c r="G204" s="16">
        <v>42951.0</v>
      </c>
      <c r="H204" s="14">
        <f t="shared" si="5"/>
        <v>28</v>
      </c>
      <c r="I204" s="7" t="s">
        <v>364</v>
      </c>
      <c r="J204" s="7" t="s">
        <v>608</v>
      </c>
      <c r="K204" s="7" t="str">
        <f>VLOOKUP(J204,countries,2,false)</f>
        <v>Poland</v>
      </c>
      <c r="L204" s="7" t="str">
        <f>VLOOKUP($J204,countries,5,false)</f>
        <v>Europe</v>
      </c>
      <c r="M204" s="7" t="str">
        <f>VLOOKUP($J204,countries,6,false)</f>
        <v>Eastern Europe</v>
      </c>
      <c r="N204" s="7">
        <v>7940.0</v>
      </c>
      <c r="O204" s="7" t="str">
        <f>VLOOKUP(N204, products, 2, FALSE)</f>
        <v>Household</v>
      </c>
      <c r="P204" s="7" t="s">
        <v>334</v>
      </c>
      <c r="Q204" s="7">
        <v>905.0</v>
      </c>
      <c r="R204" s="17">
        <v>668.27</v>
      </c>
      <c r="S204" s="17">
        <v>502.54</v>
      </c>
      <c r="U204" s="18">
        <f t="shared" si="6"/>
        <v>604784.35</v>
      </c>
      <c r="V204" s="18">
        <f t="shared" si="7"/>
        <v>454798.7</v>
      </c>
      <c r="W204" s="19">
        <f t="shared" si="8"/>
        <v>149985.65</v>
      </c>
    </row>
    <row r="205">
      <c r="A205" s="7">
        <v>2.33440434E8</v>
      </c>
      <c r="B205" s="12">
        <v>42374.0</v>
      </c>
      <c r="C205" s="7">
        <f t="shared" si="1"/>
        <v>2016</v>
      </c>
      <c r="D205" s="14" t="str">
        <f t="shared" si="2"/>
        <v>01 - Jan</v>
      </c>
      <c r="E205" s="15" t="str">
        <f t="shared" si="3"/>
        <v>Tue</v>
      </c>
      <c r="F205" s="15">
        <f t="shared" si="4"/>
        <v>2</v>
      </c>
      <c r="G205" s="16">
        <v>42417.0</v>
      </c>
      <c r="H205" s="14">
        <f t="shared" si="5"/>
        <v>43</v>
      </c>
      <c r="I205" s="7" t="s">
        <v>232</v>
      </c>
      <c r="J205" s="7" t="s">
        <v>124</v>
      </c>
      <c r="K205" s="7" t="str">
        <f>VLOOKUP(J205,countries,2,false)</f>
        <v>Belgium</v>
      </c>
      <c r="L205" s="7" t="str">
        <f>VLOOKUP($J205,countries,5,false)</f>
        <v>Europe</v>
      </c>
      <c r="M205" s="7" t="str">
        <f>VLOOKUP($J205,countries,6,false)</f>
        <v>Western Europe</v>
      </c>
      <c r="N205" s="7">
        <v>8681.0</v>
      </c>
      <c r="O205" s="7" t="str">
        <f>VLOOKUP(N205, products, 2, FALSE)</f>
        <v>Office Supplies</v>
      </c>
      <c r="P205" s="7" t="s">
        <v>334</v>
      </c>
      <c r="Q205" s="7">
        <v>9067.0</v>
      </c>
      <c r="R205" s="17">
        <v>651.21</v>
      </c>
      <c r="S205" s="17">
        <v>524.96</v>
      </c>
      <c r="U205" s="18">
        <f t="shared" si="6"/>
        <v>5904521.07</v>
      </c>
      <c r="V205" s="18">
        <f t="shared" si="7"/>
        <v>4759812.32</v>
      </c>
      <c r="W205" s="19">
        <f t="shared" si="8"/>
        <v>1144708.75</v>
      </c>
    </row>
    <row r="206">
      <c r="A206" s="7">
        <v>2.33709084E8</v>
      </c>
      <c r="B206" s="12">
        <v>41910.0</v>
      </c>
      <c r="C206" s="7">
        <f t="shared" si="1"/>
        <v>2014</v>
      </c>
      <c r="D206" s="14" t="str">
        <f t="shared" si="2"/>
        <v>09 - Sep</v>
      </c>
      <c r="E206" s="15" t="str">
        <f t="shared" si="3"/>
        <v>Sun</v>
      </c>
      <c r="F206" s="15">
        <f t="shared" si="4"/>
        <v>7</v>
      </c>
      <c r="G206" s="16">
        <v>41928.0</v>
      </c>
      <c r="H206" s="14">
        <f t="shared" si="5"/>
        <v>18</v>
      </c>
      <c r="I206" s="7" t="s">
        <v>232</v>
      </c>
      <c r="J206" s="7" t="s">
        <v>447</v>
      </c>
      <c r="K206" s="7" t="str">
        <f>VLOOKUP(J206,countries,2,false)</f>
        <v>Latvia</v>
      </c>
      <c r="L206" s="7" t="str">
        <f>VLOOKUP($J206,countries,5,false)</f>
        <v>Europe</v>
      </c>
      <c r="M206" s="7" t="str">
        <f>VLOOKUP($J206,countries,6,false)</f>
        <v>Northern Europe</v>
      </c>
      <c r="N206" s="7">
        <v>2455.0</v>
      </c>
      <c r="O206" s="7" t="str">
        <f>VLOOKUP(N206, products, 2, FALSE)</f>
        <v>Clothes</v>
      </c>
      <c r="P206" s="7" t="s">
        <v>334</v>
      </c>
      <c r="Q206" s="7">
        <v>8566.0</v>
      </c>
      <c r="R206" s="17">
        <v>109.28</v>
      </c>
      <c r="S206" s="17">
        <v>35.84</v>
      </c>
      <c r="U206" s="18">
        <f t="shared" si="6"/>
        <v>936092.48</v>
      </c>
      <c r="V206" s="18">
        <f t="shared" si="7"/>
        <v>307005.44</v>
      </c>
      <c r="W206" s="19">
        <f t="shared" si="8"/>
        <v>629087.04</v>
      </c>
    </row>
    <row r="207">
      <c r="A207" s="7">
        <v>2.33811223E8</v>
      </c>
      <c r="B207" s="12">
        <v>42936.0</v>
      </c>
      <c r="C207" s="7">
        <f t="shared" si="1"/>
        <v>2017</v>
      </c>
      <c r="D207" s="14" t="str">
        <f t="shared" si="2"/>
        <v>07 - Jul</v>
      </c>
      <c r="E207" s="15" t="str">
        <f t="shared" si="3"/>
        <v>Thu</v>
      </c>
      <c r="F207" s="15">
        <f t="shared" si="4"/>
        <v>4</v>
      </c>
      <c r="G207" s="16">
        <v>42936.0</v>
      </c>
      <c r="H207" s="14">
        <f t="shared" si="5"/>
        <v>0</v>
      </c>
      <c r="I207" s="7" t="s">
        <v>305</v>
      </c>
      <c r="J207" s="7" t="s">
        <v>720</v>
      </c>
      <c r="K207" s="7" t="str">
        <f>VLOOKUP(J207,countries,2,false)</f>
        <v>Switzerland</v>
      </c>
      <c r="L207" s="7" t="str">
        <f>VLOOKUP($J207,countries,5,false)</f>
        <v>Europe</v>
      </c>
      <c r="M207" s="7" t="str">
        <f>VLOOKUP($J207,countries,6,false)</f>
        <v>Western Europe</v>
      </c>
      <c r="N207" s="7">
        <v>8293.0</v>
      </c>
      <c r="O207" s="7" t="str">
        <f>VLOOKUP(N207, products, 2, FALSE)</f>
        <v>Cosmetics</v>
      </c>
      <c r="P207" s="7" t="s">
        <v>264</v>
      </c>
      <c r="Q207" s="7">
        <v>8792.0</v>
      </c>
      <c r="R207" s="17">
        <v>437.2</v>
      </c>
      <c r="S207" s="17">
        <v>263.33</v>
      </c>
      <c r="U207" s="18">
        <f t="shared" si="6"/>
        <v>3843862.4</v>
      </c>
      <c r="V207" s="18">
        <f t="shared" si="7"/>
        <v>2315197.36</v>
      </c>
      <c r="W207" s="19">
        <f t="shared" si="8"/>
        <v>1528665.04</v>
      </c>
    </row>
    <row r="208">
      <c r="A208" s="7">
        <v>2.34082448E8</v>
      </c>
      <c r="B208" s="12">
        <v>41707.0</v>
      </c>
      <c r="C208" s="7">
        <f t="shared" si="1"/>
        <v>2014</v>
      </c>
      <c r="D208" s="14" t="str">
        <f t="shared" si="2"/>
        <v>03 - Mar</v>
      </c>
      <c r="E208" s="15" t="str">
        <f t="shared" si="3"/>
        <v>Sun</v>
      </c>
      <c r="F208" s="15">
        <f t="shared" si="4"/>
        <v>7</v>
      </c>
      <c r="G208" s="16">
        <v>41707.0</v>
      </c>
      <c r="H208" s="14">
        <f t="shared" si="5"/>
        <v>0</v>
      </c>
      <c r="I208" s="7" t="s">
        <v>305</v>
      </c>
      <c r="J208" s="7" t="s">
        <v>365</v>
      </c>
      <c r="K208" s="7" t="str">
        <f>VLOOKUP(J208,countries,2,false)</f>
        <v>Montenegro</v>
      </c>
      <c r="L208" s="7" t="str">
        <f>VLOOKUP($J208,countries,5,false)</f>
        <v>Europe</v>
      </c>
      <c r="M208" s="7" t="str">
        <f>VLOOKUP($J208,countries,6,false)</f>
        <v>Southern Europe</v>
      </c>
      <c r="N208" s="7">
        <v>2455.0</v>
      </c>
      <c r="O208" s="7" t="str">
        <f>VLOOKUP(N208, products, 2, FALSE)</f>
        <v>Clothes</v>
      </c>
      <c r="P208" s="7" t="s">
        <v>264</v>
      </c>
      <c r="Q208" s="7">
        <v>9053.0</v>
      </c>
      <c r="R208" s="17">
        <v>109.28</v>
      </c>
      <c r="S208" s="17">
        <v>35.84</v>
      </c>
      <c r="U208" s="18">
        <f t="shared" si="6"/>
        <v>989311.84</v>
      </c>
      <c r="V208" s="18">
        <f t="shared" si="7"/>
        <v>324459.52</v>
      </c>
      <c r="W208" s="19">
        <f t="shared" si="8"/>
        <v>664852.32</v>
      </c>
    </row>
    <row r="209">
      <c r="A209" s="7">
        <v>2.36042392E8</v>
      </c>
      <c r="B209" s="12">
        <v>41627.0</v>
      </c>
      <c r="C209" s="7">
        <f t="shared" si="1"/>
        <v>2013</v>
      </c>
      <c r="D209" s="14" t="str">
        <f t="shared" si="2"/>
        <v>12 - Dec</v>
      </c>
      <c r="E209" s="15" t="str">
        <f t="shared" si="3"/>
        <v>Thu</v>
      </c>
      <c r="F209" s="15">
        <f t="shared" si="4"/>
        <v>4</v>
      </c>
      <c r="G209" s="16">
        <v>41665.0</v>
      </c>
      <c r="H209" s="14">
        <f t="shared" si="5"/>
        <v>38</v>
      </c>
      <c r="I209" s="7" t="s">
        <v>399</v>
      </c>
      <c r="J209" s="7" t="s">
        <v>319</v>
      </c>
      <c r="K209" s="7" t="str">
        <f>VLOOKUP(J209,countries,2,false)</f>
        <v>Germany</v>
      </c>
      <c r="L209" s="7" t="str">
        <f>VLOOKUP($J209,countries,5,false)</f>
        <v>Europe</v>
      </c>
      <c r="M209" s="7" t="str">
        <f>VLOOKUP($J209,countries,6,false)</f>
        <v>Western Europe</v>
      </c>
      <c r="N209" s="7">
        <v>8681.0</v>
      </c>
      <c r="O209" s="7" t="str">
        <f>VLOOKUP(N209, products, 2, FALSE)</f>
        <v>Office Supplies</v>
      </c>
      <c r="P209" s="7" t="s">
        <v>334</v>
      </c>
      <c r="Q209" s="7">
        <v>9044.0</v>
      </c>
      <c r="R209" s="17">
        <v>651.21</v>
      </c>
      <c r="S209" s="17">
        <v>524.96</v>
      </c>
      <c r="U209" s="18">
        <f t="shared" si="6"/>
        <v>5889543.24</v>
      </c>
      <c r="V209" s="18">
        <f t="shared" si="7"/>
        <v>4747738.24</v>
      </c>
      <c r="W209" s="19">
        <f t="shared" si="8"/>
        <v>1141805</v>
      </c>
    </row>
    <row r="210">
      <c r="A210" s="7">
        <v>2.38170993E8</v>
      </c>
      <c r="B210" s="12">
        <v>41265.0</v>
      </c>
      <c r="C210" s="7">
        <f t="shared" si="1"/>
        <v>2012</v>
      </c>
      <c r="D210" s="14" t="str">
        <f t="shared" si="2"/>
        <v>12 - Dec</v>
      </c>
      <c r="E210" s="15" t="str">
        <f t="shared" si="3"/>
        <v>Sat</v>
      </c>
      <c r="F210" s="15">
        <f t="shared" si="4"/>
        <v>6</v>
      </c>
      <c r="G210" s="16">
        <v>41312.0</v>
      </c>
      <c r="H210" s="14">
        <f t="shared" si="5"/>
        <v>47</v>
      </c>
      <c r="I210" s="7" t="s">
        <v>364</v>
      </c>
      <c r="J210" s="7" t="s">
        <v>233</v>
      </c>
      <c r="K210" s="7" t="str">
        <f>VLOOKUP(J210,countries,2,false)</f>
        <v>Norway</v>
      </c>
      <c r="L210" s="7" t="str">
        <f>VLOOKUP($J210,countries,5,false)</f>
        <v>Europe</v>
      </c>
      <c r="M210" s="7" t="str">
        <f>VLOOKUP($J210,countries,6,false)</f>
        <v>Northern Europe</v>
      </c>
      <c r="N210" s="7">
        <v>1270.0</v>
      </c>
      <c r="O210" s="7" t="str">
        <f>VLOOKUP(N210, products, 2, FALSE)</f>
        <v>Beverages</v>
      </c>
      <c r="P210" s="7" t="s">
        <v>334</v>
      </c>
      <c r="Q210" s="7">
        <v>8944.0</v>
      </c>
      <c r="R210" s="17">
        <v>47.45</v>
      </c>
      <c r="S210" s="17">
        <v>31.79</v>
      </c>
      <c r="U210" s="18">
        <f t="shared" si="6"/>
        <v>424392.8</v>
      </c>
      <c r="V210" s="18">
        <f t="shared" si="7"/>
        <v>284329.76</v>
      </c>
      <c r="W210" s="19">
        <f t="shared" si="8"/>
        <v>140063.04</v>
      </c>
    </row>
    <row r="211">
      <c r="A211" s="7">
        <v>2.39048612E8</v>
      </c>
      <c r="B211" s="12">
        <v>42568.0</v>
      </c>
      <c r="C211" s="7">
        <f t="shared" si="1"/>
        <v>2016</v>
      </c>
      <c r="D211" s="14" t="str">
        <f t="shared" si="2"/>
        <v>07 - Jul</v>
      </c>
      <c r="E211" s="15" t="str">
        <f t="shared" si="3"/>
        <v>Sun</v>
      </c>
      <c r="F211" s="15">
        <f t="shared" si="4"/>
        <v>7</v>
      </c>
      <c r="G211" s="16">
        <v>42577.0</v>
      </c>
      <c r="H211" s="14">
        <f t="shared" si="5"/>
        <v>9</v>
      </c>
      <c r="I211" s="7" t="s">
        <v>364</v>
      </c>
      <c r="J211" s="7" t="s">
        <v>656</v>
      </c>
      <c r="K211" s="7" t="str">
        <f>VLOOKUP(J211,countries,2,false)</f>
        <v>San Marino</v>
      </c>
      <c r="L211" s="7" t="str">
        <f>VLOOKUP($J211,countries,5,false)</f>
        <v>Europe</v>
      </c>
      <c r="M211" s="7" t="str">
        <f>VLOOKUP($J211,countries,6,false)</f>
        <v>Southern Europe</v>
      </c>
      <c r="N211" s="7">
        <v>3127.0</v>
      </c>
      <c r="O211" s="7" t="str">
        <f>VLOOKUP(N211, products, 2, FALSE)</f>
        <v>Personal Care</v>
      </c>
      <c r="P211" s="7" t="s">
        <v>264</v>
      </c>
      <c r="Q211" s="7">
        <v>8651.0</v>
      </c>
      <c r="R211" s="17">
        <v>81.73</v>
      </c>
      <c r="S211" s="17">
        <v>56.67</v>
      </c>
      <c r="U211" s="18">
        <f t="shared" si="6"/>
        <v>707046.23</v>
      </c>
      <c r="V211" s="18">
        <f t="shared" si="7"/>
        <v>490252.17</v>
      </c>
      <c r="W211" s="19">
        <f t="shared" si="8"/>
        <v>216794.06</v>
      </c>
    </row>
    <row r="212">
      <c r="A212" s="7">
        <v>2.39386355E8</v>
      </c>
      <c r="B212" s="12">
        <v>42798.0</v>
      </c>
      <c r="C212" s="7">
        <f t="shared" si="1"/>
        <v>2017</v>
      </c>
      <c r="D212" s="14" t="str">
        <f t="shared" si="2"/>
        <v>03 - Mar</v>
      </c>
      <c r="E212" s="15" t="str">
        <f t="shared" si="3"/>
        <v>Sat</v>
      </c>
      <c r="F212" s="15">
        <f t="shared" si="4"/>
        <v>6</v>
      </c>
      <c r="G212" s="16">
        <v>42845.0</v>
      </c>
      <c r="H212" s="14">
        <f t="shared" si="5"/>
        <v>47</v>
      </c>
      <c r="I212" s="7" t="s">
        <v>364</v>
      </c>
      <c r="J212" s="7" t="s">
        <v>656</v>
      </c>
      <c r="K212" s="7" t="str">
        <f>VLOOKUP(J212,countries,2,false)</f>
        <v>San Marino</v>
      </c>
      <c r="L212" s="7" t="str">
        <f>VLOOKUP($J212,countries,5,false)</f>
        <v>Europe</v>
      </c>
      <c r="M212" s="7" t="str">
        <f>VLOOKUP($J212,countries,6,false)</f>
        <v>Southern Europe</v>
      </c>
      <c r="N212" s="7">
        <v>8681.0</v>
      </c>
      <c r="O212" s="7" t="str">
        <f>VLOOKUP(N212, products, 2, FALSE)</f>
        <v>Office Supplies</v>
      </c>
      <c r="P212" s="7" t="s">
        <v>334</v>
      </c>
      <c r="Q212" s="7">
        <v>8597.0</v>
      </c>
      <c r="R212" s="17">
        <v>651.21</v>
      </c>
      <c r="S212" s="17">
        <v>524.96</v>
      </c>
      <c r="U212" s="18">
        <f t="shared" si="6"/>
        <v>5598452.37</v>
      </c>
      <c r="V212" s="18">
        <f t="shared" si="7"/>
        <v>4513081.12</v>
      </c>
      <c r="W212" s="19">
        <f t="shared" si="8"/>
        <v>1085371.25</v>
      </c>
    </row>
    <row r="213">
      <c r="A213" s="7">
        <v>2.39554154E8</v>
      </c>
      <c r="B213" s="12">
        <v>40926.0</v>
      </c>
      <c r="C213" s="7">
        <f t="shared" si="1"/>
        <v>2012</v>
      </c>
      <c r="D213" s="14" t="str">
        <f t="shared" si="2"/>
        <v>01 - Jan</v>
      </c>
      <c r="E213" s="15" t="str">
        <f t="shared" si="3"/>
        <v>Wed</v>
      </c>
      <c r="F213" s="15">
        <f t="shared" si="4"/>
        <v>3</v>
      </c>
      <c r="G213" s="16">
        <v>40952.0</v>
      </c>
      <c r="H213" s="14">
        <f t="shared" si="5"/>
        <v>26</v>
      </c>
      <c r="I213" s="7" t="s">
        <v>364</v>
      </c>
      <c r="J213" s="7" t="s">
        <v>381</v>
      </c>
      <c r="K213" s="7" t="str">
        <f>VLOOKUP(J213,countries,2,false)</f>
        <v>Iceland</v>
      </c>
      <c r="L213" s="7" t="str">
        <f>VLOOKUP($J213,countries,5,false)</f>
        <v>Europe</v>
      </c>
      <c r="M213" s="7" t="str">
        <f>VLOOKUP($J213,countries,6,false)</f>
        <v>Northern Europe</v>
      </c>
      <c r="N213" s="7">
        <v>8681.0</v>
      </c>
      <c r="O213" s="7" t="str">
        <f>VLOOKUP(N213, products, 2, FALSE)</f>
        <v>Office Supplies</v>
      </c>
      <c r="P213" s="7" t="s">
        <v>334</v>
      </c>
      <c r="Q213" s="7">
        <v>8253.0</v>
      </c>
      <c r="R213" s="17">
        <v>651.21</v>
      </c>
      <c r="S213" s="17">
        <v>524.96</v>
      </c>
      <c r="U213" s="18">
        <f t="shared" si="6"/>
        <v>5374436.13</v>
      </c>
      <c r="V213" s="18">
        <f t="shared" si="7"/>
        <v>4332494.88</v>
      </c>
      <c r="W213" s="19">
        <f t="shared" si="8"/>
        <v>1041941.25</v>
      </c>
    </row>
    <row r="214">
      <c r="A214" s="7">
        <v>2.41392648E8</v>
      </c>
      <c r="B214" s="12">
        <v>42788.0</v>
      </c>
      <c r="C214" s="7">
        <f t="shared" si="1"/>
        <v>2017</v>
      </c>
      <c r="D214" s="14" t="str">
        <f t="shared" si="2"/>
        <v>02 - Feb</v>
      </c>
      <c r="E214" s="15" t="str">
        <f t="shared" si="3"/>
        <v>Wed</v>
      </c>
      <c r="F214" s="15">
        <f t="shared" si="4"/>
        <v>3</v>
      </c>
      <c r="G214" s="16">
        <v>42810.0</v>
      </c>
      <c r="H214" s="14">
        <f t="shared" si="5"/>
        <v>22</v>
      </c>
      <c r="I214" s="7" t="s">
        <v>399</v>
      </c>
      <c r="J214" s="7" t="s">
        <v>570</v>
      </c>
      <c r="K214" s="7" t="str">
        <f>VLOOKUP(J214,countries,2,false)</f>
        <v>Macedonia</v>
      </c>
      <c r="L214" s="7" t="str">
        <f>VLOOKUP($J214,countries,5,false)</f>
        <v>Europe</v>
      </c>
      <c r="M214" s="7" t="str">
        <f>VLOOKUP($J214,countries,6,false)</f>
        <v>Southern Europe</v>
      </c>
      <c r="N214" s="7">
        <v>7940.0</v>
      </c>
      <c r="O214" s="7" t="str">
        <f>VLOOKUP(N214, products, 2, FALSE)</f>
        <v>Household</v>
      </c>
      <c r="P214" s="7" t="s">
        <v>264</v>
      </c>
      <c r="Q214" s="7">
        <v>2304.0</v>
      </c>
      <c r="R214" s="17">
        <v>668.27</v>
      </c>
      <c r="S214" s="17">
        <v>502.54</v>
      </c>
      <c r="U214" s="18">
        <f t="shared" si="6"/>
        <v>1539694.08</v>
      </c>
      <c r="V214" s="18">
        <f t="shared" si="7"/>
        <v>1157852.16</v>
      </c>
      <c r="W214" s="19">
        <f t="shared" si="8"/>
        <v>381841.92</v>
      </c>
    </row>
    <row r="215">
      <c r="A215" s="7">
        <v>2.42168128E8</v>
      </c>
      <c r="B215" s="12">
        <v>40300.0</v>
      </c>
      <c r="C215" s="7">
        <f t="shared" si="1"/>
        <v>2010</v>
      </c>
      <c r="D215" s="14" t="str">
        <f t="shared" si="2"/>
        <v>05 - May</v>
      </c>
      <c r="E215" s="15" t="str">
        <f t="shared" si="3"/>
        <v>Sun</v>
      </c>
      <c r="F215" s="15">
        <f t="shared" si="4"/>
        <v>7</v>
      </c>
      <c r="G215" s="16">
        <v>40301.0</v>
      </c>
      <c r="H215" s="14">
        <f t="shared" si="5"/>
        <v>1</v>
      </c>
      <c r="I215" s="7" t="s">
        <v>232</v>
      </c>
      <c r="J215" s="7" t="s">
        <v>243</v>
      </c>
      <c r="K215" s="7" t="str">
        <f>VLOOKUP(J215,countries,2,false)</f>
        <v>Czech Republic</v>
      </c>
      <c r="L215" s="7" t="str">
        <f>VLOOKUP($J215,countries,5,false)</f>
        <v>Europe</v>
      </c>
      <c r="M215" s="7" t="str">
        <f>VLOOKUP($J215,countries,6,false)</f>
        <v>Eastern Europe</v>
      </c>
      <c r="N215" s="7">
        <v>1270.0</v>
      </c>
      <c r="O215" s="7" t="str">
        <f>VLOOKUP(N215, products, 2, FALSE)</f>
        <v>Beverages</v>
      </c>
      <c r="P215" s="7" t="s">
        <v>264</v>
      </c>
      <c r="Q215" s="7">
        <v>1785.0</v>
      </c>
      <c r="R215" s="17">
        <v>47.45</v>
      </c>
      <c r="S215" s="17">
        <v>31.79</v>
      </c>
      <c r="U215" s="18">
        <f t="shared" si="6"/>
        <v>84698.25</v>
      </c>
      <c r="V215" s="18">
        <f t="shared" si="7"/>
        <v>56745.15</v>
      </c>
      <c r="W215" s="19">
        <f t="shared" si="8"/>
        <v>27953.1</v>
      </c>
    </row>
    <row r="216">
      <c r="A216" s="7">
        <v>2.42265546E8</v>
      </c>
      <c r="B216" s="12">
        <v>40883.0</v>
      </c>
      <c r="C216" s="7">
        <f t="shared" si="1"/>
        <v>2011</v>
      </c>
      <c r="D216" s="14" t="str">
        <f t="shared" si="2"/>
        <v>12 - Dec</v>
      </c>
      <c r="E216" s="15" t="str">
        <f t="shared" si="3"/>
        <v>Tue</v>
      </c>
      <c r="F216" s="15">
        <f t="shared" si="4"/>
        <v>2</v>
      </c>
      <c r="G216" s="16">
        <v>40915.0</v>
      </c>
      <c r="H216" s="14">
        <f t="shared" si="5"/>
        <v>32</v>
      </c>
      <c r="I216" s="7" t="s">
        <v>364</v>
      </c>
      <c r="J216" s="7" t="s">
        <v>468</v>
      </c>
      <c r="K216" s="7" t="str">
        <f>VLOOKUP(J216,countries,2,false)</f>
        <v>Luxembourg</v>
      </c>
      <c r="L216" s="7" t="str">
        <f>VLOOKUP($J216,countries,5,false)</f>
        <v>Europe</v>
      </c>
      <c r="M216" s="7" t="str">
        <f>VLOOKUP($J216,countries,6,false)</f>
        <v>Western Europe</v>
      </c>
      <c r="N216" s="7">
        <v>4594.0</v>
      </c>
      <c r="O216" s="7" t="str">
        <f>VLOOKUP(N216, products, 2, FALSE)</f>
        <v>Fruits</v>
      </c>
      <c r="P216" s="7" t="s">
        <v>334</v>
      </c>
      <c r="Q216" s="7">
        <v>614.0</v>
      </c>
      <c r="R216" s="17">
        <v>9.33</v>
      </c>
      <c r="S216" s="17">
        <v>6.92</v>
      </c>
      <c r="U216" s="18">
        <f t="shared" si="6"/>
        <v>5728.62</v>
      </c>
      <c r="V216" s="18">
        <f t="shared" si="7"/>
        <v>4248.88</v>
      </c>
      <c r="W216" s="19">
        <f t="shared" si="8"/>
        <v>1479.74</v>
      </c>
    </row>
    <row r="217">
      <c r="A217" s="7">
        <v>2.43070638E8</v>
      </c>
      <c r="B217" s="12">
        <v>40668.0</v>
      </c>
      <c r="C217" s="7">
        <f t="shared" si="1"/>
        <v>2011</v>
      </c>
      <c r="D217" s="14" t="str">
        <f t="shared" si="2"/>
        <v>05 - May</v>
      </c>
      <c r="E217" s="15" t="str">
        <f t="shared" si="3"/>
        <v>Thu</v>
      </c>
      <c r="F217" s="15">
        <f t="shared" si="4"/>
        <v>4</v>
      </c>
      <c r="G217" s="16">
        <v>40685.0</v>
      </c>
      <c r="H217" s="14">
        <f t="shared" si="5"/>
        <v>17</v>
      </c>
      <c r="I217" s="7" t="s">
        <v>232</v>
      </c>
      <c r="J217" s="7" t="s">
        <v>489</v>
      </c>
      <c r="K217" s="7" t="str">
        <f>VLOOKUP(J217,countries,2,false)</f>
        <v>Malta</v>
      </c>
      <c r="L217" s="7" t="str">
        <f>VLOOKUP($J217,countries,5,false)</f>
        <v>Europe</v>
      </c>
      <c r="M217" s="7" t="str">
        <f>VLOOKUP($J217,countries,6,false)</f>
        <v>Southern Europe</v>
      </c>
      <c r="N217" s="7">
        <v>8681.0</v>
      </c>
      <c r="O217" s="7" t="str">
        <f>VLOOKUP(N217, products, 2, FALSE)</f>
        <v>Office Supplies</v>
      </c>
      <c r="P217" s="7" t="s">
        <v>334</v>
      </c>
      <c r="Q217" s="7">
        <v>8858.0</v>
      </c>
      <c r="R217" s="17">
        <v>651.21</v>
      </c>
      <c r="S217" s="17">
        <v>524.96</v>
      </c>
      <c r="U217" s="18">
        <f t="shared" si="6"/>
        <v>5768418.18</v>
      </c>
      <c r="V217" s="18">
        <f t="shared" si="7"/>
        <v>4650095.68</v>
      </c>
      <c r="W217" s="19">
        <f t="shared" si="8"/>
        <v>1118322.5</v>
      </c>
    </row>
    <row r="218">
      <c r="A218" s="7">
        <v>2.43144452E8</v>
      </c>
      <c r="B218" s="12">
        <v>41804.0</v>
      </c>
      <c r="C218" s="7">
        <f t="shared" si="1"/>
        <v>2014</v>
      </c>
      <c r="D218" s="14" t="str">
        <f t="shared" si="2"/>
        <v>06 - Jun</v>
      </c>
      <c r="E218" s="15" t="str">
        <f t="shared" si="3"/>
        <v>Sat</v>
      </c>
      <c r="F218" s="15">
        <f t="shared" si="4"/>
        <v>6</v>
      </c>
      <c r="G218" s="16">
        <v>41836.0</v>
      </c>
      <c r="H218" s="14">
        <f t="shared" si="5"/>
        <v>32</v>
      </c>
      <c r="I218" s="7" t="s">
        <v>399</v>
      </c>
      <c r="J218" s="7" t="s">
        <v>316</v>
      </c>
      <c r="K218" s="7" t="str">
        <f>VLOOKUP(J218,countries,2,false)</f>
        <v>Georgia</v>
      </c>
      <c r="L218" s="7" t="str">
        <f>VLOOKUP($J218,countries,5,false)</f>
        <v>Asia</v>
      </c>
      <c r="M218" s="7" t="str">
        <f>VLOOKUP($J218,countries,6,false)</f>
        <v>Western Asia</v>
      </c>
      <c r="N218" s="7">
        <v>2103.0</v>
      </c>
      <c r="O218" s="7" t="str">
        <f>VLOOKUP(N218, products, 2, FALSE)</f>
        <v>Cereal</v>
      </c>
      <c r="P218" s="7" t="s">
        <v>264</v>
      </c>
      <c r="Q218" s="7">
        <v>701.0</v>
      </c>
      <c r="R218" s="17">
        <v>205.7</v>
      </c>
      <c r="S218" s="17">
        <v>117.11</v>
      </c>
      <c r="U218" s="18">
        <f t="shared" si="6"/>
        <v>144195.7</v>
      </c>
      <c r="V218" s="18">
        <f t="shared" si="7"/>
        <v>82094.11</v>
      </c>
      <c r="W218" s="19">
        <f t="shared" si="8"/>
        <v>62101.59</v>
      </c>
    </row>
    <row r="219">
      <c r="A219" s="7">
        <v>2.4322642E8</v>
      </c>
      <c r="B219" s="12">
        <v>41442.0</v>
      </c>
      <c r="C219" s="7">
        <f t="shared" si="1"/>
        <v>2013</v>
      </c>
      <c r="D219" s="14" t="str">
        <f t="shared" si="2"/>
        <v>06 - Jun</v>
      </c>
      <c r="E219" s="15" t="str">
        <f t="shared" si="3"/>
        <v>Mon</v>
      </c>
      <c r="F219" s="15">
        <f t="shared" si="4"/>
        <v>1</v>
      </c>
      <c r="G219" s="16">
        <v>41458.0</v>
      </c>
      <c r="H219" s="14">
        <f t="shared" si="5"/>
        <v>16</v>
      </c>
      <c r="I219" s="7" t="s">
        <v>399</v>
      </c>
      <c r="J219" s="7" t="s">
        <v>348</v>
      </c>
      <c r="K219" s="7" t="s">
        <v>348</v>
      </c>
      <c r="L219" s="7" t="s">
        <v>348</v>
      </c>
      <c r="M219" s="7" t="s">
        <v>348</v>
      </c>
      <c r="N219" s="7">
        <v>1270.0</v>
      </c>
      <c r="O219" s="7" t="str">
        <f>VLOOKUP(N219, products, 2, FALSE)</f>
        <v>Beverages</v>
      </c>
      <c r="P219" s="7" t="s">
        <v>334</v>
      </c>
      <c r="Q219" s="7">
        <v>4958.0</v>
      </c>
      <c r="R219" s="17">
        <v>47.45</v>
      </c>
      <c r="S219" s="17">
        <v>31.79</v>
      </c>
      <c r="U219" s="18">
        <f t="shared" si="6"/>
        <v>235257.1</v>
      </c>
      <c r="V219" s="18">
        <f t="shared" si="7"/>
        <v>157614.82</v>
      </c>
      <c r="W219" s="19">
        <f t="shared" si="8"/>
        <v>77642.28</v>
      </c>
    </row>
    <row r="220">
      <c r="A220" s="7">
        <v>2.43340575E8</v>
      </c>
      <c r="B220" s="12">
        <v>42588.0</v>
      </c>
      <c r="C220" s="7">
        <f t="shared" si="1"/>
        <v>2016</v>
      </c>
      <c r="D220" s="14" t="str">
        <f t="shared" si="2"/>
        <v>08 - Aug</v>
      </c>
      <c r="E220" s="15" t="str">
        <f t="shared" si="3"/>
        <v>Sat</v>
      </c>
      <c r="F220" s="15">
        <f t="shared" si="4"/>
        <v>6</v>
      </c>
      <c r="G220" s="16">
        <v>42617.0</v>
      </c>
      <c r="H220" s="14">
        <f t="shared" si="5"/>
        <v>29</v>
      </c>
      <c r="I220" s="7" t="s">
        <v>305</v>
      </c>
      <c r="J220" s="7" t="s">
        <v>365</v>
      </c>
      <c r="K220" s="7" t="str">
        <f>VLOOKUP(J220,countries,2,false)</f>
        <v>Montenegro</v>
      </c>
      <c r="L220" s="7" t="str">
        <f>VLOOKUP($J220,countries,5,false)</f>
        <v>Europe</v>
      </c>
      <c r="M220" s="7" t="str">
        <f>VLOOKUP($J220,countries,6,false)</f>
        <v>Southern Europe</v>
      </c>
      <c r="N220" s="7">
        <v>1270.0</v>
      </c>
      <c r="O220" s="7" t="str">
        <f>VLOOKUP(N220, products, 2, FALSE)</f>
        <v>Beverages</v>
      </c>
      <c r="P220" s="7" t="s">
        <v>334</v>
      </c>
      <c r="Q220" s="7">
        <v>8739.0</v>
      </c>
      <c r="R220" s="17">
        <v>47.45</v>
      </c>
      <c r="S220" s="17">
        <v>31.79</v>
      </c>
      <c r="U220" s="18">
        <f t="shared" si="6"/>
        <v>414665.55</v>
      </c>
      <c r="V220" s="18">
        <f t="shared" si="7"/>
        <v>277812.81</v>
      </c>
      <c r="W220" s="19">
        <f t="shared" si="8"/>
        <v>136852.74</v>
      </c>
    </row>
    <row r="221">
      <c r="A221" s="7">
        <v>2.43391644E8</v>
      </c>
      <c r="B221" s="12">
        <v>40335.0</v>
      </c>
      <c r="C221" s="7">
        <f t="shared" si="1"/>
        <v>2010</v>
      </c>
      <c r="D221" s="14" t="str">
        <f t="shared" si="2"/>
        <v>06 - Jun</v>
      </c>
      <c r="E221" s="15" t="str">
        <f t="shared" si="3"/>
        <v>Sun</v>
      </c>
      <c r="F221" s="15">
        <f t="shared" si="4"/>
        <v>7</v>
      </c>
      <c r="G221" s="16">
        <v>40356.0</v>
      </c>
      <c r="H221" s="14">
        <f t="shared" si="5"/>
        <v>21</v>
      </c>
      <c r="I221" s="7" t="s">
        <v>305</v>
      </c>
      <c r="J221" s="7" t="s">
        <v>685</v>
      </c>
      <c r="K221" s="7" t="str">
        <f>VLOOKUP(J221,countries,2,false)</f>
        <v>Slovenia</v>
      </c>
      <c r="L221" s="7" t="str">
        <f>VLOOKUP($J221,countries,5,false)</f>
        <v>Europe</v>
      </c>
      <c r="M221" s="7" t="str">
        <f>VLOOKUP($J221,countries,6,false)</f>
        <v>Southern Europe</v>
      </c>
      <c r="N221" s="7">
        <v>3127.0</v>
      </c>
      <c r="O221" s="7" t="str">
        <f>VLOOKUP(N221, products, 2, FALSE)</f>
        <v>Personal Care</v>
      </c>
      <c r="P221" s="7" t="s">
        <v>264</v>
      </c>
      <c r="Q221" s="7">
        <v>3851.0</v>
      </c>
      <c r="R221" s="17">
        <v>81.73</v>
      </c>
      <c r="S221" s="17">
        <v>56.67</v>
      </c>
      <c r="U221" s="18">
        <f t="shared" si="6"/>
        <v>314742.23</v>
      </c>
      <c r="V221" s="18">
        <f t="shared" si="7"/>
        <v>218236.17</v>
      </c>
      <c r="W221" s="19">
        <f t="shared" si="8"/>
        <v>96506.06</v>
      </c>
    </row>
    <row r="222">
      <c r="A222" s="7">
        <v>2.43521249E8</v>
      </c>
      <c r="B222" s="12">
        <v>42426.0</v>
      </c>
      <c r="C222" s="7">
        <f t="shared" si="1"/>
        <v>2016</v>
      </c>
      <c r="D222" s="14" t="str">
        <f t="shared" si="2"/>
        <v>02 - Feb</v>
      </c>
      <c r="E222" s="15" t="str">
        <f t="shared" si="3"/>
        <v>Fri</v>
      </c>
      <c r="F222" s="15">
        <f t="shared" si="4"/>
        <v>5</v>
      </c>
      <c r="G222" s="16">
        <v>42457.0</v>
      </c>
      <c r="H222" s="14">
        <f t="shared" si="5"/>
        <v>31</v>
      </c>
      <c r="I222" s="7" t="s">
        <v>364</v>
      </c>
      <c r="J222" s="7" t="s">
        <v>720</v>
      </c>
      <c r="K222" s="7" t="str">
        <f>VLOOKUP(J222,countries,2,false)</f>
        <v>Switzerland</v>
      </c>
      <c r="L222" s="7" t="str">
        <f>VLOOKUP($J222,countries,5,false)</f>
        <v>Europe</v>
      </c>
      <c r="M222" s="7" t="str">
        <f>VLOOKUP($J222,countries,6,false)</f>
        <v>Western Europe</v>
      </c>
      <c r="N222" s="7">
        <v>8293.0</v>
      </c>
      <c r="O222" s="7" t="str">
        <f>VLOOKUP(N222, products, 2, FALSE)</f>
        <v>Cosmetics</v>
      </c>
      <c r="P222" s="7" t="s">
        <v>264</v>
      </c>
      <c r="Q222" s="7">
        <v>2204.0</v>
      </c>
      <c r="R222" s="17">
        <v>437.2</v>
      </c>
      <c r="S222" s="17">
        <v>263.33</v>
      </c>
      <c r="U222" s="18">
        <f t="shared" si="6"/>
        <v>963588.8</v>
      </c>
      <c r="V222" s="18">
        <f t="shared" si="7"/>
        <v>580379.32</v>
      </c>
      <c r="W222" s="19">
        <f t="shared" si="8"/>
        <v>383209.48</v>
      </c>
    </row>
    <row r="223">
      <c r="A223" s="7">
        <v>2.43684327E8</v>
      </c>
      <c r="B223" s="12">
        <v>42878.0</v>
      </c>
      <c r="C223" s="7">
        <f t="shared" si="1"/>
        <v>2017</v>
      </c>
      <c r="D223" s="14" t="str">
        <f t="shared" si="2"/>
        <v>05 - May</v>
      </c>
      <c r="E223" s="15" t="str">
        <f t="shared" si="3"/>
        <v>Tue</v>
      </c>
      <c r="F223" s="15">
        <f t="shared" si="4"/>
        <v>2</v>
      </c>
      <c r="G223" s="16">
        <v>42885.0</v>
      </c>
      <c r="H223" s="14">
        <f t="shared" si="5"/>
        <v>7</v>
      </c>
      <c r="I223" s="7" t="s">
        <v>399</v>
      </c>
      <c r="J223" s="7" t="s">
        <v>396</v>
      </c>
      <c r="K223" s="7" t="str">
        <f>VLOOKUP(J223,countries,2,false)</f>
        <v>Ireland</v>
      </c>
      <c r="L223" s="7" t="str">
        <f>VLOOKUP($J223,countries,5,false)</f>
        <v>Europe</v>
      </c>
      <c r="M223" s="7" t="str">
        <f>VLOOKUP($J223,countries,6,false)</f>
        <v>Northern Europe</v>
      </c>
      <c r="N223" s="7">
        <v>7331.0</v>
      </c>
      <c r="O223" s="7" t="str">
        <f>VLOOKUP(N223, products, 2, FALSE)</f>
        <v>Baby Food</v>
      </c>
      <c r="P223" s="7" t="s">
        <v>264</v>
      </c>
      <c r="Q223" s="7">
        <v>462.0</v>
      </c>
      <c r="R223" s="17">
        <v>255.28</v>
      </c>
      <c r="S223" s="17">
        <v>159.42</v>
      </c>
      <c r="U223" s="18">
        <f t="shared" si="6"/>
        <v>117939.36</v>
      </c>
      <c r="V223" s="18">
        <f t="shared" si="7"/>
        <v>73652.04</v>
      </c>
      <c r="W223" s="19">
        <f t="shared" si="8"/>
        <v>44287.32</v>
      </c>
    </row>
    <row r="224">
      <c r="A224" s="7">
        <v>2.44023358E8</v>
      </c>
      <c r="B224" s="12">
        <v>42725.0</v>
      </c>
      <c r="C224" s="7">
        <f t="shared" si="1"/>
        <v>2016</v>
      </c>
      <c r="D224" s="14" t="str">
        <f t="shared" si="2"/>
        <v>12 - Dec</v>
      </c>
      <c r="E224" s="15" t="str">
        <f t="shared" si="3"/>
        <v>Wed</v>
      </c>
      <c r="F224" s="15">
        <f t="shared" si="4"/>
        <v>3</v>
      </c>
      <c r="G224" s="16">
        <v>42757.0</v>
      </c>
      <c r="H224" s="14">
        <f t="shared" si="5"/>
        <v>32</v>
      </c>
      <c r="I224" s="7" t="s">
        <v>364</v>
      </c>
      <c r="J224" s="7" t="s">
        <v>124</v>
      </c>
      <c r="K224" s="7" t="str">
        <f>VLOOKUP(J224,countries,2,false)</f>
        <v>Belgium</v>
      </c>
      <c r="L224" s="7" t="str">
        <f>VLOOKUP($J224,countries,5,false)</f>
        <v>Europe</v>
      </c>
      <c r="M224" s="7" t="str">
        <f>VLOOKUP($J224,countries,6,false)</f>
        <v>Western Europe</v>
      </c>
      <c r="N224" s="7">
        <v>1270.0</v>
      </c>
      <c r="O224" s="7" t="str">
        <f>VLOOKUP(N224, products, 2, FALSE)</f>
        <v>Beverages</v>
      </c>
      <c r="P224" s="7" t="s">
        <v>334</v>
      </c>
      <c r="Q224" s="7">
        <v>789.0</v>
      </c>
      <c r="R224" s="17">
        <v>47.45</v>
      </c>
      <c r="S224" s="17">
        <v>31.79</v>
      </c>
      <c r="U224" s="18">
        <f t="shared" si="6"/>
        <v>37438.05</v>
      </c>
      <c r="V224" s="18">
        <f t="shared" si="7"/>
        <v>25082.31</v>
      </c>
      <c r="W224" s="19">
        <f t="shared" si="8"/>
        <v>12355.74</v>
      </c>
    </row>
    <row r="225">
      <c r="A225" s="7">
        <v>2.45440852E8</v>
      </c>
      <c r="B225" s="12">
        <v>42336.0</v>
      </c>
      <c r="C225" s="7">
        <f t="shared" si="1"/>
        <v>2015</v>
      </c>
      <c r="D225" s="14" t="str">
        <f t="shared" si="2"/>
        <v>11 - Nov</v>
      </c>
      <c r="E225" s="15" t="str">
        <f t="shared" si="3"/>
        <v>Sat</v>
      </c>
      <c r="F225" s="15">
        <f t="shared" si="4"/>
        <v>6</v>
      </c>
      <c r="G225" s="16">
        <v>42355.0</v>
      </c>
      <c r="H225" s="14">
        <f t="shared" si="5"/>
        <v>19</v>
      </c>
      <c r="I225" s="7" t="s">
        <v>364</v>
      </c>
      <c r="J225" s="7" t="s">
        <v>296</v>
      </c>
      <c r="K225" s="7" t="str">
        <f>VLOOKUP(J225,countries,2,false)</f>
        <v>France</v>
      </c>
      <c r="L225" s="7" t="str">
        <f>VLOOKUP($J225,countries,5,false)</f>
        <v>Europe</v>
      </c>
      <c r="M225" s="7" t="str">
        <f>VLOOKUP($J225,countries,6,false)</f>
        <v>Western Europe</v>
      </c>
      <c r="N225" s="7">
        <v>8875.0</v>
      </c>
      <c r="O225" s="7" t="str">
        <f>VLOOKUP(N225, products, 2, FALSE)</f>
        <v>Meat</v>
      </c>
      <c r="P225" s="7" t="s">
        <v>264</v>
      </c>
      <c r="Q225" s="7">
        <v>257.0</v>
      </c>
      <c r="R225" s="17">
        <v>421.89</v>
      </c>
      <c r="S225" s="17">
        <v>364.69</v>
      </c>
      <c r="U225" s="18">
        <f t="shared" si="6"/>
        <v>108425.73</v>
      </c>
      <c r="V225" s="18">
        <f t="shared" si="7"/>
        <v>93725.33</v>
      </c>
      <c r="W225" s="19">
        <f t="shared" si="8"/>
        <v>14700.4</v>
      </c>
    </row>
    <row r="226">
      <c r="A226" s="7">
        <v>2.45556294E8</v>
      </c>
      <c r="B226" s="12">
        <v>40334.0</v>
      </c>
      <c r="C226" s="7">
        <f t="shared" si="1"/>
        <v>2010</v>
      </c>
      <c r="D226" s="14" t="str">
        <f t="shared" si="2"/>
        <v>06 - Jun</v>
      </c>
      <c r="E226" s="15" t="str">
        <f t="shared" si="3"/>
        <v>Sat</v>
      </c>
      <c r="F226" s="15">
        <f t="shared" si="4"/>
        <v>6</v>
      </c>
      <c r="G226" s="16">
        <v>40354.0</v>
      </c>
      <c r="H226" s="14">
        <f t="shared" si="5"/>
        <v>20</v>
      </c>
      <c r="I226" s="7" t="s">
        <v>305</v>
      </c>
      <c r="J226" s="7" t="s">
        <v>67</v>
      </c>
      <c r="K226" s="7" t="str">
        <f>VLOOKUP(J226,countries,2,false)</f>
        <v>Andorra</v>
      </c>
      <c r="L226" s="7" t="str">
        <f>VLOOKUP($J226,countries,5,false)</f>
        <v>Europe</v>
      </c>
      <c r="M226" s="7" t="str">
        <f>VLOOKUP($J226,countries,6,false)</f>
        <v>Southern Europe</v>
      </c>
      <c r="N226" s="7">
        <v>3127.0</v>
      </c>
      <c r="O226" s="7" t="str">
        <f>VLOOKUP(N226, products, 2, FALSE)</f>
        <v>Personal Care</v>
      </c>
      <c r="P226" s="7" t="s">
        <v>264</v>
      </c>
      <c r="Q226" s="7">
        <v>4419.0</v>
      </c>
      <c r="R226" s="17">
        <v>81.73</v>
      </c>
      <c r="S226" s="17">
        <v>56.67</v>
      </c>
      <c r="U226" s="18">
        <f t="shared" si="6"/>
        <v>361164.87</v>
      </c>
      <c r="V226" s="18">
        <f t="shared" si="7"/>
        <v>250424.73</v>
      </c>
      <c r="W226" s="19">
        <f t="shared" si="8"/>
        <v>110740.14</v>
      </c>
    </row>
    <row r="227">
      <c r="A227" s="7">
        <v>2.46603858E8</v>
      </c>
      <c r="B227" s="12">
        <v>40973.0</v>
      </c>
      <c r="C227" s="7">
        <f t="shared" si="1"/>
        <v>2012</v>
      </c>
      <c r="D227" s="14" t="str">
        <f t="shared" si="2"/>
        <v>03 - Mar</v>
      </c>
      <c r="E227" s="15" t="str">
        <f t="shared" si="3"/>
        <v>Mon</v>
      </c>
      <c r="F227" s="15">
        <f t="shared" si="4"/>
        <v>1</v>
      </c>
      <c r="G227" s="16">
        <v>41014.0</v>
      </c>
      <c r="H227" s="14">
        <f t="shared" si="5"/>
        <v>41</v>
      </c>
      <c r="I227" s="7" t="s">
        <v>399</v>
      </c>
      <c r="J227" s="7" t="s">
        <v>447</v>
      </c>
      <c r="K227" s="7" t="str">
        <f>VLOOKUP(J227,countries,2,false)</f>
        <v>Latvia</v>
      </c>
      <c r="L227" s="7" t="str">
        <f>VLOOKUP($J227,countries,5,false)</f>
        <v>Europe</v>
      </c>
      <c r="M227" s="7" t="str">
        <f>VLOOKUP($J227,countries,6,false)</f>
        <v>Northern Europe</v>
      </c>
      <c r="N227" s="7">
        <v>8293.0</v>
      </c>
      <c r="O227" s="7" t="str">
        <f>VLOOKUP(N227, products, 2, FALSE)</f>
        <v>Cosmetics</v>
      </c>
      <c r="P227" s="7" t="s">
        <v>334</v>
      </c>
      <c r="Q227" s="7">
        <v>4417.0</v>
      </c>
      <c r="R227" s="17">
        <v>437.2</v>
      </c>
      <c r="S227" s="17">
        <v>263.33</v>
      </c>
      <c r="U227" s="18">
        <f t="shared" si="6"/>
        <v>1931112.4</v>
      </c>
      <c r="V227" s="18">
        <f t="shared" si="7"/>
        <v>1163128.61</v>
      </c>
      <c r="W227" s="19">
        <f t="shared" si="8"/>
        <v>767983.79</v>
      </c>
    </row>
    <row r="228">
      <c r="A228" s="7">
        <v>2.46922719E8</v>
      </c>
      <c r="B228" s="12">
        <v>42198.0</v>
      </c>
      <c r="C228" s="7">
        <f t="shared" si="1"/>
        <v>2015</v>
      </c>
      <c r="D228" s="14" t="str">
        <f t="shared" si="2"/>
        <v>07 - Jul</v>
      </c>
      <c r="E228" s="15" t="str">
        <f t="shared" si="3"/>
        <v>Mon</v>
      </c>
      <c r="F228" s="15">
        <f t="shared" si="4"/>
        <v>1</v>
      </c>
      <c r="G228" s="16">
        <v>42214.0</v>
      </c>
      <c r="H228" s="14">
        <f t="shared" si="5"/>
        <v>16</v>
      </c>
      <c r="I228" s="7" t="s">
        <v>399</v>
      </c>
      <c r="J228" s="7" t="s">
        <v>41</v>
      </c>
      <c r="K228" s="7" t="str">
        <f>VLOOKUP(J228,countries,2,false)</f>
        <v>Albania</v>
      </c>
      <c r="L228" s="7" t="str">
        <f>VLOOKUP($J228,countries,5,false)</f>
        <v>Europe</v>
      </c>
      <c r="M228" s="7" t="str">
        <f>VLOOKUP($J228,countries,6,false)</f>
        <v>Southern Europe</v>
      </c>
      <c r="N228" s="7">
        <v>8681.0</v>
      </c>
      <c r="O228" s="7" t="str">
        <f>VLOOKUP(N228, products, 2, FALSE)</f>
        <v>Office Supplies</v>
      </c>
      <c r="P228" s="7" t="s">
        <v>264</v>
      </c>
      <c r="Q228" s="7">
        <v>8775.0</v>
      </c>
      <c r="R228" s="17">
        <v>651.21</v>
      </c>
      <c r="S228" s="17">
        <v>524.96</v>
      </c>
      <c r="U228" s="18">
        <f t="shared" si="6"/>
        <v>5714367.75</v>
      </c>
      <c r="V228" s="18">
        <f t="shared" si="7"/>
        <v>4606524</v>
      </c>
      <c r="W228" s="19">
        <f t="shared" si="8"/>
        <v>1107843.75</v>
      </c>
    </row>
    <row r="229">
      <c r="A229" s="7">
        <v>2.49039304E8</v>
      </c>
      <c r="B229" s="12">
        <v>41715.0</v>
      </c>
      <c r="C229" s="7">
        <f t="shared" si="1"/>
        <v>2014</v>
      </c>
      <c r="D229" s="14" t="str">
        <f t="shared" si="2"/>
        <v>03 - Mar</v>
      </c>
      <c r="E229" s="15" t="str">
        <f t="shared" si="3"/>
        <v>Mon</v>
      </c>
      <c r="F229" s="15">
        <f t="shared" si="4"/>
        <v>1</v>
      </c>
      <c r="G229" s="16">
        <v>41760.0</v>
      </c>
      <c r="H229" s="14">
        <f t="shared" si="5"/>
        <v>45</v>
      </c>
      <c r="I229" s="7" t="s">
        <v>364</v>
      </c>
      <c r="J229" s="7" t="s">
        <v>626</v>
      </c>
      <c r="K229" s="7" t="str">
        <f>VLOOKUP(J229,countries,2,false)</f>
        <v>Russia</v>
      </c>
      <c r="L229" s="7" t="str">
        <f>VLOOKUP($J229,countries,5,false)</f>
        <v>Europe</v>
      </c>
      <c r="M229" s="7" t="str">
        <f>VLOOKUP($J229,countries,6,false)</f>
        <v>Eastern Europe</v>
      </c>
      <c r="N229" s="7">
        <v>5988.0</v>
      </c>
      <c r="O229" s="7" t="str">
        <f>VLOOKUP(N229, products, 2, FALSE)</f>
        <v>Vegetables</v>
      </c>
      <c r="P229" s="7" t="s">
        <v>334</v>
      </c>
      <c r="Q229" s="7">
        <v>5119.0</v>
      </c>
      <c r="R229" s="17">
        <v>154.06</v>
      </c>
      <c r="S229" s="17">
        <v>90.93</v>
      </c>
      <c r="U229" s="18">
        <f t="shared" si="6"/>
        <v>788633.14</v>
      </c>
      <c r="V229" s="18">
        <f t="shared" si="7"/>
        <v>465470.67</v>
      </c>
      <c r="W229" s="19">
        <f t="shared" si="8"/>
        <v>323162.47</v>
      </c>
    </row>
    <row r="230">
      <c r="A230" s="7">
        <v>2.49606645E8</v>
      </c>
      <c r="B230" s="12">
        <v>41089.0</v>
      </c>
      <c r="C230" s="7">
        <f t="shared" si="1"/>
        <v>2012</v>
      </c>
      <c r="D230" s="14" t="str">
        <f t="shared" si="2"/>
        <v>06 - Jun</v>
      </c>
      <c r="E230" s="15" t="str">
        <f t="shared" si="3"/>
        <v>Fri</v>
      </c>
      <c r="F230" s="15">
        <f t="shared" si="4"/>
        <v>5</v>
      </c>
      <c r="G230" s="16">
        <v>41135.0</v>
      </c>
      <c r="H230" s="14">
        <f t="shared" si="5"/>
        <v>46</v>
      </c>
      <c r="I230" s="7" t="s">
        <v>305</v>
      </c>
      <c r="J230" s="7" t="s">
        <v>462</v>
      </c>
      <c r="K230" s="7" t="str">
        <f>VLOOKUP(J230,countries,2,false)</f>
        <v>Liechtenstein</v>
      </c>
      <c r="L230" s="7" t="str">
        <f>VLOOKUP($J230,countries,5,false)</f>
        <v>Europe</v>
      </c>
      <c r="M230" s="7" t="str">
        <f>VLOOKUP($J230,countries,6,false)</f>
        <v>Western Europe</v>
      </c>
      <c r="N230" s="7">
        <v>4594.0</v>
      </c>
      <c r="O230" s="7" t="str">
        <f>VLOOKUP(N230, products, 2, FALSE)</f>
        <v>Fruits</v>
      </c>
      <c r="P230" s="7" t="s">
        <v>334</v>
      </c>
      <c r="Q230" s="7">
        <v>3008.0</v>
      </c>
      <c r="R230" s="17">
        <v>9.33</v>
      </c>
      <c r="S230" s="17">
        <v>6.92</v>
      </c>
      <c r="U230" s="18">
        <f t="shared" si="6"/>
        <v>28064.64</v>
      </c>
      <c r="V230" s="18">
        <f t="shared" si="7"/>
        <v>20815.36</v>
      </c>
      <c r="W230" s="19">
        <f t="shared" si="8"/>
        <v>7249.28</v>
      </c>
    </row>
    <row r="231">
      <c r="A231" s="7">
        <v>2.49765861E8</v>
      </c>
      <c r="B231" s="12">
        <v>42687.0</v>
      </c>
      <c r="C231" s="7">
        <f t="shared" si="1"/>
        <v>2016</v>
      </c>
      <c r="D231" s="14" t="str">
        <f t="shared" si="2"/>
        <v>11 - Nov</v>
      </c>
      <c r="E231" s="15" t="str">
        <f t="shared" si="3"/>
        <v>Sun</v>
      </c>
      <c r="F231" s="15">
        <f t="shared" si="4"/>
        <v>7</v>
      </c>
      <c r="G231" s="16">
        <v>42698.0</v>
      </c>
      <c r="H231" s="14">
        <f t="shared" si="5"/>
        <v>11</v>
      </c>
      <c r="I231" s="7" t="s">
        <v>232</v>
      </c>
      <c r="J231" s="7" t="s">
        <v>681</v>
      </c>
      <c r="K231" s="7" t="str">
        <f>VLOOKUP(J231,countries,2,false)</f>
        <v>United Kingdom</v>
      </c>
      <c r="L231" s="7" t="str">
        <f>VLOOKUP($J231,countries,5,false)</f>
        <v>Europe</v>
      </c>
      <c r="M231" s="7" t="str">
        <f>VLOOKUP($J231,countries,6,false)</f>
        <v>Northern Europe</v>
      </c>
      <c r="N231" s="7">
        <v>2455.0</v>
      </c>
      <c r="O231" s="7" t="str">
        <f>VLOOKUP(N231, products, 2, FALSE)</f>
        <v>Clothes</v>
      </c>
      <c r="P231" s="7" t="s">
        <v>264</v>
      </c>
      <c r="Q231" s="7">
        <v>123.0</v>
      </c>
      <c r="R231" s="17">
        <v>109.28</v>
      </c>
      <c r="S231" s="17">
        <v>35.84</v>
      </c>
      <c r="U231" s="18">
        <f t="shared" si="6"/>
        <v>13441.44</v>
      </c>
      <c r="V231" s="18">
        <f t="shared" si="7"/>
        <v>4408.32</v>
      </c>
      <c r="W231" s="19">
        <f t="shared" si="8"/>
        <v>9033.12</v>
      </c>
    </row>
    <row r="232">
      <c r="A232" s="7">
        <v>2.50848186E8</v>
      </c>
      <c r="B232" s="12">
        <v>41304.0</v>
      </c>
      <c r="C232" s="7">
        <f t="shared" si="1"/>
        <v>2013</v>
      </c>
      <c r="D232" s="14" t="str">
        <f t="shared" si="2"/>
        <v>01 - Jan</v>
      </c>
      <c r="E232" s="15" t="str">
        <f t="shared" si="3"/>
        <v>Wed</v>
      </c>
      <c r="F232" s="15">
        <f t="shared" si="4"/>
        <v>3</v>
      </c>
      <c r="G232" s="16">
        <v>41340.0</v>
      </c>
      <c r="H232" s="14">
        <f t="shared" si="5"/>
        <v>36</v>
      </c>
      <c r="I232" s="7" t="s">
        <v>232</v>
      </c>
      <c r="J232" s="7" t="s">
        <v>468</v>
      </c>
      <c r="K232" s="7" t="str">
        <f>VLOOKUP(J232,countries,2,false)</f>
        <v>Luxembourg</v>
      </c>
      <c r="L232" s="7" t="str">
        <f>VLOOKUP($J232,countries,5,false)</f>
        <v>Europe</v>
      </c>
      <c r="M232" s="7" t="str">
        <f>VLOOKUP($J232,countries,6,false)</f>
        <v>Western Europe</v>
      </c>
      <c r="N232" s="7">
        <v>2455.0</v>
      </c>
      <c r="O232" s="7" t="str">
        <f>VLOOKUP(N232, products, 2, FALSE)</f>
        <v>Clothes</v>
      </c>
      <c r="P232" s="7" t="s">
        <v>264</v>
      </c>
      <c r="Q232" s="7">
        <v>407.0</v>
      </c>
      <c r="R232" s="17">
        <v>109.28</v>
      </c>
      <c r="S232" s="17">
        <v>35.84</v>
      </c>
      <c r="U232" s="18">
        <f t="shared" si="6"/>
        <v>44476.96</v>
      </c>
      <c r="V232" s="18">
        <f t="shared" si="7"/>
        <v>14586.88</v>
      </c>
      <c r="W232" s="19">
        <f t="shared" si="8"/>
        <v>29890.08</v>
      </c>
    </row>
    <row r="233">
      <c r="A233" s="7">
        <v>2.51208674E8</v>
      </c>
      <c r="B233" s="12">
        <v>42157.0</v>
      </c>
      <c r="C233" s="7">
        <f t="shared" si="1"/>
        <v>2015</v>
      </c>
      <c r="D233" s="14" t="str">
        <f t="shared" si="2"/>
        <v>06 - Jun</v>
      </c>
      <c r="E233" s="15" t="str">
        <f t="shared" si="3"/>
        <v>Tue</v>
      </c>
      <c r="F233" s="15">
        <f t="shared" si="4"/>
        <v>2</v>
      </c>
      <c r="G233" s="16">
        <v>42204.0</v>
      </c>
      <c r="H233" s="14">
        <f t="shared" si="5"/>
        <v>47</v>
      </c>
      <c r="I233" s="7" t="s">
        <v>232</v>
      </c>
      <c r="J233" s="7" t="s">
        <v>90</v>
      </c>
      <c r="K233" s="7" t="str">
        <f>VLOOKUP(J233,countries,2,false)</f>
        <v>Armenia</v>
      </c>
      <c r="L233" s="7" t="str">
        <f>VLOOKUP($J233,countries,5,false)</f>
        <v>Asia</v>
      </c>
      <c r="M233" s="7" t="str">
        <f>VLOOKUP($J233,countries,6,false)</f>
        <v>Western Asia</v>
      </c>
      <c r="N233" s="7">
        <v>8875.0</v>
      </c>
      <c r="O233" s="7" t="str">
        <f>VLOOKUP(N233, products, 2, FALSE)</f>
        <v>Meat</v>
      </c>
      <c r="P233" s="7" t="s">
        <v>334</v>
      </c>
      <c r="Q233" s="7">
        <v>7084.0</v>
      </c>
      <c r="R233" s="17">
        <v>421.89</v>
      </c>
      <c r="S233" s="17">
        <v>364.69</v>
      </c>
      <c r="U233" s="18">
        <f t="shared" si="6"/>
        <v>2988668.76</v>
      </c>
      <c r="V233" s="18">
        <f t="shared" si="7"/>
        <v>2583463.96</v>
      </c>
      <c r="W233" s="19">
        <f t="shared" si="8"/>
        <v>405204.8</v>
      </c>
    </row>
    <row r="234">
      <c r="A234" s="7">
        <v>2.51823222E8</v>
      </c>
      <c r="B234" s="12">
        <v>40424.0</v>
      </c>
      <c r="C234" s="7">
        <f t="shared" si="1"/>
        <v>2010</v>
      </c>
      <c r="D234" s="14" t="str">
        <f t="shared" si="2"/>
        <v>09 - Sep</v>
      </c>
      <c r="E234" s="15" t="str">
        <f t="shared" si="3"/>
        <v>Fri</v>
      </c>
      <c r="F234" s="15">
        <f t="shared" si="4"/>
        <v>5</v>
      </c>
      <c r="G234" s="16">
        <v>40452.0</v>
      </c>
      <c r="H234" s="14">
        <f t="shared" si="5"/>
        <v>28</v>
      </c>
      <c r="I234" s="7" t="s">
        <v>364</v>
      </c>
      <c r="J234" s="7" t="s">
        <v>681</v>
      </c>
      <c r="K234" s="7" t="str">
        <f>VLOOKUP(J234,countries,2,false)</f>
        <v>United Kingdom</v>
      </c>
      <c r="L234" s="7" t="str">
        <f>VLOOKUP($J234,countries,5,false)</f>
        <v>Europe</v>
      </c>
      <c r="M234" s="7" t="str">
        <f>VLOOKUP($J234,countries,6,false)</f>
        <v>Northern Europe</v>
      </c>
      <c r="N234" s="7">
        <v>2455.0</v>
      </c>
      <c r="O234" s="7" t="str">
        <f>VLOOKUP(N234, products, 2, FALSE)</f>
        <v>Clothes</v>
      </c>
      <c r="P234" s="7" t="s">
        <v>264</v>
      </c>
      <c r="Q234" s="7">
        <v>8942.0</v>
      </c>
      <c r="R234" s="17">
        <v>109.28</v>
      </c>
      <c r="S234" s="17">
        <v>35.84</v>
      </c>
      <c r="U234" s="18">
        <f t="shared" si="6"/>
        <v>977181.76</v>
      </c>
      <c r="V234" s="18">
        <f t="shared" si="7"/>
        <v>320481.28</v>
      </c>
      <c r="W234" s="19">
        <f t="shared" si="8"/>
        <v>656700.48</v>
      </c>
    </row>
    <row r="235">
      <c r="A235" s="7">
        <v>2.51907765E8</v>
      </c>
      <c r="B235" s="12">
        <v>42064.0</v>
      </c>
      <c r="C235" s="7">
        <f t="shared" si="1"/>
        <v>2015</v>
      </c>
      <c r="D235" s="14" t="str">
        <f t="shared" si="2"/>
        <v>03 - Mar</v>
      </c>
      <c r="E235" s="15" t="str">
        <f t="shared" si="3"/>
        <v>Sun</v>
      </c>
      <c r="F235" s="15">
        <f t="shared" si="4"/>
        <v>7</v>
      </c>
      <c r="G235" s="16">
        <v>42101.0</v>
      </c>
      <c r="H235" s="14">
        <f t="shared" si="5"/>
        <v>37</v>
      </c>
      <c r="I235" s="7" t="s">
        <v>305</v>
      </c>
      <c r="J235" s="7" t="s">
        <v>348</v>
      </c>
      <c r="K235" s="7" t="s">
        <v>348</v>
      </c>
      <c r="L235" s="7" t="s">
        <v>348</v>
      </c>
      <c r="M235" s="7" t="s">
        <v>348</v>
      </c>
      <c r="N235" s="7">
        <v>8969.0</v>
      </c>
      <c r="O235" s="7" t="str">
        <f>VLOOKUP(N235, products, 2, FALSE)</f>
        <v>Snacks</v>
      </c>
      <c r="P235" s="7" t="s">
        <v>334</v>
      </c>
      <c r="Q235" s="7">
        <v>3961.0</v>
      </c>
      <c r="R235" s="17">
        <v>152.58</v>
      </c>
      <c r="S235" s="17">
        <v>97.44</v>
      </c>
      <c r="U235" s="18">
        <f t="shared" si="6"/>
        <v>604369.38</v>
      </c>
      <c r="V235" s="18">
        <f t="shared" si="7"/>
        <v>385959.84</v>
      </c>
      <c r="W235" s="19">
        <f t="shared" si="8"/>
        <v>218409.54</v>
      </c>
    </row>
    <row r="236">
      <c r="A236" s="7">
        <v>2.52541625E8</v>
      </c>
      <c r="B236" s="12">
        <v>42895.0</v>
      </c>
      <c r="C236" s="7">
        <f t="shared" si="1"/>
        <v>2017</v>
      </c>
      <c r="D236" s="14" t="str">
        <f t="shared" si="2"/>
        <v>06 - Jun</v>
      </c>
      <c r="E236" s="15" t="str">
        <f t="shared" si="3"/>
        <v>Fri</v>
      </c>
      <c r="F236" s="15">
        <f t="shared" si="4"/>
        <v>5</v>
      </c>
      <c r="G236" s="16">
        <v>42921.0</v>
      </c>
      <c r="H236" s="14">
        <f t="shared" si="5"/>
        <v>26</v>
      </c>
      <c r="I236" s="7" t="s">
        <v>305</v>
      </c>
      <c r="J236" s="7" t="s">
        <v>348</v>
      </c>
      <c r="K236" s="7" t="s">
        <v>348</v>
      </c>
      <c r="L236" s="7" t="s">
        <v>348</v>
      </c>
      <c r="M236" s="7" t="s">
        <v>348</v>
      </c>
      <c r="N236" s="7">
        <v>7331.0</v>
      </c>
      <c r="O236" s="7" t="str">
        <f>VLOOKUP(N236, products, 2, FALSE)</f>
        <v>Baby Food</v>
      </c>
      <c r="P236" s="7" t="s">
        <v>334</v>
      </c>
      <c r="Q236" s="7">
        <v>1534.0</v>
      </c>
      <c r="R236" s="17">
        <v>255.28</v>
      </c>
      <c r="S236" s="17">
        <v>159.42</v>
      </c>
      <c r="U236" s="18">
        <f t="shared" si="6"/>
        <v>391599.52</v>
      </c>
      <c r="V236" s="18">
        <f t="shared" si="7"/>
        <v>244550.28</v>
      </c>
      <c r="W236" s="19">
        <f t="shared" si="8"/>
        <v>147049.24</v>
      </c>
    </row>
    <row r="237">
      <c r="A237" s="7">
        <v>2.53055322E8</v>
      </c>
      <c r="B237" s="12">
        <v>42521.0</v>
      </c>
      <c r="C237" s="7">
        <f t="shared" si="1"/>
        <v>2016</v>
      </c>
      <c r="D237" s="14" t="str">
        <f t="shared" si="2"/>
        <v>05 - May</v>
      </c>
      <c r="E237" s="15" t="str">
        <f t="shared" si="3"/>
        <v>Tue</v>
      </c>
      <c r="F237" s="15">
        <f t="shared" si="4"/>
        <v>2</v>
      </c>
      <c r="G237" s="16">
        <v>42533.0</v>
      </c>
      <c r="H237" s="14">
        <f t="shared" si="5"/>
        <v>12</v>
      </c>
      <c r="I237" s="7" t="s">
        <v>399</v>
      </c>
      <c r="J237" s="7" t="s">
        <v>623</v>
      </c>
      <c r="K237" s="7" t="str">
        <f>VLOOKUP(J237,countries,2,false)</f>
        <v>Romania</v>
      </c>
      <c r="L237" s="7" t="str">
        <f>VLOOKUP($J237,countries,5,false)</f>
        <v>Europe</v>
      </c>
      <c r="M237" s="7" t="str">
        <f>VLOOKUP($J237,countries,6,false)</f>
        <v>Eastern Europe</v>
      </c>
      <c r="N237" s="7">
        <v>1270.0</v>
      </c>
      <c r="O237" s="7" t="str">
        <f>VLOOKUP(N237, products, 2, FALSE)</f>
        <v>Beverages</v>
      </c>
      <c r="P237" s="7" t="s">
        <v>264</v>
      </c>
      <c r="Q237" s="7">
        <v>3548.0</v>
      </c>
      <c r="R237" s="17">
        <v>47.45</v>
      </c>
      <c r="S237" s="17">
        <v>31.79</v>
      </c>
      <c r="U237" s="18">
        <f t="shared" si="6"/>
        <v>168352.6</v>
      </c>
      <c r="V237" s="18">
        <f t="shared" si="7"/>
        <v>112790.92</v>
      </c>
      <c r="W237" s="19">
        <f t="shared" si="8"/>
        <v>55561.68</v>
      </c>
    </row>
    <row r="238">
      <c r="A238" s="7">
        <v>2.53211104E8</v>
      </c>
      <c r="B238" s="12">
        <v>40528.0</v>
      </c>
      <c r="C238" s="7">
        <f t="shared" si="1"/>
        <v>2010</v>
      </c>
      <c r="D238" s="14" t="str">
        <f t="shared" si="2"/>
        <v>12 - Dec</v>
      </c>
      <c r="E238" s="15" t="str">
        <f t="shared" si="3"/>
        <v>Thu</v>
      </c>
      <c r="F238" s="15">
        <f t="shared" si="4"/>
        <v>4</v>
      </c>
      <c r="G238" s="16">
        <v>40539.0</v>
      </c>
      <c r="H238" s="14">
        <f t="shared" si="5"/>
        <v>11</v>
      </c>
      <c r="I238" s="7" t="s">
        <v>305</v>
      </c>
      <c r="J238" s="7" t="s">
        <v>626</v>
      </c>
      <c r="K238" s="7" t="str">
        <f>VLOOKUP(J238,countries,2,false)</f>
        <v>Russia</v>
      </c>
      <c r="L238" s="7" t="str">
        <f>VLOOKUP($J238,countries,5,false)</f>
        <v>Europe</v>
      </c>
      <c r="M238" s="7" t="str">
        <f>VLOOKUP($J238,countries,6,false)</f>
        <v>Eastern Europe</v>
      </c>
      <c r="N238" s="7">
        <v>8681.0</v>
      </c>
      <c r="O238" s="7" t="str">
        <f>VLOOKUP(N238, products, 2, FALSE)</f>
        <v>Office Supplies</v>
      </c>
      <c r="P238" s="7" t="s">
        <v>264</v>
      </c>
      <c r="Q238" s="7">
        <v>9648.0</v>
      </c>
      <c r="R238" s="17">
        <v>651.21</v>
      </c>
      <c r="S238" s="17">
        <v>524.96</v>
      </c>
      <c r="U238" s="18">
        <f t="shared" si="6"/>
        <v>6282874.08</v>
      </c>
      <c r="V238" s="18">
        <f t="shared" si="7"/>
        <v>5064814.08</v>
      </c>
      <c r="W238" s="19">
        <f t="shared" si="8"/>
        <v>1218060</v>
      </c>
    </row>
    <row r="239">
      <c r="A239" s="7">
        <v>2.55047452E8</v>
      </c>
      <c r="B239" s="12">
        <v>41183.0</v>
      </c>
      <c r="C239" s="7">
        <f t="shared" si="1"/>
        <v>2012</v>
      </c>
      <c r="D239" s="14" t="str">
        <f t="shared" si="2"/>
        <v>10 - Oct</v>
      </c>
      <c r="E239" s="15" t="str">
        <f t="shared" si="3"/>
        <v>Mon</v>
      </c>
      <c r="F239" s="15">
        <f t="shared" si="4"/>
        <v>1</v>
      </c>
      <c r="G239" s="16">
        <v>41212.0</v>
      </c>
      <c r="H239" s="14">
        <f t="shared" si="5"/>
        <v>29</v>
      </c>
      <c r="I239" s="7" t="s">
        <v>399</v>
      </c>
      <c r="J239" s="7" t="s">
        <v>240</v>
      </c>
      <c r="K239" s="7" t="str">
        <f>VLOOKUP(J239,countries,2,false)</f>
        <v>Cyprus</v>
      </c>
      <c r="L239" s="7" t="str">
        <f>VLOOKUP($J239,countries,5,false)</f>
        <v>Asia</v>
      </c>
      <c r="M239" s="7" t="str">
        <f>VLOOKUP($J239,countries,6,false)</f>
        <v>Western Asia</v>
      </c>
      <c r="N239" s="7">
        <v>8969.0</v>
      </c>
      <c r="O239" s="7" t="str">
        <f>VLOOKUP(N239, products, 2, FALSE)</f>
        <v>Snacks</v>
      </c>
      <c r="P239" s="7" t="s">
        <v>264</v>
      </c>
      <c r="Q239" s="7">
        <v>3064.0</v>
      </c>
      <c r="R239" s="17">
        <v>152.58</v>
      </c>
      <c r="S239" s="17">
        <v>97.44</v>
      </c>
      <c r="U239" s="18">
        <f t="shared" si="6"/>
        <v>467505.12</v>
      </c>
      <c r="V239" s="18">
        <f t="shared" si="7"/>
        <v>298556.16</v>
      </c>
      <c r="W239" s="19">
        <f t="shared" si="8"/>
        <v>168948.96</v>
      </c>
    </row>
    <row r="240">
      <c r="A240" s="7">
        <v>2.56095016E8</v>
      </c>
      <c r="B240" s="12">
        <v>41822.0</v>
      </c>
      <c r="C240" s="7">
        <f t="shared" si="1"/>
        <v>2014</v>
      </c>
      <c r="D240" s="14" t="str">
        <f t="shared" si="2"/>
        <v>07 - Jul</v>
      </c>
      <c r="E240" s="15" t="str">
        <f t="shared" si="3"/>
        <v>Wed</v>
      </c>
      <c r="F240" s="15">
        <f t="shared" si="4"/>
        <v>3</v>
      </c>
      <c r="G240" s="16">
        <v>41872.0</v>
      </c>
      <c r="H240" s="14">
        <f t="shared" si="5"/>
        <v>50</v>
      </c>
      <c r="I240" s="7" t="s">
        <v>399</v>
      </c>
      <c r="J240" s="7" t="s">
        <v>365</v>
      </c>
      <c r="K240" s="7" t="str">
        <f>VLOOKUP(J240,countries,2,false)</f>
        <v>Montenegro</v>
      </c>
      <c r="L240" s="7" t="str">
        <f>VLOOKUP($J240,countries,5,false)</f>
        <v>Europe</v>
      </c>
      <c r="M240" s="7" t="str">
        <f>VLOOKUP($J240,countries,6,false)</f>
        <v>Southern Europe</v>
      </c>
      <c r="N240" s="7">
        <v>8681.0</v>
      </c>
      <c r="O240" s="7" t="str">
        <f>VLOOKUP(N240, products, 2, FALSE)</f>
        <v>Office Supplies</v>
      </c>
      <c r="P240" s="7" t="s">
        <v>334</v>
      </c>
      <c r="Q240" s="7">
        <v>3061.0</v>
      </c>
      <c r="R240" s="17">
        <v>651.21</v>
      </c>
      <c r="S240" s="17">
        <v>524.96</v>
      </c>
      <c r="U240" s="18">
        <f t="shared" si="6"/>
        <v>1993353.81</v>
      </c>
      <c r="V240" s="18">
        <f t="shared" si="7"/>
        <v>1606902.56</v>
      </c>
      <c r="W240" s="19">
        <f t="shared" si="8"/>
        <v>386451.25</v>
      </c>
    </row>
    <row r="241">
      <c r="A241" s="7">
        <v>2.59006392E8</v>
      </c>
      <c r="B241" s="12">
        <v>41416.0</v>
      </c>
      <c r="C241" s="7">
        <f t="shared" si="1"/>
        <v>2013</v>
      </c>
      <c r="D241" s="14" t="str">
        <f t="shared" si="2"/>
        <v>05 - May</v>
      </c>
      <c r="E241" s="15" t="str">
        <f t="shared" si="3"/>
        <v>Wed</v>
      </c>
      <c r="F241" s="15">
        <f t="shared" si="4"/>
        <v>3</v>
      </c>
      <c r="G241" s="16">
        <v>41431.0</v>
      </c>
      <c r="H241" s="14">
        <f t="shared" si="5"/>
        <v>15</v>
      </c>
      <c r="I241" s="7" t="s">
        <v>305</v>
      </c>
      <c r="J241" s="7" t="s">
        <v>229</v>
      </c>
      <c r="K241" s="7" t="str">
        <f>VLOOKUP(J241,countries,2,false)</f>
        <v>Croatia</v>
      </c>
      <c r="L241" s="7" t="str">
        <f>VLOOKUP($J241,countries,5,false)</f>
        <v>Europe</v>
      </c>
      <c r="M241" s="7" t="str">
        <f>VLOOKUP($J241,countries,6,false)</f>
        <v>Southern Europe</v>
      </c>
      <c r="N241" s="7">
        <v>8681.0</v>
      </c>
      <c r="O241" s="7" t="str">
        <f>VLOOKUP(N241, products, 2, FALSE)</f>
        <v>Office Supplies</v>
      </c>
      <c r="P241" s="7" t="s">
        <v>264</v>
      </c>
      <c r="Q241" s="7">
        <v>4602.0</v>
      </c>
      <c r="R241" s="17">
        <v>651.21</v>
      </c>
      <c r="S241" s="17">
        <v>524.96</v>
      </c>
      <c r="U241" s="18">
        <f t="shared" si="6"/>
        <v>2996868.42</v>
      </c>
      <c r="V241" s="18">
        <f t="shared" si="7"/>
        <v>2415865.92</v>
      </c>
      <c r="W241" s="19">
        <f t="shared" si="8"/>
        <v>581002.5</v>
      </c>
    </row>
    <row r="242">
      <c r="A242" s="7">
        <v>2.59032571E8</v>
      </c>
      <c r="B242" s="12">
        <v>42864.0</v>
      </c>
      <c r="C242" s="7">
        <f t="shared" si="1"/>
        <v>2017</v>
      </c>
      <c r="D242" s="14" t="str">
        <f t="shared" si="2"/>
        <v>05 - May</v>
      </c>
      <c r="E242" s="15" t="str">
        <f t="shared" si="3"/>
        <v>Tue</v>
      </c>
      <c r="F242" s="15">
        <f t="shared" si="4"/>
        <v>2</v>
      </c>
      <c r="G242" s="16">
        <v>42868.0</v>
      </c>
      <c r="H242" s="14">
        <f t="shared" si="5"/>
        <v>4</v>
      </c>
      <c r="I242" s="7" t="s">
        <v>364</v>
      </c>
      <c r="J242" s="7" t="s">
        <v>124</v>
      </c>
      <c r="K242" s="7" t="str">
        <f>VLOOKUP(J242,countries,2,false)</f>
        <v>Belgium</v>
      </c>
      <c r="L242" s="7" t="str">
        <f>VLOOKUP($J242,countries,5,false)</f>
        <v>Europe</v>
      </c>
      <c r="M242" s="7" t="str">
        <f>VLOOKUP($J242,countries,6,false)</f>
        <v>Western Europe</v>
      </c>
      <c r="N242" s="7">
        <v>5988.0</v>
      </c>
      <c r="O242" s="7" t="str">
        <f>VLOOKUP(N242, products, 2, FALSE)</f>
        <v>Vegetables</v>
      </c>
      <c r="P242" s="7" t="s">
        <v>264</v>
      </c>
      <c r="Q242" s="7">
        <v>2349.0</v>
      </c>
      <c r="R242" s="17">
        <v>154.06</v>
      </c>
      <c r="S242" s="17">
        <v>90.93</v>
      </c>
      <c r="U242" s="18">
        <f t="shared" si="6"/>
        <v>361886.94</v>
      </c>
      <c r="V242" s="18">
        <f t="shared" si="7"/>
        <v>213594.57</v>
      </c>
      <c r="W242" s="19">
        <f t="shared" si="8"/>
        <v>148292.37</v>
      </c>
    </row>
    <row r="243">
      <c r="A243" s="7">
        <v>2.60630738E8</v>
      </c>
      <c r="B243" s="12">
        <v>42313.0</v>
      </c>
      <c r="C243" s="7">
        <f t="shared" si="1"/>
        <v>2015</v>
      </c>
      <c r="D243" s="14" t="str">
        <f t="shared" si="2"/>
        <v>11 - Nov</v>
      </c>
      <c r="E243" s="15" t="str">
        <f t="shared" si="3"/>
        <v>Thu</v>
      </c>
      <c r="F243" s="15">
        <f t="shared" si="4"/>
        <v>4</v>
      </c>
      <c r="G243" s="16">
        <v>42357.0</v>
      </c>
      <c r="H243" s="14">
        <f t="shared" si="5"/>
        <v>44</v>
      </c>
      <c r="I243" s="7" t="s">
        <v>232</v>
      </c>
      <c r="J243" s="7" t="s">
        <v>348</v>
      </c>
      <c r="K243" s="7" t="s">
        <v>348</v>
      </c>
      <c r="L243" s="7" t="s">
        <v>348</v>
      </c>
      <c r="M243" s="7" t="s">
        <v>348</v>
      </c>
      <c r="N243" s="7">
        <v>8293.0</v>
      </c>
      <c r="O243" s="7" t="str">
        <f>VLOOKUP(N243, products, 2, FALSE)</f>
        <v>Cosmetics</v>
      </c>
      <c r="P243" s="7" t="s">
        <v>264</v>
      </c>
      <c r="Q243" s="7">
        <v>5282.0</v>
      </c>
      <c r="R243" s="17">
        <v>437.2</v>
      </c>
      <c r="S243" s="17">
        <v>263.33</v>
      </c>
      <c r="U243" s="18">
        <f t="shared" si="6"/>
        <v>2309290.4</v>
      </c>
      <c r="V243" s="18">
        <f t="shared" si="7"/>
        <v>1390909.06</v>
      </c>
      <c r="W243" s="19">
        <f t="shared" si="8"/>
        <v>918381.34</v>
      </c>
    </row>
    <row r="244">
      <c r="A244" s="7">
        <v>2.6118735E8</v>
      </c>
      <c r="B244" s="12">
        <v>41184.0</v>
      </c>
      <c r="C244" s="7">
        <f t="shared" si="1"/>
        <v>2012</v>
      </c>
      <c r="D244" s="14" t="str">
        <f t="shared" si="2"/>
        <v>10 - Oct</v>
      </c>
      <c r="E244" s="15" t="str">
        <f t="shared" si="3"/>
        <v>Tue</v>
      </c>
      <c r="F244" s="15">
        <f t="shared" si="4"/>
        <v>2</v>
      </c>
      <c r="G244" s="16">
        <v>41185.0</v>
      </c>
      <c r="H244" s="14">
        <f t="shared" si="5"/>
        <v>1</v>
      </c>
      <c r="I244" s="7" t="s">
        <v>305</v>
      </c>
      <c r="J244" s="7" t="s">
        <v>396</v>
      </c>
      <c r="K244" s="7" t="str">
        <f>VLOOKUP(J244,countries,2,false)</f>
        <v>Ireland</v>
      </c>
      <c r="L244" s="7" t="str">
        <f>VLOOKUP($J244,countries,5,false)</f>
        <v>Europe</v>
      </c>
      <c r="M244" s="7" t="str">
        <f>VLOOKUP($J244,countries,6,false)</f>
        <v>Northern Europe</v>
      </c>
      <c r="N244" s="7">
        <v>2455.0</v>
      </c>
      <c r="O244" s="7" t="str">
        <f>VLOOKUP(N244, products, 2, FALSE)</f>
        <v>Clothes</v>
      </c>
      <c r="P244" s="7" t="s">
        <v>264</v>
      </c>
      <c r="Q244" s="7">
        <v>9996.0</v>
      </c>
      <c r="R244" s="17">
        <v>109.28</v>
      </c>
      <c r="S244" s="17">
        <v>35.84</v>
      </c>
      <c r="U244" s="18">
        <f t="shared" si="6"/>
        <v>1092362.88</v>
      </c>
      <c r="V244" s="18">
        <f t="shared" si="7"/>
        <v>358256.64</v>
      </c>
      <c r="W244" s="19">
        <f t="shared" si="8"/>
        <v>734106.24</v>
      </c>
    </row>
    <row r="245">
      <c r="A245" s="7">
        <v>2.61640536E8</v>
      </c>
      <c r="B245" s="12">
        <v>42177.0</v>
      </c>
      <c r="C245" s="7">
        <f t="shared" si="1"/>
        <v>2015</v>
      </c>
      <c r="D245" s="14" t="str">
        <f t="shared" si="2"/>
        <v>06 - Jun</v>
      </c>
      <c r="E245" s="15" t="str">
        <f t="shared" si="3"/>
        <v>Mon</v>
      </c>
      <c r="F245" s="15">
        <f t="shared" si="4"/>
        <v>1</v>
      </c>
      <c r="G245" s="16">
        <v>42217.0</v>
      </c>
      <c r="H245" s="14">
        <f t="shared" si="5"/>
        <v>40</v>
      </c>
      <c r="I245" s="7" t="s">
        <v>232</v>
      </c>
      <c r="J245" s="7" t="s">
        <v>146</v>
      </c>
      <c r="K245" s="7" t="str">
        <f>VLOOKUP(J245,countries,2,false)</f>
        <v>Bosnia and Herzegovina</v>
      </c>
      <c r="L245" s="7" t="str">
        <f>VLOOKUP($J245,countries,5,false)</f>
        <v>Europe</v>
      </c>
      <c r="M245" s="7" t="str">
        <f>VLOOKUP($J245,countries,6,false)</f>
        <v>Southern Europe</v>
      </c>
      <c r="N245" s="7">
        <v>7940.0</v>
      </c>
      <c r="O245" s="7" t="str">
        <f>VLOOKUP(N245, products, 2, FALSE)</f>
        <v>Household</v>
      </c>
      <c r="P245" s="7" t="s">
        <v>334</v>
      </c>
      <c r="Q245" s="7">
        <v>4104.0</v>
      </c>
      <c r="R245" s="17">
        <v>668.27</v>
      </c>
      <c r="S245" s="17">
        <v>502.54</v>
      </c>
      <c r="U245" s="18">
        <f t="shared" si="6"/>
        <v>2742580.08</v>
      </c>
      <c r="V245" s="18">
        <f t="shared" si="7"/>
        <v>2062424.16</v>
      </c>
      <c r="W245" s="19">
        <f t="shared" si="8"/>
        <v>680155.92</v>
      </c>
    </row>
    <row r="246">
      <c r="A246" s="7">
        <v>2.62177836E8</v>
      </c>
      <c r="B246" s="12">
        <v>41249.0</v>
      </c>
      <c r="C246" s="7">
        <f t="shared" si="1"/>
        <v>2012</v>
      </c>
      <c r="D246" s="14" t="str">
        <f t="shared" si="2"/>
        <v>12 - Dec</v>
      </c>
      <c r="E246" s="15" t="str">
        <f t="shared" si="3"/>
        <v>Thu</v>
      </c>
      <c r="F246" s="15">
        <f t="shared" si="4"/>
        <v>4</v>
      </c>
      <c r="G246" s="16">
        <v>41290.0</v>
      </c>
      <c r="H246" s="14">
        <f t="shared" si="5"/>
        <v>41</v>
      </c>
      <c r="I246" s="7" t="s">
        <v>399</v>
      </c>
      <c r="J246" s="7" t="s">
        <v>517</v>
      </c>
      <c r="K246" s="7" t="str">
        <f>VLOOKUP(J246,countries,2,false)</f>
        <v>Spain</v>
      </c>
      <c r="L246" s="7" t="str">
        <f>VLOOKUP($J246,countries,5,false)</f>
        <v>Europe</v>
      </c>
      <c r="M246" s="7" t="str">
        <f>VLOOKUP($J246,countries,6,false)</f>
        <v>Southern Europe</v>
      </c>
      <c r="N246" s="7">
        <v>4594.0</v>
      </c>
      <c r="O246" s="7" t="str">
        <f>VLOOKUP(N246, products, 2, FALSE)</f>
        <v>Fruits</v>
      </c>
      <c r="P246" s="7" t="s">
        <v>334</v>
      </c>
      <c r="Q246" s="7">
        <v>3103.0</v>
      </c>
      <c r="R246" s="17">
        <v>9.33</v>
      </c>
      <c r="S246" s="17">
        <v>6.92</v>
      </c>
      <c r="U246" s="18">
        <f t="shared" si="6"/>
        <v>28950.99</v>
      </c>
      <c r="V246" s="18">
        <f t="shared" si="7"/>
        <v>21472.76</v>
      </c>
      <c r="W246" s="19">
        <f t="shared" si="8"/>
        <v>7478.23</v>
      </c>
    </row>
    <row r="247">
      <c r="A247" s="7">
        <v>2.63098371E8</v>
      </c>
      <c r="B247" s="12">
        <v>41798.0</v>
      </c>
      <c r="C247" s="7">
        <f t="shared" si="1"/>
        <v>2014</v>
      </c>
      <c r="D247" s="14" t="str">
        <f t="shared" si="2"/>
        <v>06 - Jun</v>
      </c>
      <c r="E247" s="15" t="str">
        <f t="shared" si="3"/>
        <v>Sun</v>
      </c>
      <c r="F247" s="15">
        <f t="shared" si="4"/>
        <v>7</v>
      </c>
      <c r="G247" s="16">
        <v>41824.0</v>
      </c>
      <c r="H247" s="14">
        <f t="shared" si="5"/>
        <v>26</v>
      </c>
      <c r="I247" s="7" t="s">
        <v>364</v>
      </c>
      <c r="J247" s="7" t="s">
        <v>516</v>
      </c>
      <c r="K247" s="7" t="str">
        <f>VLOOKUP(J247,countries,2,false)</f>
        <v>Monaco</v>
      </c>
      <c r="L247" s="7" t="str">
        <f>VLOOKUP($J247,countries,5,false)</f>
        <v>Europe</v>
      </c>
      <c r="M247" s="7" t="str">
        <f>VLOOKUP($J247,countries,6,false)</f>
        <v>Western Europe</v>
      </c>
      <c r="N247" s="7">
        <v>3127.0</v>
      </c>
      <c r="O247" s="7" t="str">
        <f>VLOOKUP(N247, products, 2, FALSE)</f>
        <v>Personal Care</v>
      </c>
      <c r="P247" s="7" t="s">
        <v>264</v>
      </c>
      <c r="Q247" s="7">
        <v>5509.0</v>
      </c>
      <c r="R247" s="17">
        <v>81.73</v>
      </c>
      <c r="S247" s="17">
        <v>56.67</v>
      </c>
      <c r="U247" s="18">
        <f t="shared" si="6"/>
        <v>450250.57</v>
      </c>
      <c r="V247" s="18">
        <f t="shared" si="7"/>
        <v>312195.03</v>
      </c>
      <c r="W247" s="19">
        <f t="shared" si="8"/>
        <v>138055.54</v>
      </c>
    </row>
    <row r="248">
      <c r="A248" s="7">
        <v>2.6342796E8</v>
      </c>
      <c r="B248" s="12">
        <v>40761.0</v>
      </c>
      <c r="C248" s="7">
        <f t="shared" si="1"/>
        <v>2011</v>
      </c>
      <c r="D248" s="14" t="str">
        <f t="shared" si="2"/>
        <v>08 - Aug</v>
      </c>
      <c r="E248" s="15" t="str">
        <f t="shared" si="3"/>
        <v>Sat</v>
      </c>
      <c r="F248" s="15">
        <f t="shared" si="4"/>
        <v>6</v>
      </c>
      <c r="G248" s="16">
        <v>40806.0</v>
      </c>
      <c r="H248" s="14">
        <f t="shared" si="5"/>
        <v>45</v>
      </c>
      <c r="I248" s="7" t="s">
        <v>399</v>
      </c>
      <c r="J248" s="7" t="s">
        <v>101</v>
      </c>
      <c r="K248" s="7" t="str">
        <f>VLOOKUP(J248,countries,2,false)</f>
        <v>Austria</v>
      </c>
      <c r="L248" s="7" t="str">
        <f>VLOOKUP($J248,countries,5,false)</f>
        <v>Europe</v>
      </c>
      <c r="M248" s="7" t="str">
        <f>VLOOKUP($J248,countries,6,false)</f>
        <v>Western Europe</v>
      </c>
      <c r="N248" s="7">
        <v>4594.0</v>
      </c>
      <c r="O248" s="7" t="str">
        <f>VLOOKUP(N248, products, 2, FALSE)</f>
        <v>Fruits</v>
      </c>
      <c r="P248" s="7" t="s">
        <v>334</v>
      </c>
      <c r="Q248" s="7">
        <v>3042.0</v>
      </c>
      <c r="R248" s="17">
        <v>9.33</v>
      </c>
      <c r="S248" s="17">
        <v>6.92</v>
      </c>
      <c r="U248" s="18">
        <f t="shared" si="6"/>
        <v>28381.86</v>
      </c>
      <c r="V248" s="18">
        <f t="shared" si="7"/>
        <v>21050.64</v>
      </c>
      <c r="W248" s="19">
        <f t="shared" si="8"/>
        <v>7331.22</v>
      </c>
    </row>
    <row r="249">
      <c r="A249" s="7">
        <v>2.63647687E8</v>
      </c>
      <c r="B249" s="12">
        <v>40991.0</v>
      </c>
      <c r="C249" s="7">
        <f t="shared" si="1"/>
        <v>2012</v>
      </c>
      <c r="D249" s="14" t="str">
        <f t="shared" si="2"/>
        <v>03 - Mar</v>
      </c>
      <c r="E249" s="15" t="str">
        <f t="shared" si="3"/>
        <v>Fri</v>
      </c>
      <c r="F249" s="15">
        <f t="shared" si="4"/>
        <v>5</v>
      </c>
      <c r="G249" s="16">
        <v>40998.0</v>
      </c>
      <c r="H249" s="14">
        <f t="shared" si="5"/>
        <v>7</v>
      </c>
      <c r="I249" s="7" t="s">
        <v>232</v>
      </c>
      <c r="J249" s="7" t="s">
        <v>348</v>
      </c>
      <c r="K249" s="7" t="s">
        <v>348</v>
      </c>
      <c r="L249" s="7" t="s">
        <v>348</v>
      </c>
      <c r="M249" s="7" t="s">
        <v>348</v>
      </c>
      <c r="N249" s="7">
        <v>2455.0</v>
      </c>
      <c r="O249" s="7" t="str">
        <f>VLOOKUP(N249, products, 2, FALSE)</f>
        <v>Clothes</v>
      </c>
      <c r="P249" s="7" t="s">
        <v>264</v>
      </c>
      <c r="Q249" s="7">
        <v>8064.0</v>
      </c>
      <c r="R249" s="17">
        <v>109.28</v>
      </c>
      <c r="S249" s="17">
        <v>35.84</v>
      </c>
      <c r="U249" s="18">
        <f t="shared" si="6"/>
        <v>881233.92</v>
      </c>
      <c r="V249" s="18">
        <f t="shared" si="7"/>
        <v>289013.76</v>
      </c>
      <c r="W249" s="19">
        <f t="shared" si="8"/>
        <v>592220.16</v>
      </c>
    </row>
    <row r="250">
      <c r="A250" s="7">
        <v>2.63852393E8</v>
      </c>
      <c r="B250" s="12">
        <v>41070.0</v>
      </c>
      <c r="C250" s="7">
        <f t="shared" si="1"/>
        <v>2012</v>
      </c>
      <c r="D250" s="14" t="str">
        <f t="shared" si="2"/>
        <v>06 - Jun</v>
      </c>
      <c r="E250" s="15" t="str">
        <f t="shared" si="3"/>
        <v>Sun</v>
      </c>
      <c r="F250" s="15">
        <f t="shared" si="4"/>
        <v>7</v>
      </c>
      <c r="G250" s="16">
        <v>41089.0</v>
      </c>
      <c r="H250" s="14">
        <f t="shared" si="5"/>
        <v>19</v>
      </c>
      <c r="I250" s="7" t="s">
        <v>364</v>
      </c>
      <c r="J250" s="7" t="s">
        <v>348</v>
      </c>
      <c r="K250" s="7" t="s">
        <v>348</v>
      </c>
      <c r="L250" s="7" t="s">
        <v>348</v>
      </c>
      <c r="M250" s="7" t="s">
        <v>348</v>
      </c>
      <c r="N250" s="7">
        <v>7331.0</v>
      </c>
      <c r="O250" s="7" t="str">
        <f>VLOOKUP(N250, products, 2, FALSE)</f>
        <v>Baby Food</v>
      </c>
      <c r="P250" s="7" t="s">
        <v>334</v>
      </c>
      <c r="Q250" s="7">
        <v>8641.0</v>
      </c>
      <c r="R250" s="17">
        <v>255.28</v>
      </c>
      <c r="S250" s="17">
        <v>159.42</v>
      </c>
      <c r="U250" s="18">
        <f t="shared" si="6"/>
        <v>2205874.48</v>
      </c>
      <c r="V250" s="18">
        <f t="shared" si="7"/>
        <v>1377548.22</v>
      </c>
      <c r="W250" s="19">
        <f t="shared" si="8"/>
        <v>828326.26</v>
      </c>
    </row>
    <row r="251">
      <c r="A251" s="7">
        <v>2.63882005E8</v>
      </c>
      <c r="B251" s="12">
        <v>40577.0</v>
      </c>
      <c r="C251" s="7">
        <f t="shared" si="1"/>
        <v>2011</v>
      </c>
      <c r="D251" s="14" t="str">
        <f t="shared" si="2"/>
        <v>02 - Feb</v>
      </c>
      <c r="E251" s="15" t="str">
        <f t="shared" si="3"/>
        <v>Thu</v>
      </c>
      <c r="F251" s="15">
        <f t="shared" si="4"/>
        <v>4</v>
      </c>
      <c r="G251" s="16">
        <v>40601.0</v>
      </c>
      <c r="H251" s="14">
        <f t="shared" si="5"/>
        <v>24</v>
      </c>
      <c r="I251" s="7" t="s">
        <v>232</v>
      </c>
      <c r="J251" s="7" t="s">
        <v>685</v>
      </c>
      <c r="K251" s="7" t="str">
        <f>VLOOKUP(J251,countries,2,false)</f>
        <v>Slovenia</v>
      </c>
      <c r="L251" s="7" t="str">
        <f>VLOOKUP($J251,countries,5,false)</f>
        <v>Europe</v>
      </c>
      <c r="M251" s="7" t="str">
        <f>VLOOKUP($J251,countries,6,false)</f>
        <v>Southern Europe</v>
      </c>
      <c r="N251" s="7">
        <v>1270.0</v>
      </c>
      <c r="O251" s="7" t="str">
        <f>VLOOKUP(N251, products, 2, FALSE)</f>
        <v>Beverages</v>
      </c>
      <c r="P251" s="7" t="s">
        <v>264</v>
      </c>
      <c r="Q251" s="7">
        <v>7404.0</v>
      </c>
      <c r="R251" s="17">
        <v>47.45</v>
      </c>
      <c r="S251" s="17">
        <v>31.79</v>
      </c>
      <c r="U251" s="18">
        <f t="shared" si="6"/>
        <v>351319.8</v>
      </c>
      <c r="V251" s="18">
        <f t="shared" si="7"/>
        <v>235373.16</v>
      </c>
      <c r="W251" s="19">
        <f t="shared" si="8"/>
        <v>115946.64</v>
      </c>
    </row>
    <row r="252">
      <c r="A252" s="7">
        <v>2.63977277E8</v>
      </c>
      <c r="B252" s="12">
        <v>42719.0</v>
      </c>
      <c r="C252" s="7">
        <f t="shared" si="1"/>
        <v>2016</v>
      </c>
      <c r="D252" s="14" t="str">
        <f t="shared" si="2"/>
        <v>12 - Dec</v>
      </c>
      <c r="E252" s="15" t="str">
        <f t="shared" si="3"/>
        <v>Thu</v>
      </c>
      <c r="F252" s="15">
        <f t="shared" si="4"/>
        <v>4</v>
      </c>
      <c r="G252" s="16">
        <v>42745.0</v>
      </c>
      <c r="H252" s="14">
        <f t="shared" si="5"/>
        <v>26</v>
      </c>
      <c r="I252" s="7" t="s">
        <v>399</v>
      </c>
      <c r="J252" s="7" t="s">
        <v>396</v>
      </c>
      <c r="K252" s="7" t="str">
        <f>VLOOKUP(J252,countries,2,false)</f>
        <v>Ireland</v>
      </c>
      <c r="L252" s="7" t="str">
        <f>VLOOKUP($J252,countries,5,false)</f>
        <v>Europe</v>
      </c>
      <c r="M252" s="7" t="str">
        <f>VLOOKUP($J252,countries,6,false)</f>
        <v>Northern Europe</v>
      </c>
      <c r="N252" s="7">
        <v>8681.0</v>
      </c>
      <c r="O252" s="7" t="str">
        <f>VLOOKUP(N252, products, 2, FALSE)</f>
        <v>Office Supplies</v>
      </c>
      <c r="P252" s="7" t="s">
        <v>334</v>
      </c>
      <c r="Q252" s="7">
        <v>5597.0</v>
      </c>
      <c r="R252" s="17">
        <v>651.21</v>
      </c>
      <c r="S252" s="17">
        <v>524.96</v>
      </c>
      <c r="U252" s="18">
        <f t="shared" si="6"/>
        <v>3644822.37</v>
      </c>
      <c r="V252" s="18">
        <f t="shared" si="7"/>
        <v>2938201.12</v>
      </c>
      <c r="W252" s="19">
        <f t="shared" si="8"/>
        <v>706621.25</v>
      </c>
    </row>
    <row r="253">
      <c r="A253" s="7">
        <v>2.64163959E8</v>
      </c>
      <c r="B253" s="12">
        <v>42618.0</v>
      </c>
      <c r="C253" s="7">
        <f t="shared" si="1"/>
        <v>2016</v>
      </c>
      <c r="D253" s="14" t="str">
        <f t="shared" si="2"/>
        <v>09 - Sep</v>
      </c>
      <c r="E253" s="15" t="str">
        <f t="shared" si="3"/>
        <v>Mon</v>
      </c>
      <c r="F253" s="15">
        <f t="shared" si="4"/>
        <v>1</v>
      </c>
      <c r="G253" s="16">
        <v>42635.0</v>
      </c>
      <c r="H253" s="14">
        <f t="shared" si="5"/>
        <v>17</v>
      </c>
      <c r="I253" s="7" t="s">
        <v>305</v>
      </c>
      <c r="J253" s="7" t="s">
        <v>462</v>
      </c>
      <c r="K253" s="7" t="str">
        <f>VLOOKUP(J253,countries,2,false)</f>
        <v>Liechtenstein</v>
      </c>
      <c r="L253" s="7" t="str">
        <f>VLOOKUP($J253,countries,5,false)</f>
        <v>Europe</v>
      </c>
      <c r="M253" s="7" t="str">
        <f>VLOOKUP($J253,countries,6,false)</f>
        <v>Western Europe</v>
      </c>
      <c r="N253" s="7">
        <v>1270.0</v>
      </c>
      <c r="O253" s="7" t="str">
        <f>VLOOKUP(N253, products, 2, FALSE)</f>
        <v>Beverages</v>
      </c>
      <c r="P253" s="7" t="s">
        <v>264</v>
      </c>
      <c r="Q253" s="7">
        <v>840.0</v>
      </c>
      <c r="R253" s="17">
        <v>47.45</v>
      </c>
      <c r="S253" s="17">
        <v>31.79</v>
      </c>
      <c r="U253" s="18">
        <f t="shared" si="6"/>
        <v>39858</v>
      </c>
      <c r="V253" s="18">
        <f t="shared" si="7"/>
        <v>26703.6</v>
      </c>
      <c r="W253" s="19">
        <f t="shared" si="8"/>
        <v>13154.4</v>
      </c>
    </row>
    <row r="254">
      <c r="A254" s="7">
        <v>2.64526593E8</v>
      </c>
      <c r="B254" s="12">
        <v>41912.0</v>
      </c>
      <c r="C254" s="7">
        <f t="shared" si="1"/>
        <v>2014</v>
      </c>
      <c r="D254" s="14" t="str">
        <f t="shared" si="2"/>
        <v>09 - Sep</v>
      </c>
      <c r="E254" s="15" t="str">
        <f t="shared" si="3"/>
        <v>Tue</v>
      </c>
      <c r="F254" s="15">
        <f t="shared" si="4"/>
        <v>2</v>
      </c>
      <c r="G254" s="16">
        <v>41919.0</v>
      </c>
      <c r="H254" s="14">
        <f t="shared" si="5"/>
        <v>7</v>
      </c>
      <c r="I254" s="7" t="s">
        <v>399</v>
      </c>
      <c r="J254" s="7" t="s">
        <v>623</v>
      </c>
      <c r="K254" s="7" t="str">
        <f>VLOOKUP(J254,countries,2,false)</f>
        <v>Romania</v>
      </c>
      <c r="L254" s="7" t="str">
        <f>VLOOKUP($J254,countries,5,false)</f>
        <v>Europe</v>
      </c>
      <c r="M254" s="7" t="str">
        <f>VLOOKUP($J254,countries,6,false)</f>
        <v>Eastern Europe</v>
      </c>
      <c r="N254" s="7">
        <v>3127.0</v>
      </c>
      <c r="O254" s="7" t="str">
        <f>VLOOKUP(N254, products, 2, FALSE)</f>
        <v>Personal Care</v>
      </c>
      <c r="P254" s="7" t="s">
        <v>334</v>
      </c>
      <c r="Q254" s="7">
        <v>8152.0</v>
      </c>
      <c r="R254" s="17">
        <v>81.73</v>
      </c>
      <c r="S254" s="17">
        <v>56.67</v>
      </c>
      <c r="U254" s="18">
        <f t="shared" si="6"/>
        <v>666262.96</v>
      </c>
      <c r="V254" s="18">
        <f t="shared" si="7"/>
        <v>461973.84</v>
      </c>
      <c r="W254" s="19">
        <f t="shared" si="8"/>
        <v>204289.12</v>
      </c>
    </row>
    <row r="255">
      <c r="A255" s="7">
        <v>2.64856183E8</v>
      </c>
      <c r="B255" s="12">
        <v>40874.0</v>
      </c>
      <c r="C255" s="7">
        <f t="shared" si="1"/>
        <v>2011</v>
      </c>
      <c r="D255" s="14" t="str">
        <f t="shared" si="2"/>
        <v>11 - Nov</v>
      </c>
      <c r="E255" s="15" t="str">
        <f t="shared" si="3"/>
        <v>Sun</v>
      </c>
      <c r="F255" s="15">
        <f t="shared" si="4"/>
        <v>7</v>
      </c>
      <c r="G255" s="16">
        <v>40900.0</v>
      </c>
      <c r="H255" s="14">
        <f t="shared" si="5"/>
        <v>26</v>
      </c>
      <c r="I255" s="7" t="s">
        <v>364</v>
      </c>
      <c r="J255" s="7" t="s">
        <v>240</v>
      </c>
      <c r="K255" s="7" t="str">
        <f>VLOOKUP(J255,countries,2,false)</f>
        <v>Cyprus</v>
      </c>
      <c r="L255" s="7" t="str">
        <f>VLOOKUP($J255,countries,5,false)</f>
        <v>Asia</v>
      </c>
      <c r="M255" s="7" t="str">
        <f>VLOOKUP($J255,countries,6,false)</f>
        <v>Western Asia</v>
      </c>
      <c r="N255" s="7">
        <v>4594.0</v>
      </c>
      <c r="O255" s="7" t="str">
        <f>VLOOKUP(N255, products, 2, FALSE)</f>
        <v>Fruits</v>
      </c>
      <c r="P255" s="7" t="s">
        <v>264</v>
      </c>
      <c r="Q255" s="7">
        <v>5685.0</v>
      </c>
      <c r="R255" s="17">
        <v>9.33</v>
      </c>
      <c r="S255" s="17">
        <v>6.92</v>
      </c>
      <c r="U255" s="18">
        <f t="shared" si="6"/>
        <v>53041.05</v>
      </c>
      <c r="V255" s="18">
        <f t="shared" si="7"/>
        <v>39340.2</v>
      </c>
      <c r="W255" s="19">
        <f t="shared" si="8"/>
        <v>13700.85</v>
      </c>
    </row>
    <row r="256">
      <c r="A256" s="7">
        <v>2.6492871E8</v>
      </c>
      <c r="B256" s="12">
        <v>42393.0</v>
      </c>
      <c r="C256" s="7">
        <f t="shared" si="1"/>
        <v>2016</v>
      </c>
      <c r="D256" s="14" t="str">
        <f t="shared" si="2"/>
        <v>01 - Jan</v>
      </c>
      <c r="E256" s="15" t="str">
        <f t="shared" si="3"/>
        <v>Sun</v>
      </c>
      <c r="F256" s="15">
        <f t="shared" si="4"/>
        <v>7</v>
      </c>
      <c r="G256" s="16">
        <v>42396.0</v>
      </c>
      <c r="H256" s="14">
        <f t="shared" si="5"/>
        <v>3</v>
      </c>
      <c r="I256" s="7" t="s">
        <v>364</v>
      </c>
      <c r="J256" s="7" t="s">
        <v>274</v>
      </c>
      <c r="K256" s="7" t="str">
        <f>VLOOKUP(J256,countries,2,false)</f>
        <v>Estonia</v>
      </c>
      <c r="L256" s="7" t="str">
        <f>VLOOKUP($J256,countries,5,false)</f>
        <v>Europe</v>
      </c>
      <c r="M256" s="7" t="str">
        <f>VLOOKUP($J256,countries,6,false)</f>
        <v>Northern Europe</v>
      </c>
      <c r="N256" s="7">
        <v>2455.0</v>
      </c>
      <c r="O256" s="7" t="str">
        <f>VLOOKUP(N256, products, 2, FALSE)</f>
        <v>Clothes</v>
      </c>
      <c r="P256" s="7" t="s">
        <v>334</v>
      </c>
      <c r="Q256" s="7">
        <v>7147.0</v>
      </c>
      <c r="R256" s="17">
        <v>109.28</v>
      </c>
      <c r="S256" s="17">
        <v>35.84</v>
      </c>
      <c r="U256" s="18">
        <f t="shared" si="6"/>
        <v>781024.16</v>
      </c>
      <c r="V256" s="18">
        <f t="shared" si="7"/>
        <v>256148.48</v>
      </c>
      <c r="W256" s="19">
        <f t="shared" si="8"/>
        <v>524875.68</v>
      </c>
    </row>
    <row r="257">
      <c r="A257" s="7">
        <v>2.64959609E8</v>
      </c>
      <c r="B257" s="12">
        <v>41518.0</v>
      </c>
      <c r="C257" s="7">
        <f t="shared" si="1"/>
        <v>2013</v>
      </c>
      <c r="D257" s="14" t="str">
        <f t="shared" si="2"/>
        <v>09 - Sep</v>
      </c>
      <c r="E257" s="15" t="str">
        <f t="shared" si="3"/>
        <v>Sun</v>
      </c>
      <c r="F257" s="15">
        <f t="shared" si="4"/>
        <v>7</v>
      </c>
      <c r="G257" s="16">
        <v>41565.0</v>
      </c>
      <c r="H257" s="14">
        <f t="shared" si="5"/>
        <v>47</v>
      </c>
      <c r="I257" s="7" t="s">
        <v>305</v>
      </c>
      <c r="J257" s="7" t="s">
        <v>316</v>
      </c>
      <c r="K257" s="7" t="str">
        <f>VLOOKUP(J257,countries,2,false)</f>
        <v>Georgia</v>
      </c>
      <c r="L257" s="7" t="str">
        <f>VLOOKUP($J257,countries,5,false)</f>
        <v>Asia</v>
      </c>
      <c r="M257" s="7" t="str">
        <f>VLOOKUP($J257,countries,6,false)</f>
        <v>Western Asia</v>
      </c>
      <c r="N257" s="7">
        <v>8969.0</v>
      </c>
      <c r="O257" s="7" t="str">
        <f>VLOOKUP(N257, products, 2, FALSE)</f>
        <v>Snacks</v>
      </c>
      <c r="P257" s="7" t="s">
        <v>264</v>
      </c>
      <c r="Q257" s="7">
        <v>6291.0</v>
      </c>
      <c r="R257" s="17">
        <v>152.58</v>
      </c>
      <c r="S257" s="17">
        <v>97.44</v>
      </c>
      <c r="U257" s="18">
        <f t="shared" si="6"/>
        <v>959880.78</v>
      </c>
      <c r="V257" s="18">
        <f t="shared" si="7"/>
        <v>612995.04</v>
      </c>
      <c r="W257" s="19">
        <f t="shared" si="8"/>
        <v>346885.74</v>
      </c>
    </row>
    <row r="258">
      <c r="A258" s="7">
        <v>2.65191352E8</v>
      </c>
      <c r="B258" s="12">
        <v>41869.0</v>
      </c>
      <c r="C258" s="7">
        <f t="shared" si="1"/>
        <v>2014</v>
      </c>
      <c r="D258" s="14" t="str">
        <f t="shared" si="2"/>
        <v>08 - Aug</v>
      </c>
      <c r="E258" s="15" t="str">
        <f t="shared" si="3"/>
        <v>Mon</v>
      </c>
      <c r="F258" s="15">
        <f t="shared" si="4"/>
        <v>1</v>
      </c>
      <c r="G258" s="16">
        <v>41908.0</v>
      </c>
      <c r="H258" s="14">
        <f t="shared" si="5"/>
        <v>39</v>
      </c>
      <c r="I258" s="7" t="s">
        <v>232</v>
      </c>
      <c r="J258" s="7" t="s">
        <v>306</v>
      </c>
      <c r="K258" s="7" t="str">
        <f>VLOOKUP(J258,countries,2,false)</f>
        <v>Serbia</v>
      </c>
      <c r="L258" s="7" t="str">
        <f>VLOOKUP($J258,countries,5,false)</f>
        <v>Europe</v>
      </c>
      <c r="M258" s="7" t="str">
        <f>VLOOKUP($J258,countries,6,false)</f>
        <v>Southern Europe</v>
      </c>
      <c r="N258" s="7">
        <v>8969.0</v>
      </c>
      <c r="O258" s="7" t="str">
        <f>VLOOKUP(N258, products, 2, FALSE)</f>
        <v>Snacks</v>
      </c>
      <c r="P258" s="7" t="s">
        <v>334</v>
      </c>
      <c r="Q258" s="7">
        <v>4869.0</v>
      </c>
      <c r="R258" s="17">
        <v>152.58</v>
      </c>
      <c r="S258" s="17">
        <v>97.44</v>
      </c>
      <c r="U258" s="18">
        <f t="shared" si="6"/>
        <v>742912.02</v>
      </c>
      <c r="V258" s="18">
        <f t="shared" si="7"/>
        <v>474435.36</v>
      </c>
      <c r="W258" s="19">
        <f t="shared" si="8"/>
        <v>268476.66</v>
      </c>
    </row>
    <row r="259">
      <c r="A259" s="7">
        <v>2.65914475E8</v>
      </c>
      <c r="B259" s="12">
        <v>42016.0</v>
      </c>
      <c r="C259" s="7">
        <f t="shared" si="1"/>
        <v>2015</v>
      </c>
      <c r="D259" s="14" t="str">
        <f t="shared" si="2"/>
        <v>01 - Jan</v>
      </c>
      <c r="E259" s="15" t="str">
        <f t="shared" si="3"/>
        <v>Mon</v>
      </c>
      <c r="F259" s="15">
        <f t="shared" si="4"/>
        <v>1</v>
      </c>
      <c r="G259" s="16">
        <v>42056.0</v>
      </c>
      <c r="H259" s="14">
        <f t="shared" si="5"/>
        <v>40</v>
      </c>
      <c r="I259" s="7" t="s">
        <v>232</v>
      </c>
      <c r="J259" s="7" t="s">
        <v>489</v>
      </c>
      <c r="K259" s="7" t="str">
        <f>VLOOKUP(J259,countries,2,false)</f>
        <v>Malta</v>
      </c>
      <c r="L259" s="7" t="str">
        <f>VLOOKUP($J259,countries,5,false)</f>
        <v>Europe</v>
      </c>
      <c r="M259" s="7" t="str">
        <f>VLOOKUP($J259,countries,6,false)</f>
        <v>Southern Europe</v>
      </c>
      <c r="N259" s="7">
        <v>8293.0</v>
      </c>
      <c r="O259" s="7" t="str">
        <f>VLOOKUP(N259, products, 2, FALSE)</f>
        <v>Cosmetics</v>
      </c>
      <c r="P259" s="7" t="s">
        <v>264</v>
      </c>
      <c r="Q259" s="7">
        <v>8857.0</v>
      </c>
      <c r="R259" s="17">
        <v>437.2</v>
      </c>
      <c r="S259" s="17">
        <v>263.33</v>
      </c>
      <c r="U259" s="18">
        <f t="shared" si="6"/>
        <v>3872280.4</v>
      </c>
      <c r="V259" s="18">
        <f t="shared" si="7"/>
        <v>2332313.81</v>
      </c>
      <c r="W259" s="19">
        <f t="shared" si="8"/>
        <v>1539966.59</v>
      </c>
    </row>
    <row r="260">
      <c r="A260" s="7">
        <v>2.66614854E8</v>
      </c>
      <c r="B260" s="12">
        <v>41540.0</v>
      </c>
      <c r="C260" s="7">
        <f t="shared" si="1"/>
        <v>2013</v>
      </c>
      <c r="D260" s="14" t="str">
        <f t="shared" si="2"/>
        <v>09 - Sep</v>
      </c>
      <c r="E260" s="15" t="str">
        <f t="shared" si="3"/>
        <v>Mon</v>
      </c>
      <c r="F260" s="15">
        <f t="shared" si="4"/>
        <v>1</v>
      </c>
      <c r="G260" s="16">
        <v>41557.0</v>
      </c>
      <c r="H260" s="14">
        <f t="shared" si="5"/>
        <v>17</v>
      </c>
      <c r="I260" s="7" t="s">
        <v>232</v>
      </c>
      <c r="J260" s="7" t="s">
        <v>306</v>
      </c>
      <c r="K260" s="7" t="str">
        <f>VLOOKUP(J260,countries,2,false)</f>
        <v>Serbia</v>
      </c>
      <c r="L260" s="7" t="str">
        <f>VLOOKUP($J260,countries,5,false)</f>
        <v>Europe</v>
      </c>
      <c r="M260" s="7" t="str">
        <f>VLOOKUP($J260,countries,6,false)</f>
        <v>Southern Europe</v>
      </c>
      <c r="N260" s="7">
        <v>7940.0</v>
      </c>
      <c r="O260" s="7" t="str">
        <f>VLOOKUP(N260, products, 2, FALSE)</f>
        <v>Household</v>
      </c>
      <c r="P260" s="7" t="s">
        <v>264</v>
      </c>
      <c r="Q260" s="7">
        <v>6115.0</v>
      </c>
      <c r="R260" s="17">
        <v>668.27</v>
      </c>
      <c r="S260" s="17">
        <v>502.54</v>
      </c>
      <c r="U260" s="18">
        <f t="shared" si="6"/>
        <v>4086471.05</v>
      </c>
      <c r="V260" s="18">
        <f t="shared" si="7"/>
        <v>3073032.1</v>
      </c>
      <c r="W260" s="19">
        <f t="shared" si="8"/>
        <v>1013438.95</v>
      </c>
    </row>
    <row r="261">
      <c r="A261" s="7">
        <v>2.66638886E8</v>
      </c>
      <c r="B261" s="12">
        <v>41781.0</v>
      </c>
      <c r="C261" s="7">
        <f t="shared" si="1"/>
        <v>2014</v>
      </c>
      <c r="D261" s="14" t="str">
        <f t="shared" si="2"/>
        <v>05 - May</v>
      </c>
      <c r="E261" s="15" t="str">
        <f t="shared" si="3"/>
        <v>Thu</v>
      </c>
      <c r="F261" s="15">
        <f t="shared" si="4"/>
        <v>4</v>
      </c>
      <c r="G261" s="16">
        <v>41809.0</v>
      </c>
      <c r="H261" s="14">
        <f t="shared" si="5"/>
        <v>28</v>
      </c>
      <c r="I261" s="7" t="s">
        <v>305</v>
      </c>
      <c r="J261" s="7" t="s">
        <v>67</v>
      </c>
      <c r="K261" s="7" t="str">
        <f>VLOOKUP(J261,countries,2,false)</f>
        <v>Andorra</v>
      </c>
      <c r="L261" s="7" t="str">
        <f>VLOOKUP($J261,countries,5,false)</f>
        <v>Europe</v>
      </c>
      <c r="M261" s="7" t="str">
        <f>VLOOKUP($J261,countries,6,false)</f>
        <v>Southern Europe</v>
      </c>
      <c r="N261" s="7">
        <v>7940.0</v>
      </c>
      <c r="O261" s="7" t="str">
        <f>VLOOKUP(N261, products, 2, FALSE)</f>
        <v>Household</v>
      </c>
      <c r="P261" s="7" t="s">
        <v>264</v>
      </c>
      <c r="Q261" s="7">
        <v>3227.0</v>
      </c>
      <c r="R261" s="17">
        <v>668.27</v>
      </c>
      <c r="S261" s="17">
        <v>502.54</v>
      </c>
      <c r="U261" s="18">
        <f t="shared" si="6"/>
        <v>2156507.29</v>
      </c>
      <c r="V261" s="18">
        <f t="shared" si="7"/>
        <v>1621696.58</v>
      </c>
      <c r="W261" s="19">
        <f t="shared" si="8"/>
        <v>534810.71</v>
      </c>
    </row>
    <row r="262">
      <c r="A262" s="7">
        <v>2.68373954E8</v>
      </c>
      <c r="B262" s="12">
        <v>40234.0</v>
      </c>
      <c r="C262" s="7">
        <f t="shared" si="1"/>
        <v>2010</v>
      </c>
      <c r="D262" s="14" t="str">
        <f t="shared" si="2"/>
        <v>02 - Feb</v>
      </c>
      <c r="E262" s="15" t="str">
        <f t="shared" si="3"/>
        <v>Thu</v>
      </c>
      <c r="F262" s="15">
        <f t="shared" si="4"/>
        <v>4</v>
      </c>
      <c r="G262" s="16">
        <v>40237.0</v>
      </c>
      <c r="H262" s="14">
        <f t="shared" si="5"/>
        <v>3</v>
      </c>
      <c r="I262" s="7" t="s">
        <v>399</v>
      </c>
      <c r="J262" s="7" t="s">
        <v>101</v>
      </c>
      <c r="K262" s="7" t="str">
        <f>VLOOKUP(J262,countries,2,false)</f>
        <v>Austria</v>
      </c>
      <c r="L262" s="7" t="str">
        <f>VLOOKUP($J262,countries,5,false)</f>
        <v>Europe</v>
      </c>
      <c r="M262" s="7" t="str">
        <f>VLOOKUP($J262,countries,6,false)</f>
        <v>Western Europe</v>
      </c>
      <c r="N262" s="7">
        <v>8681.0</v>
      </c>
      <c r="O262" s="7" t="str">
        <f>VLOOKUP(N262, products, 2, FALSE)</f>
        <v>Office Supplies</v>
      </c>
      <c r="P262" s="7" t="s">
        <v>264</v>
      </c>
      <c r="Q262" s="7">
        <v>6672.0</v>
      </c>
      <c r="R262" s="17">
        <v>651.21</v>
      </c>
      <c r="S262" s="17">
        <v>524.96</v>
      </c>
      <c r="U262" s="18">
        <f t="shared" si="6"/>
        <v>4344873.12</v>
      </c>
      <c r="V262" s="18">
        <f t="shared" si="7"/>
        <v>3502533.12</v>
      </c>
      <c r="W262" s="19">
        <f t="shared" si="8"/>
        <v>842340</v>
      </c>
    </row>
    <row r="263">
      <c r="A263" s="7">
        <v>2.70358788E8</v>
      </c>
      <c r="B263" s="12">
        <v>41984.0</v>
      </c>
      <c r="C263" s="7">
        <f t="shared" si="1"/>
        <v>2014</v>
      </c>
      <c r="D263" s="14" t="str">
        <f t="shared" si="2"/>
        <v>12 - Dec</v>
      </c>
      <c r="E263" s="15" t="str">
        <f t="shared" si="3"/>
        <v>Thu</v>
      </c>
      <c r="F263" s="15">
        <f t="shared" si="4"/>
        <v>4</v>
      </c>
      <c r="G263" s="16">
        <v>42028.0</v>
      </c>
      <c r="H263" s="14">
        <f t="shared" si="5"/>
        <v>44</v>
      </c>
      <c r="I263" s="7" t="s">
        <v>232</v>
      </c>
      <c r="J263" s="7" t="s">
        <v>41</v>
      </c>
      <c r="K263" s="7" t="str">
        <f>VLOOKUP(J263,countries,2,false)</f>
        <v>Albania</v>
      </c>
      <c r="L263" s="7" t="str">
        <f>VLOOKUP($J263,countries,5,false)</f>
        <v>Europe</v>
      </c>
      <c r="M263" s="7" t="str">
        <f>VLOOKUP($J263,countries,6,false)</f>
        <v>Southern Europe</v>
      </c>
      <c r="N263" s="7">
        <v>1270.0</v>
      </c>
      <c r="O263" s="7" t="str">
        <f>VLOOKUP(N263, products, 2, FALSE)</f>
        <v>Beverages</v>
      </c>
      <c r="P263" s="7" t="s">
        <v>334</v>
      </c>
      <c r="Q263" s="7">
        <v>4028.0</v>
      </c>
      <c r="R263" s="17">
        <v>47.45</v>
      </c>
      <c r="S263" s="17">
        <v>31.79</v>
      </c>
      <c r="U263" s="18">
        <f t="shared" si="6"/>
        <v>191128.6</v>
      </c>
      <c r="V263" s="18">
        <f t="shared" si="7"/>
        <v>128050.12</v>
      </c>
      <c r="W263" s="19">
        <f t="shared" si="8"/>
        <v>63078.48</v>
      </c>
    </row>
    <row r="264">
      <c r="A264" s="7">
        <v>2.72361218E8</v>
      </c>
      <c r="B264" s="12">
        <v>40355.0</v>
      </c>
      <c r="C264" s="7">
        <f t="shared" si="1"/>
        <v>2010</v>
      </c>
      <c r="D264" s="14" t="str">
        <f t="shared" si="2"/>
        <v>06 - Jun</v>
      </c>
      <c r="E264" s="15" t="str">
        <f t="shared" si="3"/>
        <v>Sat</v>
      </c>
      <c r="F264" s="15">
        <f t="shared" si="4"/>
        <v>6</v>
      </c>
      <c r="G264" s="16">
        <v>40362.0</v>
      </c>
      <c r="H264" s="14">
        <f t="shared" si="5"/>
        <v>7</v>
      </c>
      <c r="I264" s="7" t="s">
        <v>305</v>
      </c>
      <c r="J264" s="7" t="s">
        <v>611</v>
      </c>
      <c r="K264" s="7" t="str">
        <f>VLOOKUP(J264,countries,2,false)</f>
        <v>Portugal</v>
      </c>
      <c r="L264" s="7" t="str">
        <f>VLOOKUP($J264,countries,5,false)</f>
        <v>Europe</v>
      </c>
      <c r="M264" s="7" t="str">
        <f>VLOOKUP($J264,countries,6,false)</f>
        <v>Southern Europe</v>
      </c>
      <c r="N264" s="7">
        <v>8969.0</v>
      </c>
      <c r="O264" s="7" t="str">
        <f>VLOOKUP(N264, products, 2, FALSE)</f>
        <v>Snacks</v>
      </c>
      <c r="P264" s="7" t="s">
        <v>334</v>
      </c>
      <c r="Q264" s="7">
        <v>6592.0</v>
      </c>
      <c r="R264" s="17">
        <v>152.58</v>
      </c>
      <c r="S264" s="17">
        <v>97.44</v>
      </c>
      <c r="U264" s="18">
        <f t="shared" si="6"/>
        <v>1005807.36</v>
      </c>
      <c r="V264" s="18">
        <f t="shared" si="7"/>
        <v>642324.48</v>
      </c>
      <c r="W264" s="19">
        <f t="shared" si="8"/>
        <v>363482.88</v>
      </c>
    </row>
    <row r="265">
      <c r="A265" s="7">
        <v>2.72425591E8</v>
      </c>
      <c r="B265" s="12">
        <v>40606.0</v>
      </c>
      <c r="C265" s="7">
        <f t="shared" si="1"/>
        <v>2011</v>
      </c>
      <c r="D265" s="14" t="str">
        <f t="shared" si="2"/>
        <v>03 - Mar</v>
      </c>
      <c r="E265" s="15" t="str">
        <f t="shared" si="3"/>
        <v>Fri</v>
      </c>
      <c r="F265" s="15">
        <f t="shared" si="4"/>
        <v>5</v>
      </c>
      <c r="G265" s="16">
        <v>40623.0</v>
      </c>
      <c r="H265" s="14">
        <f t="shared" si="5"/>
        <v>17</v>
      </c>
      <c r="I265" s="7" t="s">
        <v>364</v>
      </c>
      <c r="J265" s="7" t="s">
        <v>246</v>
      </c>
      <c r="K265" s="7" t="str">
        <f>VLOOKUP(J265,countries,2,false)</f>
        <v>Denmark</v>
      </c>
      <c r="L265" s="7" t="str">
        <f>VLOOKUP($J265,countries,5,false)</f>
        <v>Europe</v>
      </c>
      <c r="M265" s="7" t="str">
        <f>VLOOKUP($J265,countries,6,false)</f>
        <v>Northern Europe</v>
      </c>
      <c r="N265" s="7">
        <v>4594.0</v>
      </c>
      <c r="O265" s="7" t="str">
        <f>VLOOKUP(N265, products, 2, FALSE)</f>
        <v>Fruits</v>
      </c>
      <c r="P265" s="7" t="s">
        <v>264</v>
      </c>
      <c r="Q265" s="7">
        <v>5641.0</v>
      </c>
      <c r="R265" s="17">
        <v>9.33</v>
      </c>
      <c r="S265" s="17">
        <v>6.92</v>
      </c>
      <c r="U265" s="18">
        <f t="shared" si="6"/>
        <v>52630.53</v>
      </c>
      <c r="V265" s="18">
        <f t="shared" si="7"/>
        <v>39035.72</v>
      </c>
      <c r="W265" s="19">
        <f t="shared" si="8"/>
        <v>13594.81</v>
      </c>
    </row>
    <row r="266">
      <c r="A266" s="7">
        <v>2.73662412E8</v>
      </c>
      <c r="B266" s="12">
        <v>40379.0</v>
      </c>
      <c r="C266" s="7">
        <f t="shared" si="1"/>
        <v>2010</v>
      </c>
      <c r="D266" s="14" t="str">
        <f t="shared" si="2"/>
        <v>07 - Jul</v>
      </c>
      <c r="E266" s="15" t="str">
        <f t="shared" si="3"/>
        <v>Tue</v>
      </c>
      <c r="F266" s="15">
        <f t="shared" si="4"/>
        <v>2</v>
      </c>
      <c r="G266" s="16">
        <v>40382.0</v>
      </c>
      <c r="H266" s="14">
        <f t="shared" si="5"/>
        <v>3</v>
      </c>
      <c r="I266" s="7" t="s">
        <v>305</v>
      </c>
      <c r="J266" s="7" t="s">
        <v>165</v>
      </c>
      <c r="K266" s="7" t="str">
        <f>VLOOKUP(J266,countries,2,false)</f>
        <v>Bulgaria</v>
      </c>
      <c r="L266" s="7" t="str">
        <f>VLOOKUP($J266,countries,5,false)</f>
        <v>Europe</v>
      </c>
      <c r="M266" s="7" t="str">
        <f>VLOOKUP($J266,countries,6,false)</f>
        <v>Eastern Europe</v>
      </c>
      <c r="N266" s="7">
        <v>8875.0</v>
      </c>
      <c r="O266" s="7" t="str">
        <f>VLOOKUP(N266, products, 2, FALSE)</f>
        <v>Meat</v>
      </c>
      <c r="P266" s="7" t="s">
        <v>264</v>
      </c>
      <c r="Q266" s="7">
        <v>1644.0</v>
      </c>
      <c r="R266" s="17">
        <v>421.89</v>
      </c>
      <c r="S266" s="17">
        <v>364.69</v>
      </c>
      <c r="U266" s="18">
        <f t="shared" si="6"/>
        <v>693587.16</v>
      </c>
      <c r="V266" s="18">
        <f t="shared" si="7"/>
        <v>599550.36</v>
      </c>
      <c r="W266" s="19">
        <f t="shared" si="8"/>
        <v>94036.8</v>
      </c>
    </row>
    <row r="267">
      <c r="A267" s="7">
        <v>2.73940503E8</v>
      </c>
      <c r="B267" s="12">
        <v>40800.0</v>
      </c>
      <c r="C267" s="7">
        <f t="shared" si="1"/>
        <v>2011</v>
      </c>
      <c r="D267" s="14" t="str">
        <f t="shared" si="2"/>
        <v>09 - Sep</v>
      </c>
      <c r="E267" s="15" t="str">
        <f t="shared" si="3"/>
        <v>Wed</v>
      </c>
      <c r="F267" s="15">
        <f t="shared" si="4"/>
        <v>3</v>
      </c>
      <c r="G267" s="16">
        <v>40835.0</v>
      </c>
      <c r="H267" s="14">
        <f t="shared" si="5"/>
        <v>35</v>
      </c>
      <c r="I267" s="7" t="s">
        <v>364</v>
      </c>
      <c r="J267" s="7" t="s">
        <v>623</v>
      </c>
      <c r="K267" s="7" t="str">
        <f>VLOOKUP(J267,countries,2,false)</f>
        <v>Romania</v>
      </c>
      <c r="L267" s="7" t="str">
        <f>VLOOKUP($J267,countries,5,false)</f>
        <v>Europe</v>
      </c>
      <c r="M267" s="7" t="str">
        <f>VLOOKUP($J267,countries,6,false)</f>
        <v>Eastern Europe</v>
      </c>
      <c r="N267" s="7">
        <v>2103.0</v>
      </c>
      <c r="O267" s="7" t="str">
        <f>VLOOKUP(N267, products, 2, FALSE)</f>
        <v>Cereal</v>
      </c>
      <c r="P267" s="7" t="s">
        <v>264</v>
      </c>
      <c r="Q267" s="7">
        <v>3937.0</v>
      </c>
      <c r="R267" s="17">
        <v>205.7</v>
      </c>
      <c r="S267" s="17">
        <v>117.11</v>
      </c>
      <c r="U267" s="18">
        <f t="shared" si="6"/>
        <v>809840.9</v>
      </c>
      <c r="V267" s="18">
        <f t="shared" si="7"/>
        <v>461062.07</v>
      </c>
      <c r="W267" s="19">
        <f t="shared" si="8"/>
        <v>348778.83</v>
      </c>
    </row>
    <row r="268">
      <c r="A268" s="7">
        <v>2.74694526E8</v>
      </c>
      <c r="B268" s="12">
        <v>42838.0</v>
      </c>
      <c r="C268" s="7">
        <f t="shared" si="1"/>
        <v>2017</v>
      </c>
      <c r="D268" s="14" t="str">
        <f t="shared" si="2"/>
        <v>04 - Apr</v>
      </c>
      <c r="E268" s="15" t="str">
        <f t="shared" si="3"/>
        <v>Thu</v>
      </c>
      <c r="F268" s="15">
        <f t="shared" si="4"/>
        <v>4</v>
      </c>
      <c r="G268" s="16">
        <v>42866.0</v>
      </c>
      <c r="H268" s="14">
        <f t="shared" si="5"/>
        <v>28</v>
      </c>
      <c r="I268" s="7" t="s">
        <v>305</v>
      </c>
      <c r="J268" s="7" t="s">
        <v>489</v>
      </c>
      <c r="K268" s="7" t="str">
        <f>VLOOKUP(J268,countries,2,false)</f>
        <v>Malta</v>
      </c>
      <c r="L268" s="7" t="str">
        <f>VLOOKUP($J268,countries,5,false)</f>
        <v>Europe</v>
      </c>
      <c r="M268" s="7" t="str">
        <f>VLOOKUP($J268,countries,6,false)</f>
        <v>Southern Europe</v>
      </c>
      <c r="N268" s="7">
        <v>3127.0</v>
      </c>
      <c r="O268" s="7" t="str">
        <f>VLOOKUP(N268, products, 2, FALSE)</f>
        <v>Personal Care</v>
      </c>
      <c r="P268" s="7" t="s">
        <v>334</v>
      </c>
      <c r="Q268" s="7">
        <v>7069.0</v>
      </c>
      <c r="R268" s="17">
        <v>81.73</v>
      </c>
      <c r="S268" s="17">
        <v>56.67</v>
      </c>
      <c r="U268" s="18">
        <f t="shared" si="6"/>
        <v>577749.37</v>
      </c>
      <c r="V268" s="18">
        <f t="shared" si="7"/>
        <v>400600.23</v>
      </c>
      <c r="W268" s="19">
        <f t="shared" si="8"/>
        <v>177149.14</v>
      </c>
    </row>
    <row r="269">
      <c r="A269" s="7">
        <v>2.74989354E8</v>
      </c>
      <c r="B269" s="12">
        <v>41057.0</v>
      </c>
      <c r="C269" s="7">
        <f t="shared" si="1"/>
        <v>2012</v>
      </c>
      <c r="D269" s="14" t="str">
        <f t="shared" si="2"/>
        <v>05 - May</v>
      </c>
      <c r="E269" s="15" t="str">
        <f t="shared" si="3"/>
        <v>Mon</v>
      </c>
      <c r="F269" s="15">
        <f t="shared" si="4"/>
        <v>1</v>
      </c>
      <c r="G269" s="16">
        <v>41100.0</v>
      </c>
      <c r="H269" s="14">
        <f t="shared" si="5"/>
        <v>43</v>
      </c>
      <c r="I269" s="7" t="s">
        <v>232</v>
      </c>
      <c r="J269" s="7" t="s">
        <v>717</v>
      </c>
      <c r="K269" s="7" t="str">
        <f>VLOOKUP(J269,countries,2,false)</f>
        <v>Sweden</v>
      </c>
      <c r="L269" s="7" t="str">
        <f>VLOOKUP($J269,countries,5,false)</f>
        <v>Europe</v>
      </c>
      <c r="M269" s="7" t="str">
        <f>VLOOKUP($J269,countries,6,false)</f>
        <v>Northern Europe</v>
      </c>
      <c r="N269" s="7">
        <v>8969.0</v>
      </c>
      <c r="O269" s="7" t="str">
        <f>VLOOKUP(N269, products, 2, FALSE)</f>
        <v>Snacks</v>
      </c>
      <c r="P269" s="7" t="s">
        <v>264</v>
      </c>
      <c r="Q269" s="7">
        <v>4316.0</v>
      </c>
      <c r="R269" s="17">
        <v>152.58</v>
      </c>
      <c r="S269" s="17">
        <v>97.44</v>
      </c>
      <c r="U269" s="18">
        <f t="shared" si="6"/>
        <v>658535.28</v>
      </c>
      <c r="V269" s="18">
        <f t="shared" si="7"/>
        <v>420551.04</v>
      </c>
      <c r="W269" s="19">
        <f t="shared" si="8"/>
        <v>237984.24</v>
      </c>
    </row>
    <row r="270">
      <c r="A270" s="7">
        <v>2.76784074E8</v>
      </c>
      <c r="B270" s="12">
        <v>42084.0</v>
      </c>
      <c r="C270" s="7">
        <f t="shared" si="1"/>
        <v>2015</v>
      </c>
      <c r="D270" s="14" t="str">
        <f t="shared" si="2"/>
        <v>03 - Mar</v>
      </c>
      <c r="E270" s="15" t="str">
        <f t="shared" si="3"/>
        <v>Sat</v>
      </c>
      <c r="F270" s="15">
        <f t="shared" si="4"/>
        <v>6</v>
      </c>
      <c r="G270" s="16">
        <v>42109.0</v>
      </c>
      <c r="H270" s="14">
        <f t="shared" si="5"/>
        <v>25</v>
      </c>
      <c r="I270" s="7" t="s">
        <v>305</v>
      </c>
      <c r="J270" s="7" t="s">
        <v>319</v>
      </c>
      <c r="K270" s="7" t="str">
        <f>VLOOKUP(J270,countries,2,false)</f>
        <v>Germany</v>
      </c>
      <c r="L270" s="7" t="str">
        <f>VLOOKUP($J270,countries,5,false)</f>
        <v>Europe</v>
      </c>
      <c r="M270" s="7" t="str">
        <f>VLOOKUP($J270,countries,6,false)</f>
        <v>Western Europe</v>
      </c>
      <c r="N270" s="7">
        <v>2455.0</v>
      </c>
      <c r="O270" s="7" t="str">
        <f>VLOOKUP(N270, products, 2, FALSE)</f>
        <v>Clothes</v>
      </c>
      <c r="P270" s="7" t="s">
        <v>264</v>
      </c>
      <c r="Q270" s="7">
        <v>5413.0</v>
      </c>
      <c r="R270" s="17">
        <v>109.28</v>
      </c>
      <c r="S270" s="17">
        <v>35.84</v>
      </c>
      <c r="U270" s="18">
        <f t="shared" si="6"/>
        <v>591532.64</v>
      </c>
      <c r="V270" s="18">
        <f t="shared" si="7"/>
        <v>194001.92</v>
      </c>
      <c r="W270" s="19">
        <f t="shared" si="8"/>
        <v>397530.72</v>
      </c>
    </row>
    <row r="271">
      <c r="A271" s="7">
        <v>2.76850593E8</v>
      </c>
      <c r="B271" s="12">
        <v>40776.0</v>
      </c>
      <c r="C271" s="7">
        <f t="shared" si="1"/>
        <v>2011</v>
      </c>
      <c r="D271" s="14" t="str">
        <f t="shared" si="2"/>
        <v>08 - Aug</v>
      </c>
      <c r="E271" s="15" t="str">
        <f t="shared" si="3"/>
        <v>Sun</v>
      </c>
      <c r="F271" s="15">
        <f t="shared" si="4"/>
        <v>7</v>
      </c>
      <c r="G271" s="16">
        <v>40789.0</v>
      </c>
      <c r="H271" s="14">
        <f t="shared" si="5"/>
        <v>13</v>
      </c>
      <c r="I271" s="7" t="s">
        <v>364</v>
      </c>
      <c r="J271" s="7" t="s">
        <v>489</v>
      </c>
      <c r="K271" s="7" t="str">
        <f>VLOOKUP(J271,countries,2,false)</f>
        <v>Malta</v>
      </c>
      <c r="L271" s="7" t="str">
        <f>VLOOKUP($J271,countries,5,false)</f>
        <v>Europe</v>
      </c>
      <c r="M271" s="7" t="str">
        <f>VLOOKUP($J271,countries,6,false)</f>
        <v>Southern Europe</v>
      </c>
      <c r="N271" s="7">
        <v>7331.0</v>
      </c>
      <c r="O271" s="7" t="str">
        <f>VLOOKUP(N271, products, 2, FALSE)</f>
        <v>Baby Food</v>
      </c>
      <c r="P271" s="7" t="s">
        <v>334</v>
      </c>
      <c r="Q271" s="7">
        <v>5097.0</v>
      </c>
      <c r="R271" s="17">
        <v>255.28</v>
      </c>
      <c r="S271" s="17">
        <v>159.42</v>
      </c>
      <c r="U271" s="18">
        <f t="shared" si="6"/>
        <v>1301162.16</v>
      </c>
      <c r="V271" s="18">
        <f t="shared" si="7"/>
        <v>812563.74</v>
      </c>
      <c r="W271" s="19">
        <f t="shared" si="8"/>
        <v>488598.42</v>
      </c>
    </row>
    <row r="272">
      <c r="A272" s="7">
        <v>2.78513133E8</v>
      </c>
      <c r="B272" s="12">
        <v>40476.0</v>
      </c>
      <c r="C272" s="7">
        <f t="shared" si="1"/>
        <v>2010</v>
      </c>
      <c r="D272" s="14" t="str">
        <f t="shared" si="2"/>
        <v>10 - Oct</v>
      </c>
      <c r="E272" s="15" t="str">
        <f t="shared" si="3"/>
        <v>Mon</v>
      </c>
      <c r="F272" s="15">
        <f t="shared" si="4"/>
        <v>1</v>
      </c>
      <c r="G272" s="16">
        <v>40487.0</v>
      </c>
      <c r="H272" s="14">
        <f t="shared" si="5"/>
        <v>11</v>
      </c>
      <c r="I272" s="7" t="s">
        <v>399</v>
      </c>
      <c r="J272" s="7" t="s">
        <v>570</v>
      </c>
      <c r="K272" s="7" t="str">
        <f>VLOOKUP(J272,countries,2,false)</f>
        <v>Macedonia</v>
      </c>
      <c r="L272" s="7" t="str">
        <f>VLOOKUP($J272,countries,5,false)</f>
        <v>Europe</v>
      </c>
      <c r="M272" s="7" t="str">
        <f>VLOOKUP($J272,countries,6,false)</f>
        <v>Southern Europe</v>
      </c>
      <c r="N272" s="7">
        <v>4594.0</v>
      </c>
      <c r="O272" s="7" t="str">
        <f>VLOOKUP(N272, products, 2, FALSE)</f>
        <v>Fruits</v>
      </c>
      <c r="P272" s="7" t="s">
        <v>264</v>
      </c>
      <c r="Q272" s="7">
        <v>7080.0</v>
      </c>
      <c r="R272" s="17">
        <v>9.33</v>
      </c>
      <c r="S272" s="17">
        <v>6.92</v>
      </c>
      <c r="U272" s="18">
        <f t="shared" si="6"/>
        <v>66056.4</v>
      </c>
      <c r="V272" s="18">
        <f t="shared" si="7"/>
        <v>48993.6</v>
      </c>
      <c r="W272" s="19">
        <f t="shared" si="8"/>
        <v>17062.8</v>
      </c>
    </row>
    <row r="273">
      <c r="A273" s="7">
        <v>2.79338395E8</v>
      </c>
      <c r="B273" s="12">
        <v>41649.0</v>
      </c>
      <c r="C273" s="7">
        <f t="shared" si="1"/>
        <v>2014</v>
      </c>
      <c r="D273" s="14" t="str">
        <f t="shared" si="2"/>
        <v>01 - Jan</v>
      </c>
      <c r="E273" s="15" t="str">
        <f t="shared" si="3"/>
        <v>Fri</v>
      </c>
      <c r="F273" s="15">
        <f t="shared" si="4"/>
        <v>5</v>
      </c>
      <c r="G273" s="16">
        <v>41694.0</v>
      </c>
      <c r="H273" s="14">
        <f t="shared" si="5"/>
        <v>45</v>
      </c>
      <c r="I273" s="7" t="s">
        <v>364</v>
      </c>
      <c r="J273" s="7" t="s">
        <v>626</v>
      </c>
      <c r="K273" s="7" t="str">
        <f>VLOOKUP(J273,countries,2,false)</f>
        <v>Russia</v>
      </c>
      <c r="L273" s="7" t="str">
        <f>VLOOKUP($J273,countries,5,false)</f>
        <v>Europe</v>
      </c>
      <c r="M273" s="7" t="str">
        <f>VLOOKUP($J273,countries,6,false)</f>
        <v>Eastern Europe</v>
      </c>
      <c r="N273" s="7">
        <v>2103.0</v>
      </c>
      <c r="O273" s="7" t="str">
        <f>VLOOKUP(N273, products, 2, FALSE)</f>
        <v>Cereal</v>
      </c>
      <c r="P273" s="7" t="s">
        <v>264</v>
      </c>
      <c r="Q273" s="7">
        <v>1293.0</v>
      </c>
      <c r="R273" s="17">
        <v>205.7</v>
      </c>
      <c r="S273" s="17">
        <v>117.11</v>
      </c>
      <c r="U273" s="18">
        <f t="shared" si="6"/>
        <v>265970.1</v>
      </c>
      <c r="V273" s="18">
        <f t="shared" si="7"/>
        <v>151423.23</v>
      </c>
      <c r="W273" s="19">
        <f t="shared" si="8"/>
        <v>114546.87</v>
      </c>
    </row>
    <row r="274">
      <c r="A274" s="7">
        <v>2.79703605E8</v>
      </c>
      <c r="B274" s="12">
        <v>40179.0</v>
      </c>
      <c r="C274" s="7">
        <f t="shared" si="1"/>
        <v>2010</v>
      </c>
      <c r="D274" s="14" t="str">
        <f t="shared" si="2"/>
        <v>01 - Jan</v>
      </c>
      <c r="E274" s="15" t="str">
        <f t="shared" si="3"/>
        <v>Fri</v>
      </c>
      <c r="F274" s="15">
        <f t="shared" si="4"/>
        <v>5</v>
      </c>
      <c r="G274" s="16">
        <v>40188.0</v>
      </c>
      <c r="H274" s="14">
        <f t="shared" si="5"/>
        <v>9</v>
      </c>
      <c r="I274" s="7" t="s">
        <v>305</v>
      </c>
      <c r="J274" s="7" t="s">
        <v>378</v>
      </c>
      <c r="K274" s="7" t="str">
        <f>VLOOKUP(J274,countries,2,false)</f>
        <v>Hungary</v>
      </c>
      <c r="L274" s="7" t="str">
        <f>VLOOKUP($J274,countries,5,false)</f>
        <v>Europe</v>
      </c>
      <c r="M274" s="7" t="str">
        <f>VLOOKUP($J274,countries,6,false)</f>
        <v>Eastern Europe</v>
      </c>
      <c r="N274" s="7">
        <v>7331.0</v>
      </c>
      <c r="O274" s="7" t="str">
        <f>VLOOKUP(N274, products, 2, FALSE)</f>
        <v>Baby Food</v>
      </c>
      <c r="P274" s="7" t="s">
        <v>334</v>
      </c>
      <c r="Q274" s="7">
        <v>9367.0</v>
      </c>
      <c r="R274" s="17">
        <v>255.28</v>
      </c>
      <c r="S274" s="17">
        <v>159.42</v>
      </c>
      <c r="U274" s="18">
        <f t="shared" si="6"/>
        <v>2391207.76</v>
      </c>
      <c r="V274" s="18">
        <f t="shared" si="7"/>
        <v>1493287.14</v>
      </c>
      <c r="W274" s="19">
        <f t="shared" si="8"/>
        <v>897920.62</v>
      </c>
    </row>
    <row r="275">
      <c r="A275" s="7">
        <v>2.79816472E8</v>
      </c>
      <c r="B275" s="12">
        <v>41707.0</v>
      </c>
      <c r="C275" s="7">
        <f t="shared" si="1"/>
        <v>2014</v>
      </c>
      <c r="D275" s="14" t="str">
        <f t="shared" si="2"/>
        <v>03 - Mar</v>
      </c>
      <c r="E275" s="15" t="str">
        <f t="shared" si="3"/>
        <v>Sun</v>
      </c>
      <c r="F275" s="15">
        <f t="shared" si="4"/>
        <v>7</v>
      </c>
      <c r="G275" s="16">
        <v>41743.0</v>
      </c>
      <c r="H275" s="14">
        <f t="shared" si="5"/>
        <v>36</v>
      </c>
      <c r="I275" s="7" t="s">
        <v>399</v>
      </c>
      <c r="J275" s="7" t="s">
        <v>611</v>
      </c>
      <c r="K275" s="7" t="str">
        <f>VLOOKUP(J275,countries,2,false)</f>
        <v>Portugal</v>
      </c>
      <c r="L275" s="7" t="str">
        <f>VLOOKUP($J275,countries,5,false)</f>
        <v>Europe</v>
      </c>
      <c r="M275" s="7" t="str">
        <f>VLOOKUP($J275,countries,6,false)</f>
        <v>Southern Europe</v>
      </c>
      <c r="N275" s="7">
        <v>8969.0</v>
      </c>
      <c r="O275" s="7" t="str">
        <f>VLOOKUP(N275, products, 2, FALSE)</f>
        <v>Snacks</v>
      </c>
      <c r="P275" s="7" t="s">
        <v>334</v>
      </c>
      <c r="Q275" s="7">
        <v>2767.0</v>
      </c>
      <c r="R275" s="17">
        <v>152.58</v>
      </c>
      <c r="S275" s="17">
        <v>97.44</v>
      </c>
      <c r="U275" s="18">
        <f t="shared" si="6"/>
        <v>422188.86</v>
      </c>
      <c r="V275" s="18">
        <f t="shared" si="7"/>
        <v>269616.48</v>
      </c>
      <c r="W275" s="19">
        <f t="shared" si="8"/>
        <v>152572.38</v>
      </c>
    </row>
    <row r="276">
      <c r="A276" s="7">
        <v>2.8019241E8</v>
      </c>
      <c r="B276" s="12">
        <v>40740.0</v>
      </c>
      <c r="C276" s="7">
        <f t="shared" si="1"/>
        <v>2011</v>
      </c>
      <c r="D276" s="14" t="str">
        <f t="shared" si="2"/>
        <v>07 - Jul</v>
      </c>
      <c r="E276" s="15" t="str">
        <f t="shared" si="3"/>
        <v>Sat</v>
      </c>
      <c r="F276" s="15">
        <f t="shared" si="4"/>
        <v>6</v>
      </c>
      <c r="G276" s="16">
        <v>40783.0</v>
      </c>
      <c r="H276" s="14">
        <f t="shared" si="5"/>
        <v>43</v>
      </c>
      <c r="I276" s="7" t="s">
        <v>399</v>
      </c>
      <c r="J276" s="7" t="s">
        <v>293</v>
      </c>
      <c r="K276" s="7" t="str">
        <f>VLOOKUP(J276,countries,2,false)</f>
        <v>Finland</v>
      </c>
      <c r="L276" s="7" t="str">
        <f>VLOOKUP($J276,countries,5,false)</f>
        <v>Europe</v>
      </c>
      <c r="M276" s="7" t="str">
        <f>VLOOKUP($J276,countries,6,false)</f>
        <v>Northern Europe</v>
      </c>
      <c r="N276" s="7">
        <v>2103.0</v>
      </c>
      <c r="O276" s="7" t="str">
        <f>VLOOKUP(N276, products, 2, FALSE)</f>
        <v>Cereal</v>
      </c>
      <c r="P276" s="7" t="s">
        <v>264</v>
      </c>
      <c r="Q276" s="7">
        <v>4016.0</v>
      </c>
      <c r="R276" s="17">
        <v>205.7</v>
      </c>
      <c r="S276" s="17">
        <v>117.11</v>
      </c>
      <c r="U276" s="18">
        <f t="shared" si="6"/>
        <v>826091.2</v>
      </c>
      <c r="V276" s="18">
        <f t="shared" si="7"/>
        <v>470313.76</v>
      </c>
      <c r="W276" s="19">
        <f t="shared" si="8"/>
        <v>355777.44</v>
      </c>
    </row>
    <row r="277">
      <c r="A277" s="7">
        <v>2.80477797E8</v>
      </c>
      <c r="B277" s="12">
        <v>40839.0</v>
      </c>
      <c r="C277" s="7">
        <f t="shared" si="1"/>
        <v>2011</v>
      </c>
      <c r="D277" s="14" t="str">
        <f t="shared" si="2"/>
        <v>10 - Oct</v>
      </c>
      <c r="E277" s="15" t="str">
        <f t="shared" si="3"/>
        <v>Sun</v>
      </c>
      <c r="F277" s="15">
        <f t="shared" si="4"/>
        <v>7</v>
      </c>
      <c r="G277" s="16">
        <v>40840.0</v>
      </c>
      <c r="H277" s="14">
        <f t="shared" si="5"/>
        <v>1</v>
      </c>
      <c r="I277" s="7" t="s">
        <v>364</v>
      </c>
      <c r="J277" s="7" t="s">
        <v>328</v>
      </c>
      <c r="K277" s="7" t="str">
        <f>VLOOKUP(J277,countries,2,false)</f>
        <v>Greece</v>
      </c>
      <c r="L277" s="7" t="str">
        <f>VLOOKUP($J277,countries,5,false)</f>
        <v>Europe</v>
      </c>
      <c r="M277" s="7" t="str">
        <f>VLOOKUP($J277,countries,6,false)</f>
        <v>Southern Europe</v>
      </c>
      <c r="N277" s="7">
        <v>2103.0</v>
      </c>
      <c r="O277" s="7" t="str">
        <f>VLOOKUP(N277, products, 2, FALSE)</f>
        <v>Cereal</v>
      </c>
      <c r="P277" s="7" t="s">
        <v>334</v>
      </c>
      <c r="Q277" s="7">
        <v>8468.0</v>
      </c>
      <c r="R277" s="17">
        <v>205.7</v>
      </c>
      <c r="S277" s="17">
        <v>117.11</v>
      </c>
      <c r="U277" s="18">
        <f t="shared" si="6"/>
        <v>1741867.6</v>
      </c>
      <c r="V277" s="18">
        <f t="shared" si="7"/>
        <v>991687.48</v>
      </c>
      <c r="W277" s="19">
        <f t="shared" si="8"/>
        <v>750180.12</v>
      </c>
    </row>
    <row r="278">
      <c r="A278" s="7">
        <v>2.81100928E8</v>
      </c>
      <c r="B278" s="12">
        <v>41168.0</v>
      </c>
      <c r="C278" s="7">
        <f t="shared" si="1"/>
        <v>2012</v>
      </c>
      <c r="D278" s="14" t="str">
        <f t="shared" si="2"/>
        <v>09 - Sep</v>
      </c>
      <c r="E278" s="15" t="str">
        <f t="shared" si="3"/>
        <v>Sun</v>
      </c>
      <c r="F278" s="15">
        <f t="shared" si="4"/>
        <v>7</v>
      </c>
      <c r="G278" s="16">
        <v>41216.0</v>
      </c>
      <c r="H278" s="14">
        <f t="shared" si="5"/>
        <v>48</v>
      </c>
      <c r="I278" s="7" t="s">
        <v>399</v>
      </c>
      <c r="J278" s="7" t="s">
        <v>406</v>
      </c>
      <c r="K278" s="7" t="str">
        <f>VLOOKUP(J278,countries,2,false)</f>
        <v>Italy</v>
      </c>
      <c r="L278" s="7" t="str">
        <f>VLOOKUP($J278,countries,5,false)</f>
        <v>Europe</v>
      </c>
      <c r="M278" s="7" t="str">
        <f>VLOOKUP($J278,countries,6,false)</f>
        <v>Southern Europe</v>
      </c>
      <c r="N278" s="7">
        <v>8969.0</v>
      </c>
      <c r="O278" s="7" t="str">
        <f>VLOOKUP(N278, products, 2, FALSE)</f>
        <v>Snacks</v>
      </c>
      <c r="P278" s="7" t="s">
        <v>264</v>
      </c>
      <c r="Q278" s="7">
        <v>2866.0</v>
      </c>
      <c r="R278" s="17">
        <v>152.58</v>
      </c>
      <c r="S278" s="17">
        <v>97.44</v>
      </c>
      <c r="U278" s="18">
        <f t="shared" si="6"/>
        <v>437294.28</v>
      </c>
      <c r="V278" s="18">
        <f t="shared" si="7"/>
        <v>279263.04</v>
      </c>
      <c r="W278" s="19">
        <f t="shared" si="8"/>
        <v>158031.24</v>
      </c>
    </row>
    <row r="279">
      <c r="A279" s="7">
        <v>2.82917964E8</v>
      </c>
      <c r="B279" s="12">
        <v>42024.0</v>
      </c>
      <c r="C279" s="7">
        <f t="shared" si="1"/>
        <v>2015</v>
      </c>
      <c r="D279" s="14" t="str">
        <f t="shared" si="2"/>
        <v>01 - Jan</v>
      </c>
      <c r="E279" s="15" t="str">
        <f t="shared" si="3"/>
        <v>Tue</v>
      </c>
      <c r="F279" s="15">
        <f t="shared" si="4"/>
        <v>2</v>
      </c>
      <c r="G279" s="16">
        <v>42031.0</v>
      </c>
      <c r="H279" s="14">
        <f t="shared" si="5"/>
        <v>7</v>
      </c>
      <c r="I279" s="7" t="s">
        <v>364</v>
      </c>
      <c r="J279" s="7" t="s">
        <v>626</v>
      </c>
      <c r="K279" s="7" t="str">
        <f>VLOOKUP(J279,countries,2,false)</f>
        <v>Russia</v>
      </c>
      <c r="L279" s="7" t="str">
        <f>VLOOKUP($J279,countries,5,false)</f>
        <v>Europe</v>
      </c>
      <c r="M279" s="7" t="str">
        <f>VLOOKUP($J279,countries,6,false)</f>
        <v>Eastern Europe</v>
      </c>
      <c r="N279" s="7">
        <v>8681.0</v>
      </c>
      <c r="O279" s="7" t="str">
        <f>VLOOKUP(N279, products, 2, FALSE)</f>
        <v>Office Supplies</v>
      </c>
      <c r="P279" s="7" t="s">
        <v>334</v>
      </c>
      <c r="Q279" s="7">
        <v>567.0</v>
      </c>
      <c r="R279" s="17">
        <v>651.21</v>
      </c>
      <c r="S279" s="17">
        <v>524.96</v>
      </c>
      <c r="U279" s="18">
        <f t="shared" si="6"/>
        <v>369236.07</v>
      </c>
      <c r="V279" s="18">
        <f t="shared" si="7"/>
        <v>297652.32</v>
      </c>
      <c r="W279" s="19">
        <f t="shared" si="8"/>
        <v>71583.75</v>
      </c>
    </row>
    <row r="280">
      <c r="A280" s="7">
        <v>2.84108436E8</v>
      </c>
      <c r="B280" s="12">
        <v>41727.0</v>
      </c>
      <c r="C280" s="7">
        <f t="shared" si="1"/>
        <v>2014</v>
      </c>
      <c r="D280" s="14" t="str">
        <f t="shared" si="2"/>
        <v>03 - Mar</v>
      </c>
      <c r="E280" s="15" t="str">
        <f t="shared" si="3"/>
        <v>Sat</v>
      </c>
      <c r="F280" s="15">
        <f t="shared" si="4"/>
        <v>6</v>
      </c>
      <c r="G280" s="16">
        <v>41732.0</v>
      </c>
      <c r="H280" s="14">
        <f t="shared" si="5"/>
        <v>5</v>
      </c>
      <c r="I280" s="7" t="s">
        <v>232</v>
      </c>
      <c r="J280" s="7" t="s">
        <v>489</v>
      </c>
      <c r="K280" s="7" t="str">
        <f>VLOOKUP(J280,countries,2,false)</f>
        <v>Malta</v>
      </c>
      <c r="L280" s="7" t="str">
        <f>VLOOKUP($J280,countries,5,false)</f>
        <v>Europe</v>
      </c>
      <c r="M280" s="7" t="str">
        <f>VLOOKUP($J280,countries,6,false)</f>
        <v>Southern Europe</v>
      </c>
      <c r="N280" s="7">
        <v>8293.0</v>
      </c>
      <c r="O280" s="7" t="str">
        <f>VLOOKUP(N280, products, 2, FALSE)</f>
        <v>Cosmetics</v>
      </c>
      <c r="P280" s="7" t="s">
        <v>264</v>
      </c>
      <c r="Q280" s="7">
        <v>2854.0</v>
      </c>
      <c r="R280" s="17">
        <v>437.2</v>
      </c>
      <c r="S280" s="17">
        <v>263.33</v>
      </c>
      <c r="U280" s="18">
        <f t="shared" si="6"/>
        <v>1247768.8</v>
      </c>
      <c r="V280" s="18">
        <f t="shared" si="7"/>
        <v>751543.82</v>
      </c>
      <c r="W280" s="19">
        <f t="shared" si="8"/>
        <v>496224.98</v>
      </c>
    </row>
    <row r="281">
      <c r="A281" s="7">
        <v>2.84310567E8</v>
      </c>
      <c r="B281" s="12">
        <v>42571.0</v>
      </c>
      <c r="C281" s="7">
        <f t="shared" si="1"/>
        <v>2016</v>
      </c>
      <c r="D281" s="14" t="str">
        <f t="shared" si="2"/>
        <v>07 - Jul</v>
      </c>
      <c r="E281" s="15" t="str">
        <f t="shared" si="3"/>
        <v>Wed</v>
      </c>
      <c r="F281" s="15">
        <f t="shared" si="4"/>
        <v>3</v>
      </c>
      <c r="G281" s="16">
        <v>42615.0</v>
      </c>
      <c r="H281" s="14">
        <f t="shared" si="5"/>
        <v>44</v>
      </c>
      <c r="I281" s="7" t="s">
        <v>232</v>
      </c>
      <c r="J281" s="7" t="s">
        <v>608</v>
      </c>
      <c r="K281" s="7" t="str">
        <f>VLOOKUP(J281,countries,2,false)</f>
        <v>Poland</v>
      </c>
      <c r="L281" s="7" t="str">
        <f>VLOOKUP($J281,countries,5,false)</f>
        <v>Europe</v>
      </c>
      <c r="M281" s="7" t="str">
        <f>VLOOKUP($J281,countries,6,false)</f>
        <v>Eastern Europe</v>
      </c>
      <c r="N281" s="7">
        <v>8293.0</v>
      </c>
      <c r="O281" s="7" t="str">
        <f>VLOOKUP(N281, products, 2, FALSE)</f>
        <v>Cosmetics</v>
      </c>
      <c r="P281" s="7" t="s">
        <v>334</v>
      </c>
      <c r="Q281" s="7">
        <v>2670.0</v>
      </c>
      <c r="R281" s="17">
        <v>437.2</v>
      </c>
      <c r="S281" s="17">
        <v>263.33</v>
      </c>
      <c r="U281" s="18">
        <f t="shared" si="6"/>
        <v>1167324</v>
      </c>
      <c r="V281" s="18">
        <f t="shared" si="7"/>
        <v>703091.1</v>
      </c>
      <c r="W281" s="19">
        <f t="shared" si="8"/>
        <v>464232.9</v>
      </c>
    </row>
    <row r="282">
      <c r="A282" s="7">
        <v>2.84403264E8</v>
      </c>
      <c r="B282" s="12">
        <v>42711.0</v>
      </c>
      <c r="C282" s="7">
        <f t="shared" si="1"/>
        <v>2016</v>
      </c>
      <c r="D282" s="14" t="str">
        <f t="shared" si="2"/>
        <v>12 - Dec</v>
      </c>
      <c r="E282" s="15" t="str">
        <f t="shared" si="3"/>
        <v>Wed</v>
      </c>
      <c r="F282" s="15">
        <f t="shared" si="4"/>
        <v>3</v>
      </c>
      <c r="G282" s="16">
        <v>42731.0</v>
      </c>
      <c r="H282" s="14">
        <f t="shared" si="5"/>
        <v>20</v>
      </c>
      <c r="I282" s="7" t="s">
        <v>305</v>
      </c>
      <c r="J282" s="7" t="s">
        <v>717</v>
      </c>
      <c r="K282" s="7" t="str">
        <f>VLOOKUP(J282,countries,2,false)</f>
        <v>Sweden</v>
      </c>
      <c r="L282" s="7" t="str">
        <f>VLOOKUP($J282,countries,5,false)</f>
        <v>Europe</v>
      </c>
      <c r="M282" s="7" t="str">
        <f>VLOOKUP($J282,countries,6,false)</f>
        <v>Northern Europe</v>
      </c>
      <c r="N282" s="7">
        <v>5988.0</v>
      </c>
      <c r="O282" s="7" t="str">
        <f>VLOOKUP(N282, products, 2, FALSE)</f>
        <v>Vegetables</v>
      </c>
      <c r="P282" s="7" t="s">
        <v>334</v>
      </c>
      <c r="Q282" s="7">
        <v>101.0</v>
      </c>
      <c r="R282" s="17">
        <v>154.06</v>
      </c>
      <c r="S282" s="17">
        <v>90.93</v>
      </c>
      <c r="U282" s="18">
        <f t="shared" si="6"/>
        <v>15560.06</v>
      </c>
      <c r="V282" s="18">
        <f t="shared" si="7"/>
        <v>9183.93</v>
      </c>
      <c r="W282" s="19">
        <f t="shared" si="8"/>
        <v>6376.13</v>
      </c>
    </row>
    <row r="283">
      <c r="A283" s="7">
        <v>2.84435451E8</v>
      </c>
      <c r="B283" s="12">
        <v>41454.0</v>
      </c>
      <c r="C283" s="7">
        <f t="shared" si="1"/>
        <v>2013</v>
      </c>
      <c r="D283" s="14" t="str">
        <f t="shared" si="2"/>
        <v>06 - Jun</v>
      </c>
      <c r="E283" s="15" t="str">
        <f t="shared" si="3"/>
        <v>Sat</v>
      </c>
      <c r="F283" s="15">
        <f t="shared" si="4"/>
        <v>6</v>
      </c>
      <c r="G283" s="16">
        <v>41454.0</v>
      </c>
      <c r="H283" s="14">
        <f t="shared" si="5"/>
        <v>0</v>
      </c>
      <c r="I283" s="7" t="s">
        <v>305</v>
      </c>
      <c r="J283" s="7" t="s">
        <v>365</v>
      </c>
      <c r="K283" s="7" t="str">
        <f>VLOOKUP(J283,countries,2,false)</f>
        <v>Montenegro</v>
      </c>
      <c r="L283" s="7" t="str">
        <f>VLOOKUP($J283,countries,5,false)</f>
        <v>Europe</v>
      </c>
      <c r="M283" s="7" t="str">
        <f>VLOOKUP($J283,countries,6,false)</f>
        <v>Southern Europe</v>
      </c>
      <c r="N283" s="7">
        <v>3127.0</v>
      </c>
      <c r="O283" s="7" t="str">
        <f>VLOOKUP(N283, products, 2, FALSE)</f>
        <v>Personal Care</v>
      </c>
      <c r="P283" s="7" t="s">
        <v>334</v>
      </c>
      <c r="Q283" s="7">
        <v>9625.0</v>
      </c>
      <c r="R283" s="17">
        <v>81.73</v>
      </c>
      <c r="S283" s="17">
        <v>56.67</v>
      </c>
      <c r="U283" s="18">
        <f t="shared" si="6"/>
        <v>786651.25</v>
      </c>
      <c r="V283" s="18">
        <f t="shared" si="7"/>
        <v>545448.75</v>
      </c>
      <c r="W283" s="19">
        <f t="shared" si="8"/>
        <v>241202.5</v>
      </c>
    </row>
    <row r="284">
      <c r="A284" s="7">
        <v>2.84595954E8</v>
      </c>
      <c r="B284" s="12">
        <v>42670.0</v>
      </c>
      <c r="C284" s="7">
        <f t="shared" si="1"/>
        <v>2016</v>
      </c>
      <c r="D284" s="14" t="str">
        <f t="shared" si="2"/>
        <v>10 - Oct</v>
      </c>
      <c r="E284" s="15" t="str">
        <f t="shared" si="3"/>
        <v>Thu</v>
      </c>
      <c r="F284" s="15">
        <f t="shared" si="4"/>
        <v>4</v>
      </c>
      <c r="G284" s="16">
        <v>42672.0</v>
      </c>
      <c r="H284" s="14">
        <f t="shared" si="5"/>
        <v>2</v>
      </c>
      <c r="I284" s="7" t="s">
        <v>305</v>
      </c>
      <c r="J284" s="7" t="s">
        <v>656</v>
      </c>
      <c r="K284" s="7" t="str">
        <f>VLOOKUP(J284,countries,2,false)</f>
        <v>San Marino</v>
      </c>
      <c r="L284" s="7" t="str">
        <f>VLOOKUP($J284,countries,5,false)</f>
        <v>Europe</v>
      </c>
      <c r="M284" s="7" t="str">
        <f>VLOOKUP($J284,countries,6,false)</f>
        <v>Southern Europe</v>
      </c>
      <c r="N284" s="7">
        <v>8293.0</v>
      </c>
      <c r="O284" s="7" t="str">
        <f>VLOOKUP(N284, products, 2, FALSE)</f>
        <v>Cosmetics</v>
      </c>
      <c r="P284" s="7" t="s">
        <v>334</v>
      </c>
      <c r="Q284" s="7">
        <v>7122.0</v>
      </c>
      <c r="R284" s="17">
        <v>437.2</v>
      </c>
      <c r="S284" s="17">
        <v>263.33</v>
      </c>
      <c r="U284" s="18">
        <f t="shared" si="6"/>
        <v>3113738.4</v>
      </c>
      <c r="V284" s="18">
        <f t="shared" si="7"/>
        <v>1875436.26</v>
      </c>
      <c r="W284" s="19">
        <f t="shared" si="8"/>
        <v>1238302.14</v>
      </c>
    </row>
    <row r="285">
      <c r="A285" s="7">
        <v>2.85343968E8</v>
      </c>
      <c r="B285" s="12">
        <v>41882.0</v>
      </c>
      <c r="C285" s="7">
        <f t="shared" si="1"/>
        <v>2014</v>
      </c>
      <c r="D285" s="14" t="str">
        <f t="shared" si="2"/>
        <v>08 - Aug</v>
      </c>
      <c r="E285" s="15" t="str">
        <f t="shared" si="3"/>
        <v>Sun</v>
      </c>
      <c r="F285" s="15">
        <f t="shared" si="4"/>
        <v>7</v>
      </c>
      <c r="G285" s="16">
        <v>41887.0</v>
      </c>
      <c r="H285" s="14">
        <f t="shared" si="5"/>
        <v>5</v>
      </c>
      <c r="I285" s="7" t="s">
        <v>305</v>
      </c>
      <c r="J285" s="7" t="s">
        <v>306</v>
      </c>
      <c r="K285" s="7" t="str">
        <f>VLOOKUP(J285,countries,2,false)</f>
        <v>Serbia</v>
      </c>
      <c r="L285" s="7" t="str">
        <f>VLOOKUP($J285,countries,5,false)</f>
        <v>Europe</v>
      </c>
      <c r="M285" s="7" t="str">
        <f>VLOOKUP($J285,countries,6,false)</f>
        <v>Southern Europe</v>
      </c>
      <c r="N285" s="7">
        <v>5988.0</v>
      </c>
      <c r="O285" s="7" t="str">
        <f>VLOOKUP(N285, products, 2, FALSE)</f>
        <v>Vegetables</v>
      </c>
      <c r="P285" s="7" t="s">
        <v>264</v>
      </c>
      <c r="Q285" s="7">
        <v>8476.0</v>
      </c>
      <c r="R285" s="17">
        <v>154.06</v>
      </c>
      <c r="S285" s="17">
        <v>90.93</v>
      </c>
      <c r="U285" s="18">
        <f t="shared" si="6"/>
        <v>1305812.56</v>
      </c>
      <c r="V285" s="18">
        <f t="shared" si="7"/>
        <v>770722.68</v>
      </c>
      <c r="W285" s="19">
        <f t="shared" si="8"/>
        <v>535089.88</v>
      </c>
    </row>
    <row r="286">
      <c r="A286" s="7">
        <v>2.87151563E8</v>
      </c>
      <c r="B286" s="12">
        <v>41853.0</v>
      </c>
      <c r="C286" s="7">
        <f t="shared" si="1"/>
        <v>2014</v>
      </c>
      <c r="D286" s="14" t="str">
        <f t="shared" si="2"/>
        <v>08 - Aug</v>
      </c>
      <c r="E286" s="15" t="str">
        <f t="shared" si="3"/>
        <v>Sat</v>
      </c>
      <c r="F286" s="15">
        <f t="shared" si="4"/>
        <v>6</v>
      </c>
      <c r="G286" s="16">
        <v>41862.0</v>
      </c>
      <c r="H286" s="14">
        <f t="shared" si="5"/>
        <v>9</v>
      </c>
      <c r="I286" s="7" t="s">
        <v>232</v>
      </c>
      <c r="J286" s="7" t="s">
        <v>720</v>
      </c>
      <c r="K286" s="7" t="str">
        <f>VLOOKUP(J286,countries,2,false)</f>
        <v>Switzerland</v>
      </c>
      <c r="L286" s="7" t="str">
        <f>VLOOKUP($J286,countries,5,false)</f>
        <v>Europe</v>
      </c>
      <c r="M286" s="7" t="str">
        <f>VLOOKUP($J286,countries,6,false)</f>
        <v>Western Europe</v>
      </c>
      <c r="N286" s="7">
        <v>3127.0</v>
      </c>
      <c r="O286" s="7" t="str">
        <f>VLOOKUP(N286, products, 2, FALSE)</f>
        <v>Personal Care</v>
      </c>
      <c r="P286" s="7" t="s">
        <v>334</v>
      </c>
      <c r="Q286" s="7">
        <v>3383.0</v>
      </c>
      <c r="R286" s="17">
        <v>81.73</v>
      </c>
      <c r="S286" s="17">
        <v>56.67</v>
      </c>
      <c r="U286" s="18">
        <f t="shared" si="6"/>
        <v>276492.59</v>
      </c>
      <c r="V286" s="18">
        <f t="shared" si="7"/>
        <v>191714.61</v>
      </c>
      <c r="W286" s="19">
        <f t="shared" si="8"/>
        <v>84777.98</v>
      </c>
    </row>
    <row r="287">
      <c r="A287" s="7">
        <v>2.87917602E8</v>
      </c>
      <c r="B287" s="12">
        <v>41246.0</v>
      </c>
      <c r="C287" s="7">
        <f t="shared" si="1"/>
        <v>2012</v>
      </c>
      <c r="D287" s="14" t="str">
        <f t="shared" si="2"/>
        <v>12 - Dec</v>
      </c>
      <c r="E287" s="15" t="str">
        <f t="shared" si="3"/>
        <v>Mon</v>
      </c>
      <c r="F287" s="15">
        <f t="shared" si="4"/>
        <v>1</v>
      </c>
      <c r="G287" s="16">
        <v>41279.0</v>
      </c>
      <c r="H287" s="14">
        <f t="shared" si="5"/>
        <v>33</v>
      </c>
      <c r="I287" s="7" t="s">
        <v>364</v>
      </c>
      <c r="J287" s="7" t="s">
        <v>319</v>
      </c>
      <c r="K287" s="7" t="str">
        <f>VLOOKUP(J287,countries,2,false)</f>
        <v>Germany</v>
      </c>
      <c r="L287" s="7" t="str">
        <f>VLOOKUP($J287,countries,5,false)</f>
        <v>Europe</v>
      </c>
      <c r="M287" s="7" t="str">
        <f>VLOOKUP($J287,countries,6,false)</f>
        <v>Western Europe</v>
      </c>
      <c r="N287" s="7">
        <v>3127.0</v>
      </c>
      <c r="O287" s="7" t="str">
        <f>VLOOKUP(N287, products, 2, FALSE)</f>
        <v>Personal Care</v>
      </c>
      <c r="P287" s="7" t="s">
        <v>264</v>
      </c>
      <c r="Q287" s="7">
        <v>71.0</v>
      </c>
      <c r="R287" s="17">
        <v>81.73</v>
      </c>
      <c r="S287" s="17">
        <v>56.67</v>
      </c>
      <c r="U287" s="18">
        <f t="shared" si="6"/>
        <v>5802.83</v>
      </c>
      <c r="V287" s="18">
        <f t="shared" si="7"/>
        <v>4023.57</v>
      </c>
      <c r="W287" s="19">
        <f t="shared" si="8"/>
        <v>1779.26</v>
      </c>
    </row>
    <row r="288">
      <c r="A288" s="7">
        <v>2.88073384E8</v>
      </c>
      <c r="B288" s="12">
        <v>42019.0</v>
      </c>
      <c r="C288" s="7">
        <f t="shared" si="1"/>
        <v>2015</v>
      </c>
      <c r="D288" s="14" t="str">
        <f t="shared" si="2"/>
        <v>01 - Jan</v>
      </c>
      <c r="E288" s="15" t="str">
        <f t="shared" si="3"/>
        <v>Thu</v>
      </c>
      <c r="F288" s="15">
        <f t="shared" si="4"/>
        <v>4</v>
      </c>
      <c r="G288" s="16">
        <v>42051.0</v>
      </c>
      <c r="H288" s="14">
        <f t="shared" si="5"/>
        <v>32</v>
      </c>
      <c r="I288" s="7" t="s">
        <v>399</v>
      </c>
      <c r="J288" s="7" t="s">
        <v>328</v>
      </c>
      <c r="K288" s="7" t="str">
        <f>VLOOKUP(J288,countries,2,false)</f>
        <v>Greece</v>
      </c>
      <c r="L288" s="7" t="str">
        <f>VLOOKUP($J288,countries,5,false)</f>
        <v>Europe</v>
      </c>
      <c r="M288" s="7" t="str">
        <f>VLOOKUP($J288,countries,6,false)</f>
        <v>Southern Europe</v>
      </c>
      <c r="N288" s="7">
        <v>7331.0</v>
      </c>
      <c r="O288" s="7" t="str">
        <f>VLOOKUP(N288, products, 2, FALSE)</f>
        <v>Baby Food</v>
      </c>
      <c r="P288" s="7" t="s">
        <v>334</v>
      </c>
      <c r="Q288" s="7">
        <v>6171.0</v>
      </c>
      <c r="R288" s="17">
        <v>255.28</v>
      </c>
      <c r="S288" s="17">
        <v>159.42</v>
      </c>
      <c r="U288" s="18">
        <f t="shared" si="6"/>
        <v>1575332.88</v>
      </c>
      <c r="V288" s="18">
        <f t="shared" si="7"/>
        <v>983780.82</v>
      </c>
      <c r="W288" s="19">
        <f t="shared" si="8"/>
        <v>591552.06</v>
      </c>
    </row>
    <row r="289">
      <c r="A289" s="7">
        <v>2.88656175E8</v>
      </c>
      <c r="B289" s="12">
        <v>42338.0</v>
      </c>
      <c r="C289" s="7">
        <f t="shared" si="1"/>
        <v>2015</v>
      </c>
      <c r="D289" s="14" t="str">
        <f t="shared" si="2"/>
        <v>11 - Nov</v>
      </c>
      <c r="E289" s="15" t="str">
        <f t="shared" si="3"/>
        <v>Mon</v>
      </c>
      <c r="F289" s="15">
        <f t="shared" si="4"/>
        <v>1</v>
      </c>
      <c r="G289" s="16">
        <v>42368.0</v>
      </c>
      <c r="H289" s="14">
        <f t="shared" si="5"/>
        <v>30</v>
      </c>
      <c r="I289" s="7" t="s">
        <v>364</v>
      </c>
      <c r="J289" s="7" t="s">
        <v>146</v>
      </c>
      <c r="K289" s="7" t="str">
        <f>VLOOKUP(J289,countries,2,false)</f>
        <v>Bosnia and Herzegovina</v>
      </c>
      <c r="L289" s="7" t="str">
        <f>VLOOKUP($J289,countries,5,false)</f>
        <v>Europe</v>
      </c>
      <c r="M289" s="7" t="str">
        <f>VLOOKUP($J289,countries,6,false)</f>
        <v>Southern Europe</v>
      </c>
      <c r="N289" s="7">
        <v>8681.0</v>
      </c>
      <c r="O289" s="7" t="str">
        <f>VLOOKUP(N289, products, 2, FALSE)</f>
        <v>Office Supplies</v>
      </c>
      <c r="P289" s="7" t="s">
        <v>334</v>
      </c>
      <c r="Q289" s="7">
        <v>8632.0</v>
      </c>
      <c r="R289" s="17">
        <v>651.21</v>
      </c>
      <c r="S289" s="17">
        <v>524.96</v>
      </c>
      <c r="U289" s="18">
        <f t="shared" si="6"/>
        <v>5621244.72</v>
      </c>
      <c r="V289" s="18">
        <f t="shared" si="7"/>
        <v>4531454.72</v>
      </c>
      <c r="W289" s="19">
        <f t="shared" si="8"/>
        <v>1089790</v>
      </c>
    </row>
    <row r="290">
      <c r="A290" s="7">
        <v>2.90317428E8</v>
      </c>
      <c r="B290" s="12">
        <v>42421.0</v>
      </c>
      <c r="C290" s="7">
        <f t="shared" si="1"/>
        <v>2016</v>
      </c>
      <c r="D290" s="14" t="str">
        <f t="shared" si="2"/>
        <v>02 - Feb</v>
      </c>
      <c r="E290" s="15" t="str">
        <f t="shared" si="3"/>
        <v>Sun</v>
      </c>
      <c r="F290" s="15">
        <f t="shared" si="4"/>
        <v>7</v>
      </c>
      <c r="G290" s="16">
        <v>42462.0</v>
      </c>
      <c r="H290" s="14">
        <f t="shared" si="5"/>
        <v>41</v>
      </c>
      <c r="I290" s="7" t="s">
        <v>232</v>
      </c>
      <c r="J290" s="7" t="s">
        <v>406</v>
      </c>
      <c r="K290" s="7" t="str">
        <f>VLOOKUP(J290,countries,2,false)</f>
        <v>Italy</v>
      </c>
      <c r="L290" s="7" t="str">
        <f>VLOOKUP($J290,countries,5,false)</f>
        <v>Europe</v>
      </c>
      <c r="M290" s="7" t="str">
        <f>VLOOKUP($J290,countries,6,false)</f>
        <v>Southern Europe</v>
      </c>
      <c r="N290" s="7">
        <v>8875.0</v>
      </c>
      <c r="O290" s="7" t="str">
        <f>VLOOKUP(N290, products, 2, FALSE)</f>
        <v>Meat</v>
      </c>
      <c r="P290" s="7" t="s">
        <v>264</v>
      </c>
      <c r="Q290" s="7">
        <v>233.0</v>
      </c>
      <c r="R290" s="17">
        <v>421.89</v>
      </c>
      <c r="S290" s="17">
        <v>364.69</v>
      </c>
      <c r="U290" s="18">
        <f t="shared" si="6"/>
        <v>98300.37</v>
      </c>
      <c r="V290" s="18">
        <f t="shared" si="7"/>
        <v>84972.77</v>
      </c>
      <c r="W290" s="19">
        <f t="shared" si="8"/>
        <v>13327.6</v>
      </c>
    </row>
    <row r="291">
      <c r="A291" s="7">
        <v>2.91160714E8</v>
      </c>
      <c r="B291" s="12">
        <v>41009.0</v>
      </c>
      <c r="C291" s="7">
        <f t="shared" si="1"/>
        <v>2012</v>
      </c>
      <c r="D291" s="14" t="str">
        <f t="shared" si="2"/>
        <v>04 - Apr</v>
      </c>
      <c r="E291" s="15" t="str">
        <f t="shared" si="3"/>
        <v>Tue</v>
      </c>
      <c r="F291" s="15">
        <f t="shared" si="4"/>
        <v>2</v>
      </c>
      <c r="G291" s="16">
        <v>41055.0</v>
      </c>
      <c r="H291" s="14">
        <f t="shared" si="5"/>
        <v>46</v>
      </c>
      <c r="I291" s="7" t="s">
        <v>399</v>
      </c>
      <c r="J291" s="7" t="s">
        <v>67</v>
      </c>
      <c r="K291" s="7" t="str">
        <f>VLOOKUP(J291,countries,2,false)</f>
        <v>Andorra</v>
      </c>
      <c r="L291" s="7" t="str">
        <f>VLOOKUP($J291,countries,5,false)</f>
        <v>Europe</v>
      </c>
      <c r="M291" s="7" t="str">
        <f>VLOOKUP($J291,countries,6,false)</f>
        <v>Southern Europe</v>
      </c>
      <c r="N291" s="7">
        <v>8293.0</v>
      </c>
      <c r="O291" s="7" t="str">
        <f>VLOOKUP(N291, products, 2, FALSE)</f>
        <v>Cosmetics</v>
      </c>
      <c r="P291" s="7" t="s">
        <v>264</v>
      </c>
      <c r="Q291" s="7">
        <v>9780.0</v>
      </c>
      <c r="R291" s="17">
        <v>437.2</v>
      </c>
      <c r="S291" s="17">
        <v>263.33</v>
      </c>
      <c r="U291" s="18">
        <f t="shared" si="6"/>
        <v>4275816</v>
      </c>
      <c r="V291" s="18">
        <f t="shared" si="7"/>
        <v>2575367.4</v>
      </c>
      <c r="W291" s="19">
        <f t="shared" si="8"/>
        <v>1700448.6</v>
      </c>
    </row>
    <row r="292">
      <c r="A292" s="7">
        <v>2.91179597E8</v>
      </c>
      <c r="B292" s="12">
        <v>42779.0</v>
      </c>
      <c r="C292" s="7">
        <f t="shared" si="1"/>
        <v>2017</v>
      </c>
      <c r="D292" s="14" t="str">
        <f t="shared" si="2"/>
        <v>02 - Feb</v>
      </c>
      <c r="E292" s="15" t="str">
        <f t="shared" si="3"/>
        <v>Mon</v>
      </c>
      <c r="F292" s="15">
        <f t="shared" si="4"/>
        <v>1</v>
      </c>
      <c r="G292" s="16">
        <v>42786.0</v>
      </c>
      <c r="H292" s="14">
        <f t="shared" si="5"/>
        <v>7</v>
      </c>
      <c r="I292" s="7" t="s">
        <v>399</v>
      </c>
      <c r="J292" s="7" t="s">
        <v>462</v>
      </c>
      <c r="K292" s="7" t="str">
        <f>VLOOKUP(J292,countries,2,false)</f>
        <v>Liechtenstein</v>
      </c>
      <c r="L292" s="7" t="str">
        <f>VLOOKUP($J292,countries,5,false)</f>
        <v>Europe</v>
      </c>
      <c r="M292" s="7" t="str">
        <f>VLOOKUP($J292,countries,6,false)</f>
        <v>Western Europe</v>
      </c>
      <c r="N292" s="7">
        <v>7940.0</v>
      </c>
      <c r="O292" s="7" t="str">
        <f>VLOOKUP(N292, products, 2, FALSE)</f>
        <v>Household</v>
      </c>
      <c r="P292" s="7" t="s">
        <v>264</v>
      </c>
      <c r="Q292" s="7">
        <v>5368.0</v>
      </c>
      <c r="R292" s="17">
        <v>668.27</v>
      </c>
      <c r="S292" s="17">
        <v>502.54</v>
      </c>
      <c r="U292" s="18">
        <f t="shared" si="6"/>
        <v>3587273.36</v>
      </c>
      <c r="V292" s="18">
        <f t="shared" si="7"/>
        <v>2697634.72</v>
      </c>
      <c r="W292" s="19">
        <f t="shared" si="8"/>
        <v>889638.64</v>
      </c>
    </row>
    <row r="293">
      <c r="A293" s="7">
        <v>2.91305768E8</v>
      </c>
      <c r="B293" s="12">
        <v>41279.0</v>
      </c>
      <c r="C293" s="7">
        <f t="shared" si="1"/>
        <v>2013</v>
      </c>
      <c r="D293" s="14" t="str">
        <f t="shared" si="2"/>
        <v>01 - Jan</v>
      </c>
      <c r="E293" s="15" t="str">
        <f t="shared" si="3"/>
        <v>Sat</v>
      </c>
      <c r="F293" s="15">
        <f t="shared" si="4"/>
        <v>6</v>
      </c>
      <c r="G293" s="16">
        <v>41280.0</v>
      </c>
      <c r="H293" s="14">
        <f t="shared" si="5"/>
        <v>1</v>
      </c>
      <c r="I293" s="7" t="s">
        <v>399</v>
      </c>
      <c r="J293" s="7" t="s">
        <v>146</v>
      </c>
      <c r="K293" s="7" t="str">
        <f>VLOOKUP(J293,countries,2,false)</f>
        <v>Bosnia and Herzegovina</v>
      </c>
      <c r="L293" s="7" t="str">
        <f>VLOOKUP($J293,countries,5,false)</f>
        <v>Europe</v>
      </c>
      <c r="M293" s="7" t="str">
        <f>VLOOKUP($J293,countries,6,false)</f>
        <v>Southern Europe</v>
      </c>
      <c r="N293" s="7">
        <v>4594.0</v>
      </c>
      <c r="O293" s="7" t="str">
        <f>VLOOKUP(N293, products, 2, FALSE)</f>
        <v>Fruits</v>
      </c>
      <c r="P293" s="7" t="s">
        <v>264</v>
      </c>
      <c r="Q293" s="7">
        <v>2705.0</v>
      </c>
      <c r="R293" s="17">
        <v>9.33</v>
      </c>
      <c r="S293" s="17">
        <v>6.92</v>
      </c>
      <c r="U293" s="18">
        <f t="shared" si="6"/>
        <v>25237.65</v>
      </c>
      <c r="V293" s="18">
        <f t="shared" si="7"/>
        <v>18718.6</v>
      </c>
      <c r="W293" s="19">
        <f t="shared" si="8"/>
        <v>6519.05</v>
      </c>
    </row>
    <row r="294">
      <c r="A294" s="7">
        <v>2.91531503E8</v>
      </c>
      <c r="B294" s="12">
        <v>41570.0</v>
      </c>
      <c r="C294" s="7">
        <f t="shared" si="1"/>
        <v>2013</v>
      </c>
      <c r="D294" s="14" t="str">
        <f t="shared" si="2"/>
        <v>10 - Oct</v>
      </c>
      <c r="E294" s="15" t="str">
        <f t="shared" si="3"/>
        <v>Wed</v>
      </c>
      <c r="F294" s="15">
        <f t="shared" si="4"/>
        <v>3</v>
      </c>
      <c r="G294" s="16">
        <v>41573.0</v>
      </c>
      <c r="H294" s="14">
        <f t="shared" si="5"/>
        <v>3</v>
      </c>
      <c r="I294" s="7" t="s">
        <v>364</v>
      </c>
      <c r="J294" s="7" t="s">
        <v>435</v>
      </c>
      <c r="K294" s="7" t="str">
        <f>VLOOKUP(J294,countries,2,false)</f>
        <v>Slovakia</v>
      </c>
      <c r="L294" s="7" t="str">
        <f>VLOOKUP($J294,countries,5,false)</f>
        <v>Europe</v>
      </c>
      <c r="M294" s="7" t="str">
        <f>VLOOKUP($J294,countries,6,false)</f>
        <v>Eastern Europe</v>
      </c>
      <c r="N294" s="7">
        <v>1270.0</v>
      </c>
      <c r="O294" s="7" t="str">
        <f>VLOOKUP(N294, products, 2, FALSE)</f>
        <v>Beverages</v>
      </c>
      <c r="P294" s="7" t="s">
        <v>264</v>
      </c>
      <c r="Q294" s="7">
        <v>9505.0</v>
      </c>
      <c r="R294" s="17">
        <v>47.45</v>
      </c>
      <c r="S294" s="17">
        <v>31.79</v>
      </c>
      <c r="U294" s="18">
        <f t="shared" si="6"/>
        <v>451012.25</v>
      </c>
      <c r="V294" s="18">
        <f t="shared" si="7"/>
        <v>302163.95</v>
      </c>
      <c r="W294" s="19">
        <f t="shared" si="8"/>
        <v>148848.3</v>
      </c>
    </row>
    <row r="295">
      <c r="A295" s="7">
        <v>2.91611325E8</v>
      </c>
      <c r="B295" s="12">
        <v>42767.0</v>
      </c>
      <c r="C295" s="7">
        <f t="shared" si="1"/>
        <v>2017</v>
      </c>
      <c r="D295" s="14" t="str">
        <f t="shared" si="2"/>
        <v>02 - Feb</v>
      </c>
      <c r="E295" s="15" t="str">
        <f t="shared" si="3"/>
        <v>Wed</v>
      </c>
      <c r="F295" s="15">
        <f t="shared" si="4"/>
        <v>3</v>
      </c>
      <c r="G295" s="16">
        <v>42776.0</v>
      </c>
      <c r="H295" s="14">
        <f t="shared" si="5"/>
        <v>9</v>
      </c>
      <c r="I295" s="7" t="s">
        <v>232</v>
      </c>
      <c r="J295" s="7" t="s">
        <v>378</v>
      </c>
      <c r="K295" s="7" t="str">
        <f>VLOOKUP(J295,countries,2,false)</f>
        <v>Hungary</v>
      </c>
      <c r="L295" s="7" t="str">
        <f>VLOOKUP($J295,countries,5,false)</f>
        <v>Europe</v>
      </c>
      <c r="M295" s="7" t="str">
        <f>VLOOKUP($J295,countries,6,false)</f>
        <v>Eastern Europe</v>
      </c>
      <c r="N295" s="7">
        <v>8969.0</v>
      </c>
      <c r="O295" s="7" t="str">
        <f>VLOOKUP(N295, products, 2, FALSE)</f>
        <v>Snacks</v>
      </c>
      <c r="P295" s="7" t="s">
        <v>334</v>
      </c>
      <c r="Q295" s="7">
        <v>3126.0</v>
      </c>
      <c r="R295" s="17">
        <v>152.58</v>
      </c>
      <c r="S295" s="17">
        <v>97.44</v>
      </c>
      <c r="U295" s="18">
        <f t="shared" si="6"/>
        <v>476965.08</v>
      </c>
      <c r="V295" s="18">
        <f t="shared" si="7"/>
        <v>304597.44</v>
      </c>
      <c r="W295" s="19">
        <f t="shared" si="8"/>
        <v>172367.64</v>
      </c>
    </row>
    <row r="296">
      <c r="A296" s="7">
        <v>2.91995418E8</v>
      </c>
      <c r="B296" s="12">
        <v>40300.0</v>
      </c>
      <c r="C296" s="7">
        <f t="shared" si="1"/>
        <v>2010</v>
      </c>
      <c r="D296" s="14" t="str">
        <f t="shared" si="2"/>
        <v>05 - May</v>
      </c>
      <c r="E296" s="15" t="str">
        <f t="shared" si="3"/>
        <v>Sun</v>
      </c>
      <c r="F296" s="15">
        <f t="shared" si="4"/>
        <v>7</v>
      </c>
      <c r="G296" s="16">
        <v>40335.0</v>
      </c>
      <c r="H296" s="14">
        <f t="shared" si="5"/>
        <v>35</v>
      </c>
      <c r="I296" s="7" t="s">
        <v>364</v>
      </c>
      <c r="J296" s="7" t="s">
        <v>348</v>
      </c>
      <c r="K296" s="7" t="s">
        <v>348</v>
      </c>
      <c r="L296" s="7" t="s">
        <v>348</v>
      </c>
      <c r="M296" s="7" t="s">
        <v>348</v>
      </c>
      <c r="N296" s="7">
        <v>4594.0</v>
      </c>
      <c r="O296" s="7" t="str">
        <f>VLOOKUP(N296, products, 2, FALSE)</f>
        <v>Fruits</v>
      </c>
      <c r="P296" s="7" t="s">
        <v>264</v>
      </c>
      <c r="Q296" s="7">
        <v>6788.0</v>
      </c>
      <c r="R296" s="17">
        <v>9.33</v>
      </c>
      <c r="S296" s="17">
        <v>6.92</v>
      </c>
      <c r="U296" s="18">
        <f t="shared" si="6"/>
        <v>63332.04</v>
      </c>
      <c r="V296" s="18">
        <f t="shared" si="7"/>
        <v>46972.96</v>
      </c>
      <c r="W296" s="19">
        <f t="shared" si="8"/>
        <v>16359.08</v>
      </c>
    </row>
    <row r="297">
      <c r="A297" s="7">
        <v>2.92424571E8</v>
      </c>
      <c r="B297" s="12">
        <v>41053.0</v>
      </c>
      <c r="C297" s="7">
        <f t="shared" si="1"/>
        <v>2012</v>
      </c>
      <c r="D297" s="14" t="str">
        <f t="shared" si="2"/>
        <v>05 - May</v>
      </c>
      <c r="E297" s="15" t="str">
        <f t="shared" si="3"/>
        <v>Thu</v>
      </c>
      <c r="F297" s="15">
        <f t="shared" si="4"/>
        <v>4</v>
      </c>
      <c r="G297" s="16">
        <v>41065.0</v>
      </c>
      <c r="H297" s="14">
        <f t="shared" si="5"/>
        <v>12</v>
      </c>
      <c r="I297" s="7" t="s">
        <v>305</v>
      </c>
      <c r="J297" s="7" t="s">
        <v>348</v>
      </c>
      <c r="K297" s="7" t="s">
        <v>348</v>
      </c>
      <c r="L297" s="7" t="s">
        <v>348</v>
      </c>
      <c r="M297" s="7" t="s">
        <v>348</v>
      </c>
      <c r="N297" s="7">
        <v>8293.0</v>
      </c>
      <c r="O297" s="7" t="str">
        <f>VLOOKUP(N297, products, 2, FALSE)</f>
        <v>Cosmetics</v>
      </c>
      <c r="P297" s="7" t="s">
        <v>334</v>
      </c>
      <c r="Q297" s="7">
        <v>3784.0</v>
      </c>
      <c r="R297" s="17">
        <v>437.2</v>
      </c>
      <c r="S297" s="17">
        <v>263.33</v>
      </c>
      <c r="U297" s="18">
        <f t="shared" si="6"/>
        <v>1654364.8</v>
      </c>
      <c r="V297" s="18">
        <f t="shared" si="7"/>
        <v>996440.72</v>
      </c>
      <c r="W297" s="19">
        <f t="shared" si="8"/>
        <v>657924.08</v>
      </c>
    </row>
    <row r="298">
      <c r="A298" s="7">
        <v>2.93178594E8</v>
      </c>
      <c r="B298" s="12">
        <v>40325.0</v>
      </c>
      <c r="C298" s="7">
        <f t="shared" si="1"/>
        <v>2010</v>
      </c>
      <c r="D298" s="14" t="str">
        <f t="shared" si="2"/>
        <v>05 - May</v>
      </c>
      <c r="E298" s="15" t="str">
        <f t="shared" si="3"/>
        <v>Thu</v>
      </c>
      <c r="F298" s="15">
        <f t="shared" si="4"/>
        <v>4</v>
      </c>
      <c r="G298" s="16">
        <v>40330.0</v>
      </c>
      <c r="H298" s="14">
        <f t="shared" si="5"/>
        <v>5</v>
      </c>
      <c r="I298" s="7" t="s">
        <v>305</v>
      </c>
      <c r="J298" s="7" t="s">
        <v>656</v>
      </c>
      <c r="K298" s="7" t="str">
        <f>VLOOKUP(J298,countries,2,false)</f>
        <v>San Marino</v>
      </c>
      <c r="L298" s="7" t="str">
        <f>VLOOKUP($J298,countries,5,false)</f>
        <v>Europe</v>
      </c>
      <c r="M298" s="7" t="str">
        <f>VLOOKUP($J298,countries,6,false)</f>
        <v>Southern Europe</v>
      </c>
      <c r="N298" s="7">
        <v>3127.0</v>
      </c>
      <c r="O298" s="7" t="str">
        <f>VLOOKUP(N298, products, 2, FALSE)</f>
        <v>Personal Care</v>
      </c>
      <c r="P298" s="7" t="s">
        <v>264</v>
      </c>
      <c r="Q298" s="7">
        <v>6916.0</v>
      </c>
      <c r="R298" s="17">
        <v>81.73</v>
      </c>
      <c r="S298" s="17">
        <v>56.67</v>
      </c>
      <c r="U298" s="18">
        <f t="shared" si="6"/>
        <v>565244.68</v>
      </c>
      <c r="V298" s="18">
        <f t="shared" si="7"/>
        <v>391929.72</v>
      </c>
      <c r="W298" s="19">
        <f t="shared" si="8"/>
        <v>173314.96</v>
      </c>
    </row>
    <row r="299">
      <c r="A299" s="7">
        <v>2.95168149E8</v>
      </c>
      <c r="B299" s="12">
        <v>42518.0</v>
      </c>
      <c r="C299" s="7">
        <f t="shared" si="1"/>
        <v>2016</v>
      </c>
      <c r="D299" s="14" t="str">
        <f t="shared" si="2"/>
        <v>05 - May</v>
      </c>
      <c r="E299" s="15" t="str">
        <f t="shared" si="3"/>
        <v>Sat</v>
      </c>
      <c r="F299" s="15">
        <f t="shared" si="4"/>
        <v>6</v>
      </c>
      <c r="G299" s="16">
        <v>42567.0</v>
      </c>
      <c r="H299" s="14">
        <f t="shared" si="5"/>
        <v>49</v>
      </c>
      <c r="I299" s="7" t="s">
        <v>364</v>
      </c>
      <c r="J299" s="7" t="s">
        <v>685</v>
      </c>
      <c r="K299" s="7" t="str">
        <f>VLOOKUP(J299,countries,2,false)</f>
        <v>Slovenia</v>
      </c>
      <c r="L299" s="7" t="str">
        <f>VLOOKUP($J299,countries,5,false)</f>
        <v>Europe</v>
      </c>
      <c r="M299" s="7" t="str">
        <f>VLOOKUP($J299,countries,6,false)</f>
        <v>Southern Europe</v>
      </c>
      <c r="N299" s="7">
        <v>4594.0</v>
      </c>
      <c r="O299" s="7" t="str">
        <f>VLOOKUP(N299, products, 2, FALSE)</f>
        <v>Fruits</v>
      </c>
      <c r="P299" s="7" t="s">
        <v>334</v>
      </c>
      <c r="Q299" s="7">
        <v>5669.0</v>
      </c>
      <c r="R299" s="17">
        <v>9.33</v>
      </c>
      <c r="S299" s="17">
        <v>6.92</v>
      </c>
      <c r="U299" s="18">
        <f t="shared" si="6"/>
        <v>52891.77</v>
      </c>
      <c r="V299" s="18">
        <f t="shared" si="7"/>
        <v>39229.48</v>
      </c>
      <c r="W299" s="19">
        <f t="shared" si="8"/>
        <v>13662.29</v>
      </c>
    </row>
    <row r="300">
      <c r="A300" s="7">
        <v>2.95787847E8</v>
      </c>
      <c r="B300" s="12">
        <v>42022.0</v>
      </c>
      <c r="C300" s="7">
        <f t="shared" si="1"/>
        <v>2015</v>
      </c>
      <c r="D300" s="14" t="str">
        <f t="shared" si="2"/>
        <v>01 - Jan</v>
      </c>
      <c r="E300" s="15" t="str">
        <f t="shared" si="3"/>
        <v>Sun</v>
      </c>
      <c r="F300" s="15">
        <f t="shared" si="4"/>
        <v>7</v>
      </c>
      <c r="G300" s="16">
        <v>42051.0</v>
      </c>
      <c r="H300" s="14">
        <f t="shared" si="5"/>
        <v>29</v>
      </c>
      <c r="I300" s="7" t="s">
        <v>399</v>
      </c>
      <c r="J300" s="7" t="s">
        <v>462</v>
      </c>
      <c r="K300" s="7" t="str">
        <f>VLOOKUP(J300,countries,2,false)</f>
        <v>Liechtenstein</v>
      </c>
      <c r="L300" s="7" t="str">
        <f>VLOOKUP($J300,countries,5,false)</f>
        <v>Europe</v>
      </c>
      <c r="M300" s="7" t="str">
        <f>VLOOKUP($J300,countries,6,false)</f>
        <v>Western Europe</v>
      </c>
      <c r="N300" s="7">
        <v>7331.0</v>
      </c>
      <c r="O300" s="7" t="str">
        <f>VLOOKUP(N300, products, 2, FALSE)</f>
        <v>Baby Food</v>
      </c>
      <c r="P300" s="7" t="s">
        <v>264</v>
      </c>
      <c r="Q300" s="7">
        <v>9052.0</v>
      </c>
      <c r="R300" s="17">
        <v>255.28</v>
      </c>
      <c r="S300" s="17">
        <v>159.42</v>
      </c>
      <c r="U300" s="18">
        <f t="shared" si="6"/>
        <v>2310794.56</v>
      </c>
      <c r="V300" s="18">
        <f t="shared" si="7"/>
        <v>1443069.84</v>
      </c>
      <c r="W300" s="19">
        <f t="shared" si="8"/>
        <v>867724.72</v>
      </c>
    </row>
    <row r="301">
      <c r="A301" s="7">
        <v>2.96073234E8</v>
      </c>
      <c r="B301" s="12">
        <v>42121.0</v>
      </c>
      <c r="C301" s="7">
        <f t="shared" si="1"/>
        <v>2015</v>
      </c>
      <c r="D301" s="14" t="str">
        <f t="shared" si="2"/>
        <v>04 - Apr</v>
      </c>
      <c r="E301" s="15" t="str">
        <f t="shared" si="3"/>
        <v>Mon</v>
      </c>
      <c r="F301" s="15">
        <f t="shared" si="4"/>
        <v>1</v>
      </c>
      <c r="G301" s="16">
        <v>42159.0</v>
      </c>
      <c r="H301" s="14">
        <f t="shared" si="5"/>
        <v>38</v>
      </c>
      <c r="I301" s="7" t="s">
        <v>305</v>
      </c>
      <c r="J301" s="7" t="s">
        <v>489</v>
      </c>
      <c r="K301" s="7" t="str">
        <f>VLOOKUP(J301,countries,2,false)</f>
        <v>Malta</v>
      </c>
      <c r="L301" s="7" t="str">
        <f>VLOOKUP($J301,countries,5,false)</f>
        <v>Europe</v>
      </c>
      <c r="M301" s="7" t="str">
        <f>VLOOKUP($J301,countries,6,false)</f>
        <v>Southern Europe</v>
      </c>
      <c r="N301" s="7">
        <v>7331.0</v>
      </c>
      <c r="O301" s="7" t="str">
        <f>VLOOKUP(N301, products, 2, FALSE)</f>
        <v>Baby Food</v>
      </c>
      <c r="P301" s="7" t="s">
        <v>334</v>
      </c>
      <c r="Q301" s="7">
        <v>3504.0</v>
      </c>
      <c r="R301" s="17">
        <v>255.28</v>
      </c>
      <c r="S301" s="17">
        <v>159.42</v>
      </c>
      <c r="U301" s="18">
        <f t="shared" si="6"/>
        <v>894501.12</v>
      </c>
      <c r="V301" s="18">
        <f t="shared" si="7"/>
        <v>558607.68</v>
      </c>
      <c r="W301" s="19">
        <f t="shared" si="8"/>
        <v>335893.44</v>
      </c>
    </row>
    <row r="302">
      <c r="A302" s="7">
        <v>2.98228013E8</v>
      </c>
      <c r="B302" s="12">
        <v>40441.0</v>
      </c>
      <c r="C302" s="7">
        <f t="shared" si="1"/>
        <v>2010</v>
      </c>
      <c r="D302" s="14" t="str">
        <f t="shared" si="2"/>
        <v>09 - Sep</v>
      </c>
      <c r="E302" s="15" t="str">
        <f t="shared" si="3"/>
        <v>Mon</v>
      </c>
      <c r="F302" s="15">
        <f t="shared" si="4"/>
        <v>1</v>
      </c>
      <c r="G302" s="16">
        <v>40476.0</v>
      </c>
      <c r="H302" s="14">
        <f t="shared" si="5"/>
        <v>35</v>
      </c>
      <c r="I302" s="7" t="s">
        <v>399</v>
      </c>
      <c r="J302" s="7" t="s">
        <v>717</v>
      </c>
      <c r="K302" s="7" t="str">
        <f>VLOOKUP(J302,countries,2,false)</f>
        <v>Sweden</v>
      </c>
      <c r="L302" s="7" t="str">
        <f>VLOOKUP($J302,countries,5,false)</f>
        <v>Europe</v>
      </c>
      <c r="M302" s="7" t="str">
        <f>VLOOKUP($J302,countries,6,false)</f>
        <v>Northern Europe</v>
      </c>
      <c r="N302" s="7">
        <v>5988.0</v>
      </c>
      <c r="O302" s="7" t="str">
        <f>VLOOKUP(N302, products, 2, FALSE)</f>
        <v>Vegetables</v>
      </c>
      <c r="P302" s="7" t="s">
        <v>264</v>
      </c>
      <c r="Q302" s="7">
        <v>1151.0</v>
      </c>
      <c r="R302" s="17">
        <v>154.06</v>
      </c>
      <c r="S302" s="17">
        <v>90.93</v>
      </c>
      <c r="U302" s="18">
        <f t="shared" si="6"/>
        <v>177323.06</v>
      </c>
      <c r="V302" s="18">
        <f t="shared" si="7"/>
        <v>104660.43</v>
      </c>
      <c r="W302" s="19">
        <f t="shared" si="8"/>
        <v>72662.63</v>
      </c>
    </row>
    <row r="303">
      <c r="A303" s="7">
        <v>2.98978602E8</v>
      </c>
      <c r="B303" s="12">
        <v>41655.0</v>
      </c>
      <c r="C303" s="7">
        <f t="shared" si="1"/>
        <v>2014</v>
      </c>
      <c r="D303" s="14" t="str">
        <f t="shared" si="2"/>
        <v>01 - Jan</v>
      </c>
      <c r="E303" s="15" t="str">
        <f t="shared" si="3"/>
        <v>Thu</v>
      </c>
      <c r="F303" s="15">
        <f t="shared" si="4"/>
        <v>4</v>
      </c>
      <c r="G303" s="16">
        <v>41667.0</v>
      </c>
      <c r="H303" s="14">
        <f t="shared" si="5"/>
        <v>12</v>
      </c>
      <c r="I303" s="7" t="s">
        <v>232</v>
      </c>
      <c r="J303" s="7" t="s">
        <v>296</v>
      </c>
      <c r="K303" s="7" t="str">
        <f>VLOOKUP(J303,countries,2,false)</f>
        <v>France</v>
      </c>
      <c r="L303" s="7" t="str">
        <f>VLOOKUP($J303,countries,5,false)</f>
        <v>Europe</v>
      </c>
      <c r="M303" s="7" t="str">
        <f>VLOOKUP($J303,countries,6,false)</f>
        <v>Western Europe</v>
      </c>
      <c r="N303" s="7">
        <v>2455.0</v>
      </c>
      <c r="O303" s="7" t="str">
        <f>VLOOKUP(N303, products, 2, FALSE)</f>
        <v>Clothes</v>
      </c>
      <c r="P303" s="7" t="s">
        <v>334</v>
      </c>
      <c r="Q303" s="7">
        <v>3267.0</v>
      </c>
      <c r="R303" s="17">
        <v>109.28</v>
      </c>
      <c r="S303" s="17">
        <v>35.84</v>
      </c>
      <c r="U303" s="18">
        <f t="shared" si="6"/>
        <v>357017.76</v>
      </c>
      <c r="V303" s="18">
        <f t="shared" si="7"/>
        <v>117089.28</v>
      </c>
      <c r="W303" s="19">
        <f t="shared" si="8"/>
        <v>239928.48</v>
      </c>
    </row>
    <row r="304">
      <c r="A304" s="7">
        <v>2.99335229E8</v>
      </c>
      <c r="B304" s="12">
        <v>40889.0</v>
      </c>
      <c r="C304" s="7">
        <f t="shared" si="1"/>
        <v>2011</v>
      </c>
      <c r="D304" s="14" t="str">
        <f t="shared" si="2"/>
        <v>12 - Dec</v>
      </c>
      <c r="E304" s="15" t="str">
        <f t="shared" si="3"/>
        <v>Mon</v>
      </c>
      <c r="F304" s="15">
        <f t="shared" si="4"/>
        <v>1</v>
      </c>
      <c r="G304" s="16">
        <v>40901.0</v>
      </c>
      <c r="H304" s="14">
        <f t="shared" si="5"/>
        <v>12</v>
      </c>
      <c r="I304" s="7" t="s">
        <v>232</v>
      </c>
      <c r="J304" s="7" t="s">
        <v>623</v>
      </c>
      <c r="K304" s="7" t="str">
        <f>VLOOKUP(J304,countries,2,false)</f>
        <v>Romania</v>
      </c>
      <c r="L304" s="7" t="str">
        <f>VLOOKUP($J304,countries,5,false)</f>
        <v>Europe</v>
      </c>
      <c r="M304" s="7" t="str">
        <f>VLOOKUP($J304,countries,6,false)</f>
        <v>Eastern Europe</v>
      </c>
      <c r="N304" s="7">
        <v>8293.0</v>
      </c>
      <c r="O304" s="7" t="str">
        <f>VLOOKUP(N304, products, 2, FALSE)</f>
        <v>Cosmetics</v>
      </c>
      <c r="P304" s="7" t="s">
        <v>334</v>
      </c>
      <c r="Q304" s="7">
        <v>8801.0</v>
      </c>
      <c r="R304" s="17">
        <v>437.2</v>
      </c>
      <c r="S304" s="17">
        <v>263.33</v>
      </c>
      <c r="U304" s="18">
        <f t="shared" si="6"/>
        <v>3847797.2</v>
      </c>
      <c r="V304" s="18">
        <f t="shared" si="7"/>
        <v>2317567.33</v>
      </c>
      <c r="W304" s="19">
        <f t="shared" si="8"/>
        <v>1530229.87</v>
      </c>
    </row>
    <row r="305">
      <c r="A305" s="7">
        <v>2.99739491E8</v>
      </c>
      <c r="B305" s="12">
        <v>42576.0</v>
      </c>
      <c r="C305" s="7">
        <f t="shared" si="1"/>
        <v>2016</v>
      </c>
      <c r="D305" s="14" t="str">
        <f t="shared" si="2"/>
        <v>07 - Jul</v>
      </c>
      <c r="E305" s="15" t="str">
        <f t="shared" si="3"/>
        <v>Mon</v>
      </c>
      <c r="F305" s="15">
        <f t="shared" si="4"/>
        <v>1</v>
      </c>
      <c r="G305" s="16">
        <v>42614.0</v>
      </c>
      <c r="H305" s="14">
        <f t="shared" si="5"/>
        <v>38</v>
      </c>
      <c r="I305" s="7" t="s">
        <v>232</v>
      </c>
      <c r="J305" s="7" t="s">
        <v>348</v>
      </c>
      <c r="K305" s="7" t="s">
        <v>348</v>
      </c>
      <c r="L305" s="7" t="s">
        <v>348</v>
      </c>
      <c r="M305" s="7" t="s">
        <v>348</v>
      </c>
      <c r="N305" s="7">
        <v>4594.0</v>
      </c>
      <c r="O305" s="7" t="str">
        <f>VLOOKUP(N305, products, 2, FALSE)</f>
        <v>Fruits</v>
      </c>
      <c r="P305" s="7" t="s">
        <v>334</v>
      </c>
      <c r="Q305" s="7">
        <v>8431.0</v>
      </c>
      <c r="R305" s="17">
        <v>9.33</v>
      </c>
      <c r="S305" s="17">
        <v>6.92</v>
      </c>
      <c r="U305" s="18">
        <f t="shared" si="6"/>
        <v>78661.23</v>
      </c>
      <c r="V305" s="18">
        <f t="shared" si="7"/>
        <v>58342.52</v>
      </c>
      <c r="W305" s="19">
        <f t="shared" si="8"/>
        <v>20318.71</v>
      </c>
    </row>
    <row r="306">
      <c r="A306" s="7">
        <v>3.02015721E8</v>
      </c>
      <c r="B306" s="12">
        <v>41720.0</v>
      </c>
      <c r="C306" s="7">
        <f t="shared" si="1"/>
        <v>2014</v>
      </c>
      <c r="D306" s="14" t="str">
        <f t="shared" si="2"/>
        <v>03 - Mar</v>
      </c>
      <c r="E306" s="15" t="str">
        <f t="shared" si="3"/>
        <v>Sat</v>
      </c>
      <c r="F306" s="15">
        <f t="shared" si="4"/>
        <v>6</v>
      </c>
      <c r="G306" s="16">
        <v>41746.0</v>
      </c>
      <c r="H306" s="14">
        <f t="shared" si="5"/>
        <v>26</v>
      </c>
      <c r="I306" s="7" t="s">
        <v>399</v>
      </c>
      <c r="J306" s="7" t="s">
        <v>306</v>
      </c>
      <c r="K306" s="7" t="str">
        <f>VLOOKUP(J306,countries,2,false)</f>
        <v>Serbia</v>
      </c>
      <c r="L306" s="7" t="str">
        <f>VLOOKUP($J306,countries,5,false)</f>
        <v>Europe</v>
      </c>
      <c r="M306" s="7" t="str">
        <f>VLOOKUP($J306,countries,6,false)</f>
        <v>Southern Europe</v>
      </c>
      <c r="N306" s="7">
        <v>7331.0</v>
      </c>
      <c r="O306" s="7" t="str">
        <f>VLOOKUP(N306, products, 2, FALSE)</f>
        <v>Baby Food</v>
      </c>
      <c r="P306" s="7" t="s">
        <v>264</v>
      </c>
      <c r="Q306" s="7">
        <v>2018.0</v>
      </c>
      <c r="R306" s="17">
        <v>255.28</v>
      </c>
      <c r="S306" s="17">
        <v>159.42</v>
      </c>
      <c r="U306" s="18">
        <f t="shared" si="6"/>
        <v>515155.04</v>
      </c>
      <c r="V306" s="18">
        <f t="shared" si="7"/>
        <v>321709.56</v>
      </c>
      <c r="W306" s="19">
        <f t="shared" si="8"/>
        <v>193445.48</v>
      </c>
    </row>
    <row r="307">
      <c r="A307" s="7">
        <v>3.02442729E8</v>
      </c>
      <c r="B307" s="12">
        <v>41266.0</v>
      </c>
      <c r="C307" s="7">
        <f t="shared" si="1"/>
        <v>2012</v>
      </c>
      <c r="D307" s="14" t="str">
        <f t="shared" si="2"/>
        <v>12 - Dec</v>
      </c>
      <c r="E307" s="15" t="str">
        <f t="shared" si="3"/>
        <v>Sun</v>
      </c>
      <c r="F307" s="15">
        <f t="shared" si="4"/>
        <v>7</v>
      </c>
      <c r="G307" s="16">
        <v>41291.0</v>
      </c>
      <c r="H307" s="14">
        <f t="shared" si="5"/>
        <v>25</v>
      </c>
      <c r="I307" s="7" t="s">
        <v>305</v>
      </c>
      <c r="J307" s="7" t="s">
        <v>489</v>
      </c>
      <c r="K307" s="7" t="str">
        <f>VLOOKUP(J307,countries,2,false)</f>
        <v>Malta</v>
      </c>
      <c r="L307" s="7" t="str">
        <f>VLOOKUP($J307,countries,5,false)</f>
        <v>Europe</v>
      </c>
      <c r="M307" s="7" t="str">
        <f>VLOOKUP($J307,countries,6,false)</f>
        <v>Southern Europe</v>
      </c>
      <c r="N307" s="7">
        <v>7331.0</v>
      </c>
      <c r="O307" s="7" t="str">
        <f>VLOOKUP(N307, products, 2, FALSE)</f>
        <v>Baby Food</v>
      </c>
      <c r="P307" s="7" t="s">
        <v>334</v>
      </c>
      <c r="Q307" s="7">
        <v>8379.0</v>
      </c>
      <c r="R307" s="17">
        <v>255.28</v>
      </c>
      <c r="S307" s="17">
        <v>159.42</v>
      </c>
      <c r="U307" s="18">
        <f t="shared" si="6"/>
        <v>2138991.12</v>
      </c>
      <c r="V307" s="18">
        <f t="shared" si="7"/>
        <v>1335780.18</v>
      </c>
      <c r="W307" s="19">
        <f t="shared" si="8"/>
        <v>803210.94</v>
      </c>
    </row>
    <row r="308">
      <c r="A308" s="7">
        <v>3.02744853E8</v>
      </c>
      <c r="B308" s="12">
        <v>41928.0</v>
      </c>
      <c r="C308" s="7">
        <f t="shared" si="1"/>
        <v>2014</v>
      </c>
      <c r="D308" s="14" t="str">
        <f t="shared" si="2"/>
        <v>10 - Oct</v>
      </c>
      <c r="E308" s="15" t="str">
        <f t="shared" si="3"/>
        <v>Thu</v>
      </c>
      <c r="F308" s="15">
        <f t="shared" si="4"/>
        <v>4</v>
      </c>
      <c r="G308" s="16">
        <v>41945.0</v>
      </c>
      <c r="H308" s="14">
        <f t="shared" si="5"/>
        <v>17</v>
      </c>
      <c r="I308" s="7" t="s">
        <v>399</v>
      </c>
      <c r="J308" s="7" t="s">
        <v>378</v>
      </c>
      <c r="K308" s="7" t="str">
        <f>VLOOKUP(J308,countries,2,false)</f>
        <v>Hungary</v>
      </c>
      <c r="L308" s="7" t="str">
        <f>VLOOKUP($J308,countries,5,false)</f>
        <v>Europe</v>
      </c>
      <c r="M308" s="7" t="str">
        <f>VLOOKUP($J308,countries,6,false)</f>
        <v>Eastern Europe</v>
      </c>
      <c r="N308" s="7">
        <v>3127.0</v>
      </c>
      <c r="O308" s="7" t="str">
        <f>VLOOKUP(N308, products, 2, FALSE)</f>
        <v>Personal Care</v>
      </c>
      <c r="P308" s="7" t="s">
        <v>334</v>
      </c>
      <c r="Q308" s="7">
        <v>7785.0</v>
      </c>
      <c r="R308" s="17">
        <v>81.73</v>
      </c>
      <c r="S308" s="17">
        <v>56.67</v>
      </c>
      <c r="U308" s="18">
        <f t="shared" si="6"/>
        <v>636268.05</v>
      </c>
      <c r="V308" s="18">
        <f t="shared" si="7"/>
        <v>441175.95</v>
      </c>
      <c r="W308" s="19">
        <f t="shared" si="8"/>
        <v>195092.1</v>
      </c>
    </row>
    <row r="309">
      <c r="A309" s="7">
        <v>3.03534495E8</v>
      </c>
      <c r="B309" s="12">
        <v>40768.0</v>
      </c>
      <c r="C309" s="7">
        <f t="shared" si="1"/>
        <v>2011</v>
      </c>
      <c r="D309" s="14" t="str">
        <f t="shared" si="2"/>
        <v>08 - Aug</v>
      </c>
      <c r="E309" s="15" t="str">
        <f t="shared" si="3"/>
        <v>Sat</v>
      </c>
      <c r="F309" s="15">
        <f t="shared" si="4"/>
        <v>6</v>
      </c>
      <c r="G309" s="16">
        <v>40773.0</v>
      </c>
      <c r="H309" s="14">
        <f t="shared" si="5"/>
        <v>5</v>
      </c>
      <c r="I309" s="7" t="s">
        <v>399</v>
      </c>
      <c r="J309" s="7" t="s">
        <v>381</v>
      </c>
      <c r="K309" s="7" t="str">
        <f>VLOOKUP(J309,countries,2,false)</f>
        <v>Iceland</v>
      </c>
      <c r="L309" s="7" t="str">
        <f>VLOOKUP($J309,countries,5,false)</f>
        <v>Europe</v>
      </c>
      <c r="M309" s="7" t="str">
        <f>VLOOKUP($J309,countries,6,false)</f>
        <v>Northern Europe</v>
      </c>
      <c r="N309" s="7">
        <v>4594.0</v>
      </c>
      <c r="O309" s="7" t="str">
        <f>VLOOKUP(N309, products, 2, FALSE)</f>
        <v>Fruits</v>
      </c>
      <c r="P309" s="7" t="s">
        <v>334</v>
      </c>
      <c r="Q309" s="7">
        <v>1457.0</v>
      </c>
      <c r="R309" s="17">
        <v>9.33</v>
      </c>
      <c r="S309" s="17">
        <v>6.92</v>
      </c>
      <c r="U309" s="18">
        <f t="shared" si="6"/>
        <v>13593.81</v>
      </c>
      <c r="V309" s="18">
        <f t="shared" si="7"/>
        <v>10082.44</v>
      </c>
      <c r="W309" s="19">
        <f t="shared" si="8"/>
        <v>3511.37</v>
      </c>
    </row>
    <row r="310">
      <c r="A310" s="7">
        <v>3.05569112E8</v>
      </c>
      <c r="B310" s="12">
        <v>40647.0</v>
      </c>
      <c r="C310" s="7">
        <f t="shared" si="1"/>
        <v>2011</v>
      </c>
      <c r="D310" s="14" t="str">
        <f t="shared" si="2"/>
        <v>04 - Apr</v>
      </c>
      <c r="E310" s="15" t="str">
        <f t="shared" si="3"/>
        <v>Thu</v>
      </c>
      <c r="F310" s="15">
        <f t="shared" si="4"/>
        <v>4</v>
      </c>
      <c r="G310" s="16">
        <v>40697.0</v>
      </c>
      <c r="H310" s="14">
        <f t="shared" si="5"/>
        <v>50</v>
      </c>
      <c r="I310" s="7" t="s">
        <v>232</v>
      </c>
      <c r="J310" s="7" t="s">
        <v>517</v>
      </c>
      <c r="K310" s="7" t="str">
        <f>VLOOKUP(J310,countries,2,false)</f>
        <v>Spain</v>
      </c>
      <c r="L310" s="7" t="str">
        <f>VLOOKUP($J310,countries,5,false)</f>
        <v>Europe</v>
      </c>
      <c r="M310" s="7" t="str">
        <f>VLOOKUP($J310,countries,6,false)</f>
        <v>Southern Europe</v>
      </c>
      <c r="N310" s="7">
        <v>5988.0</v>
      </c>
      <c r="O310" s="7" t="str">
        <f>VLOOKUP(N310, products, 2, FALSE)</f>
        <v>Vegetables</v>
      </c>
      <c r="P310" s="7" t="s">
        <v>334</v>
      </c>
      <c r="Q310" s="7">
        <v>3545.0</v>
      </c>
      <c r="R310" s="17">
        <v>154.06</v>
      </c>
      <c r="S310" s="17">
        <v>90.93</v>
      </c>
      <c r="U310" s="18">
        <f t="shared" si="6"/>
        <v>546142.7</v>
      </c>
      <c r="V310" s="18">
        <f t="shared" si="7"/>
        <v>322346.85</v>
      </c>
      <c r="W310" s="19">
        <f t="shared" si="8"/>
        <v>223795.85</v>
      </c>
    </row>
    <row r="311">
      <c r="A311" s="7">
        <v>3.05616748E8</v>
      </c>
      <c r="B311" s="12">
        <v>40335.0</v>
      </c>
      <c r="C311" s="7">
        <f t="shared" si="1"/>
        <v>2010</v>
      </c>
      <c r="D311" s="14" t="str">
        <f t="shared" si="2"/>
        <v>06 - Jun</v>
      </c>
      <c r="E311" s="15" t="str">
        <f t="shared" si="3"/>
        <v>Sun</v>
      </c>
      <c r="F311" s="15">
        <f t="shared" si="4"/>
        <v>7</v>
      </c>
      <c r="G311" s="16">
        <v>40360.0</v>
      </c>
      <c r="H311" s="14">
        <f t="shared" si="5"/>
        <v>25</v>
      </c>
      <c r="I311" s="7" t="s">
        <v>232</v>
      </c>
      <c r="J311" s="7" t="s">
        <v>365</v>
      </c>
      <c r="K311" s="7" t="str">
        <f>VLOOKUP(J311,countries,2,false)</f>
        <v>Montenegro</v>
      </c>
      <c r="L311" s="7" t="str">
        <f>VLOOKUP($J311,countries,5,false)</f>
        <v>Europe</v>
      </c>
      <c r="M311" s="7" t="str">
        <f>VLOOKUP($J311,countries,6,false)</f>
        <v>Southern Europe</v>
      </c>
      <c r="N311" s="7">
        <v>2103.0</v>
      </c>
      <c r="O311" s="7" t="str">
        <f>VLOOKUP(N311, products, 2, FALSE)</f>
        <v>Cereal</v>
      </c>
      <c r="P311" s="7" t="s">
        <v>334</v>
      </c>
      <c r="Q311" s="7">
        <v>7642.0</v>
      </c>
      <c r="R311" s="17">
        <v>205.7</v>
      </c>
      <c r="S311" s="17">
        <v>117.11</v>
      </c>
      <c r="U311" s="18">
        <f t="shared" si="6"/>
        <v>1571959.4</v>
      </c>
      <c r="V311" s="18">
        <f t="shared" si="7"/>
        <v>894954.62</v>
      </c>
      <c r="W311" s="19">
        <f t="shared" si="8"/>
        <v>677004.78</v>
      </c>
    </row>
    <row r="312">
      <c r="A312" s="7">
        <v>3.06256616E8</v>
      </c>
      <c r="B312" s="12">
        <v>41227.0</v>
      </c>
      <c r="C312" s="7">
        <f t="shared" si="1"/>
        <v>2012</v>
      </c>
      <c r="D312" s="14" t="str">
        <f t="shared" si="2"/>
        <v>11 - Nov</v>
      </c>
      <c r="E312" s="15" t="str">
        <f t="shared" si="3"/>
        <v>Wed</v>
      </c>
      <c r="F312" s="15">
        <f t="shared" si="4"/>
        <v>3</v>
      </c>
      <c r="G312" s="16">
        <v>41231.0</v>
      </c>
      <c r="H312" s="14">
        <f t="shared" si="5"/>
        <v>4</v>
      </c>
      <c r="I312" s="7" t="s">
        <v>364</v>
      </c>
      <c r="J312" s="7" t="s">
        <v>406</v>
      </c>
      <c r="K312" s="7" t="str">
        <f>VLOOKUP(J312,countries,2,false)</f>
        <v>Italy</v>
      </c>
      <c r="L312" s="7" t="str">
        <f>VLOOKUP($J312,countries,5,false)</f>
        <v>Europe</v>
      </c>
      <c r="M312" s="7" t="str">
        <f>VLOOKUP($J312,countries,6,false)</f>
        <v>Southern Europe</v>
      </c>
      <c r="N312" s="7">
        <v>3127.0</v>
      </c>
      <c r="O312" s="7" t="str">
        <f>VLOOKUP(N312, products, 2, FALSE)</f>
        <v>Personal Care</v>
      </c>
      <c r="P312" s="7" t="s">
        <v>334</v>
      </c>
      <c r="Q312" s="7">
        <v>6993.0</v>
      </c>
      <c r="R312" s="17">
        <v>81.73</v>
      </c>
      <c r="S312" s="17">
        <v>56.67</v>
      </c>
      <c r="U312" s="18">
        <f t="shared" si="6"/>
        <v>571537.89</v>
      </c>
      <c r="V312" s="18">
        <f t="shared" si="7"/>
        <v>396293.31</v>
      </c>
      <c r="W312" s="19">
        <f t="shared" si="8"/>
        <v>175244.58</v>
      </c>
    </row>
    <row r="313">
      <c r="A313" s="7">
        <v>3.06839406E8</v>
      </c>
      <c r="B313" s="12">
        <v>41546.0</v>
      </c>
      <c r="C313" s="7">
        <f t="shared" si="1"/>
        <v>2013</v>
      </c>
      <c r="D313" s="14" t="str">
        <f t="shared" si="2"/>
        <v>09 - Sep</v>
      </c>
      <c r="E313" s="15" t="str">
        <f t="shared" si="3"/>
        <v>Sun</v>
      </c>
      <c r="F313" s="15">
        <f t="shared" si="4"/>
        <v>7</v>
      </c>
      <c r="G313" s="16">
        <v>41548.0</v>
      </c>
      <c r="H313" s="14">
        <f t="shared" si="5"/>
        <v>2</v>
      </c>
      <c r="I313" s="7" t="s">
        <v>399</v>
      </c>
      <c r="J313" s="7" t="s">
        <v>246</v>
      </c>
      <c r="K313" s="7" t="str">
        <f>VLOOKUP(J313,countries,2,false)</f>
        <v>Denmark</v>
      </c>
      <c r="L313" s="7" t="str">
        <f>VLOOKUP($J313,countries,5,false)</f>
        <v>Europe</v>
      </c>
      <c r="M313" s="7" t="str">
        <f>VLOOKUP($J313,countries,6,false)</f>
        <v>Northern Europe</v>
      </c>
      <c r="N313" s="7">
        <v>7331.0</v>
      </c>
      <c r="O313" s="7" t="str">
        <f>VLOOKUP(N313, products, 2, FALSE)</f>
        <v>Baby Food</v>
      </c>
      <c r="P313" s="7" t="s">
        <v>334</v>
      </c>
      <c r="Q313" s="7">
        <v>9454.0</v>
      </c>
      <c r="R313" s="17">
        <v>255.28</v>
      </c>
      <c r="S313" s="17">
        <v>159.42</v>
      </c>
      <c r="U313" s="18">
        <f t="shared" si="6"/>
        <v>2413417.12</v>
      </c>
      <c r="V313" s="18">
        <f t="shared" si="7"/>
        <v>1507156.68</v>
      </c>
      <c r="W313" s="19">
        <f t="shared" si="8"/>
        <v>906260.44</v>
      </c>
    </row>
    <row r="314">
      <c r="A314" s="7">
        <v>3.07305467E8</v>
      </c>
      <c r="B314" s="12">
        <v>41484.0</v>
      </c>
      <c r="C314" s="7">
        <f t="shared" si="1"/>
        <v>2013</v>
      </c>
      <c r="D314" s="14" t="str">
        <f t="shared" si="2"/>
        <v>07 - Jul</v>
      </c>
      <c r="E314" s="15" t="str">
        <f t="shared" si="3"/>
        <v>Mon</v>
      </c>
      <c r="F314" s="15">
        <f t="shared" si="4"/>
        <v>1</v>
      </c>
      <c r="G314" s="16">
        <v>41496.0</v>
      </c>
      <c r="H314" s="14">
        <f t="shared" si="5"/>
        <v>12</v>
      </c>
      <c r="I314" s="7" t="s">
        <v>232</v>
      </c>
      <c r="J314" s="7" t="s">
        <v>348</v>
      </c>
      <c r="K314" s="7" t="s">
        <v>348</v>
      </c>
      <c r="L314" s="7" t="s">
        <v>348</v>
      </c>
      <c r="M314" s="7" t="s">
        <v>348</v>
      </c>
      <c r="N314" s="7">
        <v>4594.0</v>
      </c>
      <c r="O314" s="7" t="str">
        <f>VLOOKUP(N314, products, 2, FALSE)</f>
        <v>Fruits</v>
      </c>
      <c r="P314" s="7" t="s">
        <v>264</v>
      </c>
      <c r="Q314" s="7">
        <v>7371.0</v>
      </c>
      <c r="R314" s="17">
        <v>9.33</v>
      </c>
      <c r="S314" s="17">
        <v>6.92</v>
      </c>
      <c r="U314" s="18">
        <f t="shared" si="6"/>
        <v>68771.43</v>
      </c>
      <c r="V314" s="18">
        <f t="shared" si="7"/>
        <v>51007.32</v>
      </c>
      <c r="W314" s="19">
        <f t="shared" si="8"/>
        <v>17764.11</v>
      </c>
    </row>
    <row r="315">
      <c r="A315" s="7">
        <v>3.07721745E8</v>
      </c>
      <c r="B315" s="12">
        <v>40526.0</v>
      </c>
      <c r="C315" s="7">
        <f t="shared" si="1"/>
        <v>2010</v>
      </c>
      <c r="D315" s="14" t="str">
        <f t="shared" si="2"/>
        <v>12 - Dec</v>
      </c>
      <c r="E315" s="15" t="str">
        <f t="shared" si="3"/>
        <v>Tue</v>
      </c>
      <c r="F315" s="15">
        <f t="shared" si="4"/>
        <v>2</v>
      </c>
      <c r="G315" s="16">
        <v>40544.0</v>
      </c>
      <c r="H315" s="14">
        <f t="shared" si="5"/>
        <v>18</v>
      </c>
      <c r="I315" s="7" t="s">
        <v>232</v>
      </c>
      <c r="J315" s="7" t="s">
        <v>406</v>
      </c>
      <c r="K315" s="7" t="str">
        <f>VLOOKUP(J315,countries,2,false)</f>
        <v>Italy</v>
      </c>
      <c r="L315" s="7" t="str">
        <f>VLOOKUP($J315,countries,5,false)</f>
        <v>Europe</v>
      </c>
      <c r="M315" s="7" t="str">
        <f>VLOOKUP($J315,countries,6,false)</f>
        <v>Southern Europe</v>
      </c>
      <c r="N315" s="7">
        <v>8969.0</v>
      </c>
      <c r="O315" s="7" t="str">
        <f>VLOOKUP(N315, products, 2, FALSE)</f>
        <v>Snacks</v>
      </c>
      <c r="P315" s="7" t="s">
        <v>264</v>
      </c>
      <c r="Q315" s="7">
        <v>558.0</v>
      </c>
      <c r="R315" s="17">
        <v>152.58</v>
      </c>
      <c r="S315" s="17">
        <v>97.44</v>
      </c>
      <c r="U315" s="18">
        <f t="shared" si="6"/>
        <v>85139.64</v>
      </c>
      <c r="V315" s="18">
        <f t="shared" si="7"/>
        <v>54371.52</v>
      </c>
      <c r="W315" s="19">
        <f t="shared" si="8"/>
        <v>30768.12</v>
      </c>
    </row>
    <row r="316">
      <c r="A316" s="7">
        <v>3.08582627E8</v>
      </c>
      <c r="B316" s="12">
        <v>41266.0</v>
      </c>
      <c r="C316" s="7">
        <f t="shared" si="1"/>
        <v>2012</v>
      </c>
      <c r="D316" s="14" t="str">
        <f t="shared" si="2"/>
        <v>12 - Dec</v>
      </c>
      <c r="E316" s="15" t="str">
        <f t="shared" si="3"/>
        <v>Sun</v>
      </c>
      <c r="F316" s="15">
        <f t="shared" si="4"/>
        <v>7</v>
      </c>
      <c r="G316" s="16">
        <v>41314.0</v>
      </c>
      <c r="H316" s="14">
        <f t="shared" si="5"/>
        <v>48</v>
      </c>
      <c r="I316" s="7" t="s">
        <v>305</v>
      </c>
      <c r="J316" s="7" t="s">
        <v>306</v>
      </c>
      <c r="K316" s="7" t="str">
        <f>VLOOKUP(J316,countries,2,false)</f>
        <v>Serbia</v>
      </c>
      <c r="L316" s="7" t="str">
        <f>VLOOKUP($J316,countries,5,false)</f>
        <v>Europe</v>
      </c>
      <c r="M316" s="7" t="str">
        <f>VLOOKUP($J316,countries,6,false)</f>
        <v>Southern Europe</v>
      </c>
      <c r="N316" s="7">
        <v>1270.0</v>
      </c>
      <c r="O316" s="7" t="str">
        <f>VLOOKUP(N316, products, 2, FALSE)</f>
        <v>Beverages</v>
      </c>
      <c r="P316" s="7" t="s">
        <v>334</v>
      </c>
      <c r="Q316" s="7">
        <v>5312.0</v>
      </c>
      <c r="R316" s="17">
        <v>47.45</v>
      </c>
      <c r="S316" s="17">
        <v>31.79</v>
      </c>
      <c r="U316" s="18">
        <f t="shared" si="6"/>
        <v>252054.4</v>
      </c>
      <c r="V316" s="18">
        <f t="shared" si="7"/>
        <v>168868.48</v>
      </c>
      <c r="W316" s="19">
        <f t="shared" si="8"/>
        <v>83185.92</v>
      </c>
    </row>
    <row r="317">
      <c r="A317" s="7">
        <v>3.09148681E8</v>
      </c>
      <c r="B317" s="12">
        <v>41022.0</v>
      </c>
      <c r="C317" s="7">
        <f t="shared" si="1"/>
        <v>2012</v>
      </c>
      <c r="D317" s="14" t="str">
        <f t="shared" si="2"/>
        <v>04 - Apr</v>
      </c>
      <c r="E317" s="15" t="str">
        <f t="shared" si="3"/>
        <v>Mon</v>
      </c>
      <c r="F317" s="15">
        <f t="shared" si="4"/>
        <v>1</v>
      </c>
      <c r="G317" s="16">
        <v>41034.0</v>
      </c>
      <c r="H317" s="14">
        <f t="shared" si="5"/>
        <v>12</v>
      </c>
      <c r="I317" s="7" t="s">
        <v>232</v>
      </c>
      <c r="J317" s="7" t="s">
        <v>517</v>
      </c>
      <c r="K317" s="7" t="str">
        <f>VLOOKUP(J317,countries,2,false)</f>
        <v>Spain</v>
      </c>
      <c r="L317" s="7" t="str">
        <f>VLOOKUP($J317,countries,5,false)</f>
        <v>Europe</v>
      </c>
      <c r="M317" s="7" t="str">
        <f>VLOOKUP($J317,countries,6,false)</f>
        <v>Southern Europe</v>
      </c>
      <c r="N317" s="7">
        <v>7940.0</v>
      </c>
      <c r="O317" s="7" t="str">
        <f>VLOOKUP(N317, products, 2, FALSE)</f>
        <v>Household</v>
      </c>
      <c r="P317" s="7" t="s">
        <v>334</v>
      </c>
      <c r="Q317" s="7">
        <v>2819.0</v>
      </c>
      <c r="R317" s="17">
        <v>668.27</v>
      </c>
      <c r="S317" s="17">
        <v>502.54</v>
      </c>
      <c r="U317" s="18">
        <f t="shared" si="6"/>
        <v>1883853.13</v>
      </c>
      <c r="V317" s="18">
        <f t="shared" si="7"/>
        <v>1416660.26</v>
      </c>
      <c r="W317" s="19">
        <f t="shared" si="8"/>
        <v>467192.87</v>
      </c>
    </row>
    <row r="318">
      <c r="A318" s="7">
        <v>3.09188163E8</v>
      </c>
      <c r="B318" s="12">
        <v>42209.0</v>
      </c>
      <c r="C318" s="7">
        <f t="shared" si="1"/>
        <v>2015</v>
      </c>
      <c r="D318" s="14" t="str">
        <f t="shared" si="2"/>
        <v>07 - Jul</v>
      </c>
      <c r="E318" s="15" t="str">
        <f t="shared" si="3"/>
        <v>Fri</v>
      </c>
      <c r="F318" s="15">
        <f t="shared" si="4"/>
        <v>5</v>
      </c>
      <c r="G318" s="16">
        <v>42228.0</v>
      </c>
      <c r="H318" s="14">
        <f t="shared" si="5"/>
        <v>19</v>
      </c>
      <c r="I318" s="7" t="s">
        <v>305</v>
      </c>
      <c r="J318" s="7" t="s">
        <v>124</v>
      </c>
      <c r="K318" s="7" t="str">
        <f>VLOOKUP(J318,countries,2,false)</f>
        <v>Belgium</v>
      </c>
      <c r="L318" s="7" t="str">
        <f>VLOOKUP($J318,countries,5,false)</f>
        <v>Europe</v>
      </c>
      <c r="M318" s="7" t="str">
        <f>VLOOKUP($J318,countries,6,false)</f>
        <v>Western Europe</v>
      </c>
      <c r="N318" s="7">
        <v>4594.0</v>
      </c>
      <c r="O318" s="7" t="str">
        <f>VLOOKUP(N318, products, 2, FALSE)</f>
        <v>Fruits</v>
      </c>
      <c r="P318" s="7" t="s">
        <v>264</v>
      </c>
      <c r="Q318" s="7">
        <v>4503.0</v>
      </c>
      <c r="R318" s="17">
        <v>9.33</v>
      </c>
      <c r="S318" s="17">
        <v>6.92</v>
      </c>
      <c r="U318" s="18">
        <f t="shared" si="6"/>
        <v>42012.99</v>
      </c>
      <c r="V318" s="18">
        <f t="shared" si="7"/>
        <v>31160.76</v>
      </c>
      <c r="W318" s="19">
        <f t="shared" si="8"/>
        <v>10852.23</v>
      </c>
    </row>
    <row r="319">
      <c r="A319" s="7">
        <v>3.09285581E8</v>
      </c>
      <c r="B319" s="12">
        <v>42792.0</v>
      </c>
      <c r="C319" s="7">
        <f t="shared" si="1"/>
        <v>2017</v>
      </c>
      <c r="D319" s="14" t="str">
        <f t="shared" si="2"/>
        <v>02 - Feb</v>
      </c>
      <c r="E319" s="15" t="str">
        <f t="shared" si="3"/>
        <v>Sun</v>
      </c>
      <c r="F319" s="15">
        <f t="shared" si="4"/>
        <v>7</v>
      </c>
      <c r="G319" s="16">
        <v>42842.0</v>
      </c>
      <c r="H319" s="14">
        <f t="shared" si="5"/>
        <v>50</v>
      </c>
      <c r="I319" s="7" t="s">
        <v>399</v>
      </c>
      <c r="J319" s="7" t="s">
        <v>396</v>
      </c>
      <c r="K319" s="7" t="str">
        <f>VLOOKUP(J319,countries,2,false)</f>
        <v>Ireland</v>
      </c>
      <c r="L319" s="7" t="str">
        <f>VLOOKUP($J319,countries,5,false)</f>
        <v>Europe</v>
      </c>
      <c r="M319" s="7" t="str">
        <f>VLOOKUP($J319,countries,6,false)</f>
        <v>Northern Europe</v>
      </c>
      <c r="N319" s="7">
        <v>3127.0</v>
      </c>
      <c r="O319" s="7" t="str">
        <f>VLOOKUP(N319, products, 2, FALSE)</f>
        <v>Personal Care</v>
      </c>
      <c r="P319" s="7" t="s">
        <v>334</v>
      </c>
      <c r="Q319" s="7">
        <v>3331.0</v>
      </c>
      <c r="R319" s="17">
        <v>81.73</v>
      </c>
      <c r="S319" s="17">
        <v>56.67</v>
      </c>
      <c r="U319" s="18">
        <f t="shared" si="6"/>
        <v>272242.63</v>
      </c>
      <c r="V319" s="18">
        <f t="shared" si="7"/>
        <v>188767.77</v>
      </c>
      <c r="W319" s="19">
        <f t="shared" si="8"/>
        <v>83474.86</v>
      </c>
    </row>
    <row r="320">
      <c r="A320" s="7">
        <v>3.09342658E8</v>
      </c>
      <c r="B320" s="12">
        <v>40599.0</v>
      </c>
      <c r="C320" s="7">
        <f t="shared" si="1"/>
        <v>2011</v>
      </c>
      <c r="D320" s="14" t="str">
        <f t="shared" si="2"/>
        <v>02 - Feb</v>
      </c>
      <c r="E320" s="15" t="str">
        <f t="shared" si="3"/>
        <v>Fri</v>
      </c>
      <c r="F320" s="15">
        <f t="shared" si="4"/>
        <v>5</v>
      </c>
      <c r="G320" s="16">
        <v>40630.0</v>
      </c>
      <c r="H320" s="14">
        <f t="shared" si="5"/>
        <v>31</v>
      </c>
      <c r="I320" s="7" t="s">
        <v>305</v>
      </c>
      <c r="J320" s="7" t="s">
        <v>406</v>
      </c>
      <c r="K320" s="7" t="str">
        <f>VLOOKUP(J320,countries,2,false)</f>
        <v>Italy</v>
      </c>
      <c r="L320" s="7" t="str">
        <f>VLOOKUP($J320,countries,5,false)</f>
        <v>Europe</v>
      </c>
      <c r="M320" s="7" t="str">
        <f>VLOOKUP($J320,countries,6,false)</f>
        <v>Southern Europe</v>
      </c>
      <c r="N320" s="7">
        <v>3127.0</v>
      </c>
      <c r="O320" s="7" t="str">
        <f>VLOOKUP(N320, products, 2, FALSE)</f>
        <v>Personal Care</v>
      </c>
      <c r="P320" s="7" t="s">
        <v>264</v>
      </c>
      <c r="Q320" s="7">
        <v>222.0</v>
      </c>
      <c r="R320" s="17">
        <v>81.73</v>
      </c>
      <c r="S320" s="17">
        <v>56.67</v>
      </c>
      <c r="U320" s="18">
        <f t="shared" si="6"/>
        <v>18144.06</v>
      </c>
      <c r="V320" s="18">
        <f t="shared" si="7"/>
        <v>12580.74</v>
      </c>
      <c r="W320" s="19">
        <f t="shared" si="8"/>
        <v>5563.32</v>
      </c>
    </row>
    <row r="321">
      <c r="A321" s="7">
        <v>3.09655511E8</v>
      </c>
      <c r="B321" s="12">
        <v>41764.0</v>
      </c>
      <c r="C321" s="7">
        <f t="shared" si="1"/>
        <v>2014</v>
      </c>
      <c r="D321" s="14" t="str">
        <f t="shared" si="2"/>
        <v>05 - May</v>
      </c>
      <c r="E321" s="15" t="str">
        <f t="shared" si="3"/>
        <v>Mon</v>
      </c>
      <c r="F321" s="15">
        <f t="shared" si="4"/>
        <v>1</v>
      </c>
      <c r="G321" s="16">
        <v>41780.0</v>
      </c>
      <c r="H321" s="14">
        <f t="shared" si="5"/>
        <v>16</v>
      </c>
      <c r="I321" s="7" t="s">
        <v>305</v>
      </c>
      <c r="J321" s="7" t="s">
        <v>229</v>
      </c>
      <c r="K321" s="7" t="str">
        <f>VLOOKUP(J321,countries,2,false)</f>
        <v>Croatia</v>
      </c>
      <c r="L321" s="7" t="str">
        <f>VLOOKUP($J321,countries,5,false)</f>
        <v>Europe</v>
      </c>
      <c r="M321" s="7" t="str">
        <f>VLOOKUP($J321,countries,6,false)</f>
        <v>Southern Europe</v>
      </c>
      <c r="N321" s="7">
        <v>3127.0</v>
      </c>
      <c r="O321" s="7" t="str">
        <f>VLOOKUP(N321, products, 2, FALSE)</f>
        <v>Personal Care</v>
      </c>
      <c r="P321" s="7" t="s">
        <v>334</v>
      </c>
      <c r="R321" s="17">
        <v>81.73</v>
      </c>
      <c r="S321" s="17">
        <v>56.67</v>
      </c>
      <c r="U321" s="18">
        <f t="shared" si="6"/>
        <v>0</v>
      </c>
      <c r="V321" s="18">
        <f t="shared" si="7"/>
        <v>0</v>
      </c>
      <c r="W321" s="19">
        <f t="shared" si="8"/>
        <v>0</v>
      </c>
    </row>
    <row r="322">
      <c r="A322" s="7">
        <v>3.1058892E8</v>
      </c>
      <c r="B322" s="12">
        <v>41257.0</v>
      </c>
      <c r="C322" s="7">
        <f t="shared" si="1"/>
        <v>2012</v>
      </c>
      <c r="D322" s="14" t="str">
        <f t="shared" si="2"/>
        <v>12 - Dec</v>
      </c>
      <c r="E322" s="15" t="str">
        <f t="shared" si="3"/>
        <v>Fri</v>
      </c>
      <c r="F322" s="15">
        <f t="shared" si="4"/>
        <v>5</v>
      </c>
      <c r="G322" s="16">
        <v>41280.0</v>
      </c>
      <c r="H322" s="14">
        <f t="shared" si="5"/>
        <v>23</v>
      </c>
      <c r="I322" s="7" t="s">
        <v>399</v>
      </c>
      <c r="J322" s="7" t="s">
        <v>489</v>
      </c>
      <c r="K322" s="7" t="str">
        <f>VLOOKUP(J322,countries,2,false)</f>
        <v>Malta</v>
      </c>
      <c r="L322" s="7" t="str">
        <f>VLOOKUP($J322,countries,5,false)</f>
        <v>Europe</v>
      </c>
      <c r="M322" s="7" t="str">
        <f>VLOOKUP($J322,countries,6,false)</f>
        <v>Southern Europe</v>
      </c>
      <c r="N322" s="7">
        <v>8293.0</v>
      </c>
      <c r="O322" s="7" t="str">
        <f>VLOOKUP(N322, products, 2, FALSE)</f>
        <v>Cosmetics</v>
      </c>
      <c r="P322" s="7" t="s">
        <v>334</v>
      </c>
      <c r="Q322" s="7">
        <v>9018.0</v>
      </c>
      <c r="R322" s="17">
        <v>437.2</v>
      </c>
      <c r="S322" s="17">
        <v>263.33</v>
      </c>
      <c r="U322" s="18">
        <f t="shared" si="6"/>
        <v>3942669.6</v>
      </c>
      <c r="V322" s="18">
        <f t="shared" si="7"/>
        <v>2374709.94</v>
      </c>
      <c r="W322" s="19">
        <f t="shared" si="8"/>
        <v>1567959.66</v>
      </c>
    </row>
    <row r="323">
      <c r="A323" s="7">
        <v>3.11221492E8</v>
      </c>
      <c r="B323" s="12">
        <v>42471.0</v>
      </c>
      <c r="C323" s="7">
        <f t="shared" si="1"/>
        <v>2016</v>
      </c>
      <c r="D323" s="14" t="str">
        <f t="shared" si="2"/>
        <v>04 - Apr</v>
      </c>
      <c r="E323" s="15" t="str">
        <f t="shared" si="3"/>
        <v>Mon</v>
      </c>
      <c r="F323" s="15">
        <f t="shared" si="4"/>
        <v>1</v>
      </c>
      <c r="G323" s="16">
        <v>42497.0</v>
      </c>
      <c r="H323" s="14">
        <f t="shared" si="5"/>
        <v>26</v>
      </c>
      <c r="I323" s="7" t="s">
        <v>364</v>
      </c>
      <c r="J323" s="7" t="s">
        <v>717</v>
      </c>
      <c r="K323" s="7" t="str">
        <f>VLOOKUP(J323,countries,2,false)</f>
        <v>Sweden</v>
      </c>
      <c r="L323" s="7" t="str">
        <f>VLOOKUP($J323,countries,5,false)</f>
        <v>Europe</v>
      </c>
      <c r="M323" s="7" t="str">
        <f>VLOOKUP($J323,countries,6,false)</f>
        <v>Northern Europe</v>
      </c>
      <c r="N323" s="7">
        <v>4594.0</v>
      </c>
      <c r="O323" s="7" t="str">
        <f>VLOOKUP(N323, products, 2, FALSE)</f>
        <v>Fruits</v>
      </c>
      <c r="P323" s="7" t="s">
        <v>264</v>
      </c>
      <c r="Q323" s="7">
        <v>6210.0</v>
      </c>
      <c r="R323" s="17">
        <v>9.33</v>
      </c>
      <c r="S323" s="17">
        <v>6.92</v>
      </c>
      <c r="U323" s="18">
        <f t="shared" si="6"/>
        <v>57939.3</v>
      </c>
      <c r="V323" s="18">
        <f t="shared" si="7"/>
        <v>42973.2</v>
      </c>
      <c r="W323" s="19">
        <f t="shared" si="8"/>
        <v>14966.1</v>
      </c>
    </row>
    <row r="324">
      <c r="A324" s="7">
        <v>3.1168884E8</v>
      </c>
      <c r="B324" s="12">
        <v>42026.0</v>
      </c>
      <c r="C324" s="7">
        <f t="shared" si="1"/>
        <v>2015</v>
      </c>
      <c r="D324" s="14" t="str">
        <f t="shared" si="2"/>
        <v>01 - Jan</v>
      </c>
      <c r="E324" s="15" t="str">
        <f t="shared" si="3"/>
        <v>Thu</v>
      </c>
      <c r="F324" s="15">
        <f t="shared" si="4"/>
        <v>4</v>
      </c>
      <c r="G324" s="16">
        <v>42049.0</v>
      </c>
      <c r="H324" s="14">
        <f t="shared" si="5"/>
        <v>23</v>
      </c>
      <c r="I324" s="7" t="s">
        <v>364</v>
      </c>
      <c r="J324" s="7" t="s">
        <v>681</v>
      </c>
      <c r="K324" s="7" t="str">
        <f>VLOOKUP(J324,countries,2,false)</f>
        <v>United Kingdom</v>
      </c>
      <c r="L324" s="7" t="str">
        <f>VLOOKUP($J324,countries,5,false)</f>
        <v>Europe</v>
      </c>
      <c r="M324" s="7" t="str">
        <f>VLOOKUP($J324,countries,6,false)</f>
        <v>Northern Europe</v>
      </c>
      <c r="N324" s="7">
        <v>3127.0</v>
      </c>
      <c r="O324" s="7" t="str">
        <f>VLOOKUP(N324, products, 2, FALSE)</f>
        <v>Personal Care</v>
      </c>
      <c r="P324" s="7" t="s">
        <v>334</v>
      </c>
      <c r="Q324" s="7">
        <v>4509.0</v>
      </c>
      <c r="R324" s="17">
        <v>81.73</v>
      </c>
      <c r="S324" s="17">
        <v>56.67</v>
      </c>
      <c r="U324" s="18">
        <f t="shared" si="6"/>
        <v>368520.57</v>
      </c>
      <c r="V324" s="18">
        <f t="shared" si="7"/>
        <v>255525.03</v>
      </c>
      <c r="W324" s="19">
        <f t="shared" si="8"/>
        <v>112995.54</v>
      </c>
    </row>
    <row r="325">
      <c r="A325" s="7">
        <v>3.11921012E8</v>
      </c>
      <c r="B325" s="12">
        <v>40405.0</v>
      </c>
      <c r="C325" s="7">
        <f t="shared" si="1"/>
        <v>2010</v>
      </c>
      <c r="D325" s="14" t="str">
        <f t="shared" si="2"/>
        <v>08 - Aug</v>
      </c>
      <c r="E325" s="15" t="str">
        <f t="shared" si="3"/>
        <v>Sun</v>
      </c>
      <c r="F325" s="15">
        <f t="shared" si="4"/>
        <v>7</v>
      </c>
      <c r="G325" s="16">
        <v>40416.0</v>
      </c>
      <c r="H325" s="14">
        <f t="shared" si="5"/>
        <v>11</v>
      </c>
      <c r="I325" s="7" t="s">
        <v>399</v>
      </c>
      <c r="J325" s="7" t="s">
        <v>120</v>
      </c>
      <c r="K325" s="7" t="str">
        <f>VLOOKUP(J325,countries,2,false)</f>
        <v>Belarus</v>
      </c>
      <c r="L325" s="7" t="str">
        <f>VLOOKUP($J325,countries,5,false)</f>
        <v>Europe</v>
      </c>
      <c r="M325" s="7" t="str">
        <f>VLOOKUP($J325,countries,6,false)</f>
        <v>Eastern Europe</v>
      </c>
      <c r="N325" s="7">
        <v>1270.0</v>
      </c>
      <c r="O325" s="7" t="str">
        <f>VLOOKUP(N325, products, 2, FALSE)</f>
        <v>Beverages</v>
      </c>
      <c r="P325" s="7" t="s">
        <v>264</v>
      </c>
      <c r="Q325" s="7">
        <v>3214.0</v>
      </c>
      <c r="R325" s="17">
        <v>47.45</v>
      </c>
      <c r="S325" s="17">
        <v>31.79</v>
      </c>
      <c r="U325" s="18">
        <f t="shared" si="6"/>
        <v>152504.3</v>
      </c>
      <c r="V325" s="18">
        <f t="shared" si="7"/>
        <v>102173.06</v>
      </c>
      <c r="W325" s="19">
        <f t="shared" si="8"/>
        <v>50331.24</v>
      </c>
    </row>
    <row r="326">
      <c r="A326" s="7">
        <v>3.11956632E8</v>
      </c>
      <c r="B326" s="12">
        <v>42739.0</v>
      </c>
      <c r="C326" s="7">
        <f t="shared" si="1"/>
        <v>2017</v>
      </c>
      <c r="D326" s="14" t="str">
        <f t="shared" si="2"/>
        <v>01 - Jan</v>
      </c>
      <c r="E326" s="15" t="str">
        <f t="shared" si="3"/>
        <v>Wed</v>
      </c>
      <c r="F326" s="15">
        <f t="shared" si="4"/>
        <v>3</v>
      </c>
      <c r="G326" s="16">
        <v>42745.0</v>
      </c>
      <c r="H326" s="14">
        <f t="shared" si="5"/>
        <v>6</v>
      </c>
      <c r="I326" s="7" t="s">
        <v>305</v>
      </c>
      <c r="J326" s="7" t="s">
        <v>274</v>
      </c>
      <c r="K326" s="7" t="str">
        <f>VLOOKUP(J326,countries,2,false)</f>
        <v>Estonia</v>
      </c>
      <c r="L326" s="7" t="str">
        <f>VLOOKUP($J326,countries,5,false)</f>
        <v>Europe</v>
      </c>
      <c r="M326" s="7" t="str">
        <f>VLOOKUP($J326,countries,6,false)</f>
        <v>Northern Europe</v>
      </c>
      <c r="N326" s="7">
        <v>8293.0</v>
      </c>
      <c r="O326" s="7" t="str">
        <f>VLOOKUP(N326, products, 2, FALSE)</f>
        <v>Cosmetics</v>
      </c>
      <c r="P326" s="7" t="s">
        <v>334</v>
      </c>
      <c r="Q326" s="7">
        <v>3755.0</v>
      </c>
      <c r="R326" s="17">
        <v>437.2</v>
      </c>
      <c r="S326" s="17">
        <v>263.33</v>
      </c>
      <c r="U326" s="18">
        <f t="shared" si="6"/>
        <v>1641686</v>
      </c>
      <c r="V326" s="18">
        <f t="shared" si="7"/>
        <v>988804.15</v>
      </c>
      <c r="W326" s="19">
        <f t="shared" si="8"/>
        <v>652881.85</v>
      </c>
    </row>
    <row r="327">
      <c r="A327" s="7">
        <v>3.13178002E8</v>
      </c>
      <c r="B327" s="12">
        <v>41566.0</v>
      </c>
      <c r="C327" s="7">
        <f t="shared" si="1"/>
        <v>2013</v>
      </c>
      <c r="D327" s="14" t="str">
        <f t="shared" si="2"/>
        <v>10 - Oct</v>
      </c>
      <c r="E327" s="15" t="str">
        <f t="shared" si="3"/>
        <v>Sat</v>
      </c>
      <c r="F327" s="15">
        <f t="shared" si="4"/>
        <v>6</v>
      </c>
      <c r="G327" s="16">
        <v>41614.0</v>
      </c>
      <c r="H327" s="14">
        <f t="shared" si="5"/>
        <v>48</v>
      </c>
      <c r="I327" s="7" t="s">
        <v>305</v>
      </c>
      <c r="J327" s="7" t="s">
        <v>165</v>
      </c>
      <c r="K327" s="7" t="str">
        <f>VLOOKUP(J327,countries,2,false)</f>
        <v>Bulgaria</v>
      </c>
      <c r="L327" s="7" t="str">
        <f>VLOOKUP($J327,countries,5,false)</f>
        <v>Europe</v>
      </c>
      <c r="M327" s="7" t="str">
        <f>VLOOKUP($J327,countries,6,false)</f>
        <v>Eastern Europe</v>
      </c>
      <c r="N327" s="7">
        <v>1270.0</v>
      </c>
      <c r="O327" s="7" t="str">
        <f>VLOOKUP(N327, products, 2, FALSE)</f>
        <v>Beverages</v>
      </c>
      <c r="P327" s="7" t="s">
        <v>334</v>
      </c>
      <c r="Q327" s="7">
        <v>5185.0</v>
      </c>
      <c r="R327" s="17">
        <v>47.45</v>
      </c>
      <c r="S327" s="17">
        <v>31.79</v>
      </c>
      <c r="U327" s="18">
        <f t="shared" si="6"/>
        <v>246028.25</v>
      </c>
      <c r="V327" s="18">
        <f t="shared" si="7"/>
        <v>164831.15</v>
      </c>
      <c r="W327" s="19">
        <f t="shared" si="8"/>
        <v>81197.1</v>
      </c>
    </row>
    <row r="328">
      <c r="A328" s="7">
        <v>3.13705861E8</v>
      </c>
      <c r="B328" s="12">
        <v>42519.0</v>
      </c>
      <c r="C328" s="7">
        <f t="shared" si="1"/>
        <v>2016</v>
      </c>
      <c r="D328" s="14" t="str">
        <f t="shared" si="2"/>
        <v>05 - May</v>
      </c>
      <c r="E328" s="15" t="str">
        <f t="shared" si="3"/>
        <v>Sun</v>
      </c>
      <c r="F328" s="15">
        <f t="shared" si="4"/>
        <v>7</v>
      </c>
      <c r="G328" s="16">
        <v>42561.0</v>
      </c>
      <c r="H328" s="14">
        <f t="shared" si="5"/>
        <v>42</v>
      </c>
      <c r="I328" s="7" t="s">
        <v>364</v>
      </c>
      <c r="J328" s="7" t="s">
        <v>365</v>
      </c>
      <c r="K328" s="7" t="str">
        <f>VLOOKUP(J328,countries,2,false)</f>
        <v>Montenegro</v>
      </c>
      <c r="L328" s="7" t="str">
        <f>VLOOKUP($J328,countries,5,false)</f>
        <v>Europe</v>
      </c>
      <c r="M328" s="7" t="str">
        <f>VLOOKUP($J328,countries,6,false)</f>
        <v>Southern Europe</v>
      </c>
      <c r="N328" s="7">
        <v>4594.0</v>
      </c>
      <c r="O328" s="7" t="str">
        <f>VLOOKUP(N328, products, 2, FALSE)</f>
        <v>Fruits</v>
      </c>
      <c r="P328" s="7" t="s">
        <v>334</v>
      </c>
      <c r="Q328" s="7">
        <v>1390.0</v>
      </c>
      <c r="R328" s="17">
        <v>9.33</v>
      </c>
      <c r="S328" s="17">
        <v>6.92</v>
      </c>
      <c r="U328" s="18">
        <f t="shared" si="6"/>
        <v>12968.7</v>
      </c>
      <c r="V328" s="18">
        <f t="shared" si="7"/>
        <v>9618.8</v>
      </c>
      <c r="W328" s="19">
        <f t="shared" si="8"/>
        <v>3349.9</v>
      </c>
    </row>
    <row r="329">
      <c r="A329" s="7">
        <v>3.13821303E8</v>
      </c>
      <c r="B329" s="12">
        <v>40517.0</v>
      </c>
      <c r="C329" s="7">
        <f t="shared" si="1"/>
        <v>2010</v>
      </c>
      <c r="D329" s="14" t="str">
        <f t="shared" si="2"/>
        <v>12 - Dec</v>
      </c>
      <c r="E329" s="15" t="str">
        <f t="shared" si="3"/>
        <v>Sun</v>
      </c>
      <c r="F329" s="15">
        <f t="shared" si="4"/>
        <v>7</v>
      </c>
      <c r="G329" s="16">
        <v>40560.0</v>
      </c>
      <c r="H329" s="14">
        <f t="shared" si="5"/>
        <v>43</v>
      </c>
      <c r="I329" s="7" t="s">
        <v>399</v>
      </c>
      <c r="J329" s="7" t="s">
        <v>378</v>
      </c>
      <c r="K329" s="7" t="str">
        <f>VLOOKUP(J329,countries,2,false)</f>
        <v>Hungary</v>
      </c>
      <c r="L329" s="7" t="str">
        <f>VLOOKUP($J329,countries,5,false)</f>
        <v>Europe</v>
      </c>
      <c r="M329" s="7" t="str">
        <f>VLOOKUP($J329,countries,6,false)</f>
        <v>Eastern Europe</v>
      </c>
      <c r="N329" s="7">
        <v>8681.0</v>
      </c>
      <c r="O329" s="7" t="str">
        <f>VLOOKUP(N329, products, 2, FALSE)</f>
        <v>Office Supplies</v>
      </c>
      <c r="P329" s="7" t="s">
        <v>264</v>
      </c>
      <c r="Q329" s="7">
        <v>5552.0</v>
      </c>
      <c r="R329" s="17">
        <v>651.21</v>
      </c>
      <c r="S329" s="17">
        <v>524.96</v>
      </c>
      <c r="U329" s="18">
        <f t="shared" si="6"/>
        <v>3615517.92</v>
      </c>
      <c r="V329" s="18">
        <f t="shared" si="7"/>
        <v>2914577.92</v>
      </c>
      <c r="W329" s="19">
        <f t="shared" si="8"/>
        <v>700940</v>
      </c>
    </row>
    <row r="330">
      <c r="A330" s="7">
        <v>3.14782178E8</v>
      </c>
      <c r="B330" s="12">
        <v>41075.0</v>
      </c>
      <c r="C330" s="7">
        <f t="shared" si="1"/>
        <v>2012</v>
      </c>
      <c r="D330" s="14" t="str">
        <f t="shared" si="2"/>
        <v>06 - Jun</v>
      </c>
      <c r="E330" s="15" t="str">
        <f t="shared" si="3"/>
        <v>Fri</v>
      </c>
      <c r="F330" s="15">
        <f t="shared" si="4"/>
        <v>5</v>
      </c>
      <c r="G330" s="16">
        <v>41102.0</v>
      </c>
      <c r="H330" s="14">
        <f t="shared" si="5"/>
        <v>27</v>
      </c>
      <c r="I330" s="7" t="s">
        <v>364</v>
      </c>
      <c r="J330" s="7" t="s">
        <v>406</v>
      </c>
      <c r="K330" s="7" t="str">
        <f>VLOOKUP(J330,countries,2,false)</f>
        <v>Italy</v>
      </c>
      <c r="L330" s="7" t="str">
        <f>VLOOKUP($J330,countries,5,false)</f>
        <v>Europe</v>
      </c>
      <c r="M330" s="7" t="str">
        <f>VLOOKUP($J330,countries,6,false)</f>
        <v>Southern Europe</v>
      </c>
      <c r="N330" s="7">
        <v>7331.0</v>
      </c>
      <c r="O330" s="7" t="str">
        <f>VLOOKUP(N330, products, 2, FALSE)</f>
        <v>Baby Food</v>
      </c>
      <c r="P330" s="7" t="s">
        <v>334</v>
      </c>
      <c r="Q330" s="7">
        <v>9896.0</v>
      </c>
      <c r="R330" s="17">
        <v>255.28</v>
      </c>
      <c r="S330" s="17">
        <v>159.42</v>
      </c>
      <c r="U330" s="18">
        <f t="shared" si="6"/>
        <v>2526250.88</v>
      </c>
      <c r="V330" s="18">
        <f t="shared" si="7"/>
        <v>1577620.32</v>
      </c>
      <c r="W330" s="19">
        <f t="shared" si="8"/>
        <v>948630.56</v>
      </c>
    </row>
    <row r="331">
      <c r="A331" s="7">
        <v>3.15066277E8</v>
      </c>
      <c r="B331" s="12">
        <v>41557.0</v>
      </c>
      <c r="C331" s="7">
        <f t="shared" si="1"/>
        <v>2013</v>
      </c>
      <c r="D331" s="14" t="str">
        <f t="shared" si="2"/>
        <v>10 - Oct</v>
      </c>
      <c r="E331" s="15" t="str">
        <f t="shared" si="3"/>
        <v>Thu</v>
      </c>
      <c r="F331" s="15">
        <f t="shared" si="4"/>
        <v>4</v>
      </c>
      <c r="G331" s="16">
        <v>41606.0</v>
      </c>
      <c r="H331" s="14">
        <f t="shared" si="5"/>
        <v>49</v>
      </c>
      <c r="I331" s="7" t="s">
        <v>364</v>
      </c>
      <c r="J331" s="7" t="s">
        <v>435</v>
      </c>
      <c r="K331" s="7" t="str">
        <f>VLOOKUP(J331,countries,2,false)</f>
        <v>Slovakia</v>
      </c>
      <c r="L331" s="7" t="str">
        <f>VLOOKUP($J331,countries,5,false)</f>
        <v>Europe</v>
      </c>
      <c r="M331" s="7" t="str">
        <f>VLOOKUP($J331,countries,6,false)</f>
        <v>Eastern Europe</v>
      </c>
      <c r="N331" s="7">
        <v>8969.0</v>
      </c>
      <c r="O331" s="7" t="str">
        <f>VLOOKUP(N331, products, 2, FALSE)</f>
        <v>Snacks</v>
      </c>
      <c r="P331" s="7" t="s">
        <v>334</v>
      </c>
      <c r="Q331" s="7">
        <v>3968.0</v>
      </c>
      <c r="R331" s="17">
        <v>152.58</v>
      </c>
      <c r="S331" s="17">
        <v>97.44</v>
      </c>
      <c r="U331" s="18">
        <f t="shared" si="6"/>
        <v>605437.44</v>
      </c>
      <c r="V331" s="18">
        <f t="shared" si="7"/>
        <v>386641.92</v>
      </c>
      <c r="W331" s="19">
        <f t="shared" si="8"/>
        <v>218795.52</v>
      </c>
    </row>
    <row r="332">
      <c r="A332" s="7">
        <v>3.16466176E8</v>
      </c>
      <c r="B332" s="12">
        <v>41781.0</v>
      </c>
      <c r="C332" s="7">
        <f t="shared" si="1"/>
        <v>2014</v>
      </c>
      <c r="D332" s="14" t="str">
        <f t="shared" si="2"/>
        <v>05 - May</v>
      </c>
      <c r="E332" s="15" t="str">
        <f t="shared" si="3"/>
        <v>Thu</v>
      </c>
      <c r="F332" s="15">
        <f t="shared" si="4"/>
        <v>4</v>
      </c>
      <c r="G332" s="16">
        <v>41792.0</v>
      </c>
      <c r="H332" s="14">
        <f t="shared" si="5"/>
        <v>11</v>
      </c>
      <c r="I332" s="7" t="s">
        <v>399</v>
      </c>
      <c r="J332" s="7" t="s">
        <v>274</v>
      </c>
      <c r="K332" s="7" t="str">
        <f>VLOOKUP(J332,countries,2,false)</f>
        <v>Estonia</v>
      </c>
      <c r="L332" s="7" t="str">
        <f>VLOOKUP($J332,countries,5,false)</f>
        <v>Europe</v>
      </c>
      <c r="M332" s="7" t="str">
        <f>VLOOKUP($J332,countries,6,false)</f>
        <v>Northern Europe</v>
      </c>
      <c r="N332" s="7">
        <v>7331.0</v>
      </c>
      <c r="O332" s="7" t="str">
        <f>VLOOKUP(N332, products, 2, FALSE)</f>
        <v>Baby Food</v>
      </c>
      <c r="P332" s="7" t="s">
        <v>334</v>
      </c>
      <c r="Q332" s="7">
        <v>8229.0</v>
      </c>
      <c r="R332" s="17">
        <v>255.28</v>
      </c>
      <c r="S332" s="17">
        <v>159.42</v>
      </c>
      <c r="U332" s="18">
        <f t="shared" si="6"/>
        <v>2100699.12</v>
      </c>
      <c r="V332" s="18">
        <f t="shared" si="7"/>
        <v>1311867.18</v>
      </c>
      <c r="W332" s="19">
        <f t="shared" si="8"/>
        <v>788831.94</v>
      </c>
    </row>
    <row r="333">
      <c r="A333" s="7">
        <v>3.17006051E8</v>
      </c>
      <c r="B333" s="12">
        <v>42855.0</v>
      </c>
      <c r="C333" s="7">
        <f t="shared" si="1"/>
        <v>2017</v>
      </c>
      <c r="D333" s="14" t="str">
        <f t="shared" si="2"/>
        <v>04 - Apr</v>
      </c>
      <c r="E333" s="15" t="str">
        <f t="shared" si="3"/>
        <v>Sun</v>
      </c>
      <c r="F333" s="15">
        <f t="shared" si="4"/>
        <v>7</v>
      </c>
      <c r="G333" s="16">
        <v>42891.0</v>
      </c>
      <c r="H333" s="14">
        <f t="shared" si="5"/>
        <v>36</v>
      </c>
      <c r="I333" s="7" t="s">
        <v>399</v>
      </c>
      <c r="J333" s="7" t="s">
        <v>328</v>
      </c>
      <c r="K333" s="7" t="str">
        <f>VLOOKUP(J333,countries,2,false)</f>
        <v>Greece</v>
      </c>
      <c r="L333" s="7" t="str">
        <f>VLOOKUP($J333,countries,5,false)</f>
        <v>Europe</v>
      </c>
      <c r="M333" s="7" t="str">
        <f>VLOOKUP($J333,countries,6,false)</f>
        <v>Southern Europe</v>
      </c>
      <c r="N333" s="7">
        <v>1270.0</v>
      </c>
      <c r="O333" s="7" t="str">
        <f>VLOOKUP(N333, products, 2, FALSE)</f>
        <v>Beverages</v>
      </c>
      <c r="P333" s="7" t="s">
        <v>334</v>
      </c>
      <c r="Q333" s="7">
        <v>7990.0</v>
      </c>
      <c r="R333" s="17">
        <v>47.45</v>
      </c>
      <c r="S333" s="17">
        <v>31.79</v>
      </c>
      <c r="U333" s="18">
        <f t="shared" si="6"/>
        <v>379125.5</v>
      </c>
      <c r="V333" s="18">
        <f t="shared" si="7"/>
        <v>254002.1</v>
      </c>
      <c r="W333" s="19">
        <f t="shared" si="8"/>
        <v>125123.4</v>
      </c>
    </row>
    <row r="334">
      <c r="A334" s="7">
        <v>3.18523538E8</v>
      </c>
      <c r="B334" s="12">
        <v>42284.0</v>
      </c>
      <c r="C334" s="7">
        <f t="shared" si="1"/>
        <v>2015</v>
      </c>
      <c r="D334" s="14" t="str">
        <f t="shared" si="2"/>
        <v>10 - Oct</v>
      </c>
      <c r="E334" s="15" t="str">
        <f t="shared" si="3"/>
        <v>Wed</v>
      </c>
      <c r="F334" s="15">
        <f t="shared" si="4"/>
        <v>3</v>
      </c>
      <c r="G334" s="16">
        <v>42313.0</v>
      </c>
      <c r="H334" s="14">
        <f t="shared" si="5"/>
        <v>29</v>
      </c>
      <c r="I334" s="7" t="s">
        <v>232</v>
      </c>
      <c r="J334" s="7" t="s">
        <v>274</v>
      </c>
      <c r="K334" s="7" t="str">
        <f>VLOOKUP(J334,countries,2,false)</f>
        <v>Estonia</v>
      </c>
      <c r="L334" s="7" t="str">
        <f>VLOOKUP($J334,countries,5,false)</f>
        <v>Europe</v>
      </c>
      <c r="M334" s="7" t="str">
        <f>VLOOKUP($J334,countries,6,false)</f>
        <v>Northern Europe</v>
      </c>
      <c r="N334" s="7">
        <v>2103.0</v>
      </c>
      <c r="O334" s="7" t="str">
        <f>VLOOKUP(N334, products, 2, FALSE)</f>
        <v>Cereal</v>
      </c>
      <c r="P334" s="7" t="s">
        <v>264</v>
      </c>
      <c r="Q334" s="7">
        <v>7048.0</v>
      </c>
      <c r="R334" s="17">
        <v>205.7</v>
      </c>
      <c r="S334" s="17">
        <v>117.11</v>
      </c>
      <c r="U334" s="18">
        <f t="shared" si="6"/>
        <v>1449773.6</v>
      </c>
      <c r="V334" s="18">
        <f t="shared" si="7"/>
        <v>825391.28</v>
      </c>
      <c r="W334" s="19">
        <f t="shared" si="8"/>
        <v>624382.32</v>
      </c>
    </row>
    <row r="335">
      <c r="A335" s="7">
        <v>3.20431125E8</v>
      </c>
      <c r="B335" s="12">
        <v>42074.0</v>
      </c>
      <c r="C335" s="7">
        <f t="shared" si="1"/>
        <v>2015</v>
      </c>
      <c r="D335" s="14" t="str">
        <f t="shared" si="2"/>
        <v>03 - Mar</v>
      </c>
      <c r="E335" s="15" t="str">
        <f t="shared" si="3"/>
        <v>Wed</v>
      </c>
      <c r="F335" s="15">
        <f t="shared" si="4"/>
        <v>3</v>
      </c>
      <c r="G335" s="16">
        <v>42111.0</v>
      </c>
      <c r="H335" s="14">
        <f t="shared" si="5"/>
        <v>37</v>
      </c>
      <c r="I335" s="7" t="s">
        <v>399</v>
      </c>
      <c r="J335" s="7" t="s">
        <v>67</v>
      </c>
      <c r="K335" s="7" t="str">
        <f>VLOOKUP(J335,countries,2,false)</f>
        <v>Andorra</v>
      </c>
      <c r="L335" s="7" t="str">
        <f>VLOOKUP($J335,countries,5,false)</f>
        <v>Europe</v>
      </c>
      <c r="M335" s="7" t="str">
        <f>VLOOKUP($J335,countries,6,false)</f>
        <v>Southern Europe</v>
      </c>
      <c r="N335" s="7">
        <v>1270.0</v>
      </c>
      <c r="O335" s="7" t="str">
        <f>VLOOKUP(N335, products, 2, FALSE)</f>
        <v>Beverages</v>
      </c>
      <c r="P335" s="7" t="s">
        <v>264</v>
      </c>
      <c r="Q335" s="7">
        <v>1545.0</v>
      </c>
      <c r="R335" s="17">
        <v>47.45</v>
      </c>
      <c r="S335" s="17">
        <v>31.79</v>
      </c>
      <c r="U335" s="18">
        <f t="shared" si="6"/>
        <v>73310.25</v>
      </c>
      <c r="V335" s="18">
        <f t="shared" si="7"/>
        <v>49115.55</v>
      </c>
      <c r="W335" s="19">
        <f t="shared" si="8"/>
        <v>24194.7</v>
      </c>
    </row>
    <row r="336">
      <c r="A336" s="7">
        <v>3.21628463E8</v>
      </c>
      <c r="B336" s="12">
        <v>40660.0</v>
      </c>
      <c r="C336" s="7">
        <f t="shared" si="1"/>
        <v>2011</v>
      </c>
      <c r="D336" s="14" t="str">
        <f t="shared" si="2"/>
        <v>04 - Apr</v>
      </c>
      <c r="E336" s="15" t="str">
        <f t="shared" si="3"/>
        <v>Wed</v>
      </c>
      <c r="F336" s="15">
        <f t="shared" si="4"/>
        <v>3</v>
      </c>
      <c r="G336" s="16">
        <v>40677.0</v>
      </c>
      <c r="H336" s="14">
        <f t="shared" si="5"/>
        <v>17</v>
      </c>
      <c r="I336" s="7" t="s">
        <v>364</v>
      </c>
      <c r="J336" s="7" t="s">
        <v>608</v>
      </c>
      <c r="K336" s="7" t="str">
        <f>VLOOKUP(J336,countries,2,false)</f>
        <v>Poland</v>
      </c>
      <c r="L336" s="7" t="str">
        <f>VLOOKUP($J336,countries,5,false)</f>
        <v>Europe</v>
      </c>
      <c r="M336" s="7" t="str">
        <f>VLOOKUP($J336,countries,6,false)</f>
        <v>Eastern Europe</v>
      </c>
      <c r="N336" s="7">
        <v>7940.0</v>
      </c>
      <c r="O336" s="7" t="str">
        <f>VLOOKUP(N336, products, 2, FALSE)</f>
        <v>Household</v>
      </c>
      <c r="P336" s="7" t="s">
        <v>264</v>
      </c>
      <c r="Q336" s="7">
        <v>5864.0</v>
      </c>
      <c r="R336" s="17">
        <v>668.27</v>
      </c>
      <c r="S336" s="17">
        <v>502.54</v>
      </c>
      <c r="U336" s="18">
        <f t="shared" si="6"/>
        <v>3918735.28</v>
      </c>
      <c r="V336" s="18">
        <f t="shared" si="7"/>
        <v>2946894.56</v>
      </c>
      <c r="W336" s="19">
        <f t="shared" si="8"/>
        <v>971840.72</v>
      </c>
    </row>
    <row r="337">
      <c r="A337" s="7">
        <v>3.22524106E8</v>
      </c>
      <c r="B337" s="12">
        <v>42144.0</v>
      </c>
      <c r="C337" s="7">
        <f t="shared" si="1"/>
        <v>2015</v>
      </c>
      <c r="D337" s="14" t="str">
        <f t="shared" si="2"/>
        <v>05 - May</v>
      </c>
      <c r="E337" s="15" t="str">
        <f t="shared" si="3"/>
        <v>Wed</v>
      </c>
      <c r="F337" s="15">
        <f t="shared" si="4"/>
        <v>3</v>
      </c>
      <c r="G337" s="16">
        <v>42144.0</v>
      </c>
      <c r="H337" s="14">
        <f t="shared" si="5"/>
        <v>0</v>
      </c>
      <c r="I337" s="7" t="s">
        <v>305</v>
      </c>
      <c r="J337" s="7" t="s">
        <v>243</v>
      </c>
      <c r="K337" s="7" t="str">
        <f>VLOOKUP(J337,countries,2,false)</f>
        <v>Czech Republic</v>
      </c>
      <c r="L337" s="7" t="str">
        <f>VLOOKUP($J337,countries,5,false)</f>
        <v>Europe</v>
      </c>
      <c r="M337" s="7" t="str">
        <f>VLOOKUP($J337,countries,6,false)</f>
        <v>Eastern Europe</v>
      </c>
      <c r="N337" s="7">
        <v>2103.0</v>
      </c>
      <c r="O337" s="7" t="str">
        <f>VLOOKUP(N337, products, 2, FALSE)</f>
        <v>Cereal</v>
      </c>
      <c r="P337" s="7" t="s">
        <v>334</v>
      </c>
      <c r="Q337" s="7">
        <v>905.0</v>
      </c>
      <c r="R337" s="17">
        <v>205.7</v>
      </c>
      <c r="S337" s="17">
        <v>117.11</v>
      </c>
      <c r="U337" s="18">
        <f t="shared" si="6"/>
        <v>186158.5</v>
      </c>
      <c r="V337" s="18">
        <f t="shared" si="7"/>
        <v>105984.55</v>
      </c>
      <c r="W337" s="19">
        <f t="shared" si="8"/>
        <v>80173.95</v>
      </c>
    </row>
    <row r="338">
      <c r="A338" s="7">
        <v>3.23293578E8</v>
      </c>
      <c r="B338" s="12">
        <v>42362.0</v>
      </c>
      <c r="C338" s="7">
        <f t="shared" si="1"/>
        <v>2015</v>
      </c>
      <c r="D338" s="14" t="str">
        <f t="shared" si="2"/>
        <v>12 - Dec</v>
      </c>
      <c r="E338" s="15" t="str">
        <f t="shared" si="3"/>
        <v>Thu</v>
      </c>
      <c r="F338" s="15">
        <f t="shared" si="4"/>
        <v>4</v>
      </c>
      <c r="G338" s="16">
        <v>42402.0</v>
      </c>
      <c r="H338" s="14">
        <f t="shared" si="5"/>
        <v>40</v>
      </c>
      <c r="I338" s="7" t="s">
        <v>399</v>
      </c>
      <c r="J338" s="7" t="s">
        <v>101</v>
      </c>
      <c r="K338" s="7" t="str">
        <f>VLOOKUP(J338,countries,2,false)</f>
        <v>Austria</v>
      </c>
      <c r="L338" s="7" t="str">
        <f>VLOOKUP($J338,countries,5,false)</f>
        <v>Europe</v>
      </c>
      <c r="M338" s="7" t="str">
        <f>VLOOKUP($J338,countries,6,false)</f>
        <v>Western Europe</v>
      </c>
      <c r="N338" s="7">
        <v>2103.0</v>
      </c>
      <c r="O338" s="7" t="str">
        <f>VLOOKUP(N338, products, 2, FALSE)</f>
        <v>Cereal</v>
      </c>
      <c r="P338" s="7" t="s">
        <v>264</v>
      </c>
      <c r="Q338" s="7">
        <v>8609.0</v>
      </c>
      <c r="R338" s="17">
        <v>205.7</v>
      </c>
      <c r="S338" s="17">
        <v>117.11</v>
      </c>
      <c r="U338" s="18">
        <f t="shared" si="6"/>
        <v>1770871.3</v>
      </c>
      <c r="V338" s="18">
        <f t="shared" si="7"/>
        <v>1008199.99</v>
      </c>
      <c r="W338" s="19">
        <f t="shared" si="8"/>
        <v>762671.31</v>
      </c>
    </row>
    <row r="339">
      <c r="A339" s="7">
        <v>3.25314033E8</v>
      </c>
      <c r="B339" s="12">
        <v>40914.0</v>
      </c>
      <c r="C339" s="7">
        <f t="shared" si="1"/>
        <v>2012</v>
      </c>
      <c r="D339" s="14" t="str">
        <f t="shared" si="2"/>
        <v>01 - Jan</v>
      </c>
      <c r="E339" s="15" t="str">
        <f t="shared" si="3"/>
        <v>Fri</v>
      </c>
      <c r="F339" s="15">
        <f t="shared" si="4"/>
        <v>5</v>
      </c>
      <c r="G339" s="16">
        <v>40938.0</v>
      </c>
      <c r="H339" s="14">
        <f t="shared" si="5"/>
        <v>24</v>
      </c>
      <c r="I339" s="7" t="s">
        <v>399</v>
      </c>
      <c r="J339" s="7" t="s">
        <v>240</v>
      </c>
      <c r="K339" s="7" t="str">
        <f>VLOOKUP(J339,countries,2,false)</f>
        <v>Cyprus</v>
      </c>
      <c r="L339" s="7" t="str">
        <f>VLOOKUP($J339,countries,5,false)</f>
        <v>Asia</v>
      </c>
      <c r="M339" s="7" t="str">
        <f>VLOOKUP($J339,countries,6,false)</f>
        <v>Western Asia</v>
      </c>
      <c r="N339" s="7">
        <v>2455.0</v>
      </c>
      <c r="O339" s="7" t="str">
        <f>VLOOKUP(N339, products, 2, FALSE)</f>
        <v>Clothes</v>
      </c>
      <c r="P339" s="7" t="s">
        <v>264</v>
      </c>
      <c r="Q339" s="7">
        <v>6506.0</v>
      </c>
      <c r="R339" s="17">
        <v>109.28</v>
      </c>
      <c r="S339" s="17">
        <v>35.84</v>
      </c>
      <c r="U339" s="18">
        <f t="shared" si="6"/>
        <v>710975.68</v>
      </c>
      <c r="V339" s="18">
        <f t="shared" si="7"/>
        <v>233175.04</v>
      </c>
      <c r="W339" s="19">
        <f t="shared" si="8"/>
        <v>477800.64</v>
      </c>
    </row>
    <row r="340">
      <c r="A340" s="7">
        <v>3.27072703E8</v>
      </c>
      <c r="B340" s="12">
        <v>41579.0</v>
      </c>
      <c r="C340" s="7">
        <f t="shared" si="1"/>
        <v>2013</v>
      </c>
      <c r="D340" s="14" t="str">
        <f t="shared" si="2"/>
        <v>11 - Nov</v>
      </c>
      <c r="E340" s="15" t="str">
        <f t="shared" si="3"/>
        <v>Fri</v>
      </c>
      <c r="F340" s="15">
        <f t="shared" si="4"/>
        <v>5</v>
      </c>
      <c r="G340" s="16">
        <v>41594.0</v>
      </c>
      <c r="H340" s="14">
        <f t="shared" si="5"/>
        <v>15</v>
      </c>
      <c r="I340" s="7" t="s">
        <v>305</v>
      </c>
      <c r="J340" s="7" t="s">
        <v>435</v>
      </c>
      <c r="K340" s="7" t="str">
        <f>VLOOKUP(J340,countries,2,false)</f>
        <v>Slovakia</v>
      </c>
      <c r="L340" s="7" t="str">
        <f>VLOOKUP($J340,countries,5,false)</f>
        <v>Europe</v>
      </c>
      <c r="M340" s="7" t="str">
        <f>VLOOKUP($J340,countries,6,false)</f>
        <v>Eastern Europe</v>
      </c>
      <c r="N340" s="7">
        <v>8293.0</v>
      </c>
      <c r="O340" s="7" t="str">
        <f>VLOOKUP(N340, products, 2, FALSE)</f>
        <v>Cosmetics</v>
      </c>
      <c r="P340" s="7" t="s">
        <v>264</v>
      </c>
      <c r="Q340" s="7">
        <v>6936.0</v>
      </c>
      <c r="R340" s="17">
        <v>437.2</v>
      </c>
      <c r="S340" s="17">
        <v>263.33</v>
      </c>
      <c r="U340" s="18">
        <f t="shared" si="6"/>
        <v>3032419.2</v>
      </c>
      <c r="V340" s="18">
        <f t="shared" si="7"/>
        <v>1826456.88</v>
      </c>
      <c r="W340" s="19">
        <f t="shared" si="8"/>
        <v>1205962.32</v>
      </c>
    </row>
    <row r="341">
      <c r="A341" s="7">
        <v>3.27604424E8</v>
      </c>
      <c r="B341" s="12">
        <v>41385.0</v>
      </c>
      <c r="C341" s="7">
        <f t="shared" si="1"/>
        <v>2013</v>
      </c>
      <c r="D341" s="14" t="str">
        <f t="shared" si="2"/>
        <v>04 - Apr</v>
      </c>
      <c r="E341" s="15" t="str">
        <f t="shared" si="3"/>
        <v>Sun</v>
      </c>
      <c r="F341" s="15">
        <f t="shared" si="4"/>
        <v>7</v>
      </c>
      <c r="G341" s="16">
        <v>41407.0</v>
      </c>
      <c r="H341" s="14">
        <f t="shared" si="5"/>
        <v>22</v>
      </c>
      <c r="I341" s="7" t="s">
        <v>364</v>
      </c>
      <c r="J341" s="7" t="s">
        <v>378</v>
      </c>
      <c r="K341" s="7" t="str">
        <f>VLOOKUP(J341,countries,2,false)</f>
        <v>Hungary</v>
      </c>
      <c r="L341" s="7" t="str">
        <f>VLOOKUP($J341,countries,5,false)</f>
        <v>Europe</v>
      </c>
      <c r="M341" s="7" t="str">
        <f>VLOOKUP($J341,countries,6,false)</f>
        <v>Eastern Europe</v>
      </c>
      <c r="N341" s="7">
        <v>1270.0</v>
      </c>
      <c r="O341" s="7" t="str">
        <f>VLOOKUP(N341, products, 2, FALSE)</f>
        <v>Beverages</v>
      </c>
      <c r="P341" s="7" t="s">
        <v>264</v>
      </c>
      <c r="Q341" s="7">
        <v>4284.0</v>
      </c>
      <c r="R341" s="17">
        <v>47.45</v>
      </c>
      <c r="S341" s="17">
        <v>31.79</v>
      </c>
      <c r="U341" s="18">
        <f t="shared" si="6"/>
        <v>203275.8</v>
      </c>
      <c r="V341" s="18">
        <f t="shared" si="7"/>
        <v>136188.36</v>
      </c>
      <c r="W341" s="19">
        <f t="shared" si="8"/>
        <v>67087.44</v>
      </c>
    </row>
    <row r="342">
      <c r="A342" s="7">
        <v>3.28322827E8</v>
      </c>
      <c r="B342" s="12">
        <v>41090.0</v>
      </c>
      <c r="C342" s="7">
        <f t="shared" si="1"/>
        <v>2012</v>
      </c>
      <c r="D342" s="14" t="str">
        <f t="shared" si="2"/>
        <v>06 - Jun</v>
      </c>
      <c r="E342" s="15" t="str">
        <f t="shared" si="3"/>
        <v>Sat</v>
      </c>
      <c r="F342" s="15">
        <f t="shared" si="4"/>
        <v>6</v>
      </c>
      <c r="G342" s="16">
        <v>41109.0</v>
      </c>
      <c r="H342" s="14">
        <f t="shared" si="5"/>
        <v>19</v>
      </c>
      <c r="I342" s="7" t="s">
        <v>305</v>
      </c>
      <c r="J342" s="7" t="s">
        <v>67</v>
      </c>
      <c r="K342" s="7" t="str">
        <f>VLOOKUP(J342,countries,2,false)</f>
        <v>Andorra</v>
      </c>
      <c r="L342" s="7" t="str">
        <f>VLOOKUP($J342,countries,5,false)</f>
        <v>Europe</v>
      </c>
      <c r="M342" s="7" t="str">
        <f>VLOOKUP($J342,countries,6,false)</f>
        <v>Southern Europe</v>
      </c>
      <c r="N342" s="7">
        <v>8293.0</v>
      </c>
      <c r="O342" s="7" t="str">
        <f>VLOOKUP(N342, products, 2, FALSE)</f>
        <v>Cosmetics</v>
      </c>
      <c r="P342" s="7" t="s">
        <v>264</v>
      </c>
      <c r="Q342" s="7">
        <v>6876.0</v>
      </c>
      <c r="R342" s="17">
        <v>437.2</v>
      </c>
      <c r="S342" s="17">
        <v>263.33</v>
      </c>
      <c r="U342" s="18">
        <f t="shared" si="6"/>
        <v>3006187.2</v>
      </c>
      <c r="V342" s="18">
        <f t="shared" si="7"/>
        <v>1810657.08</v>
      </c>
      <c r="W342" s="19">
        <f t="shared" si="8"/>
        <v>1195530.12</v>
      </c>
    </row>
    <row r="343">
      <c r="A343" s="7">
        <v>3.28721082E8</v>
      </c>
      <c r="B343" s="12">
        <v>42718.0</v>
      </c>
      <c r="C343" s="7">
        <f t="shared" si="1"/>
        <v>2016</v>
      </c>
      <c r="D343" s="14" t="str">
        <f t="shared" si="2"/>
        <v>12 - Dec</v>
      </c>
      <c r="E343" s="15" t="str">
        <f t="shared" si="3"/>
        <v>Wed</v>
      </c>
      <c r="F343" s="15">
        <f t="shared" si="4"/>
        <v>3</v>
      </c>
      <c r="G343" s="16">
        <v>42722.0</v>
      </c>
      <c r="H343" s="14">
        <f t="shared" si="5"/>
        <v>4</v>
      </c>
      <c r="I343" s="7" t="s">
        <v>364</v>
      </c>
      <c r="J343" s="7" t="s">
        <v>348</v>
      </c>
      <c r="K343" s="7" t="s">
        <v>348</v>
      </c>
      <c r="L343" s="7" t="s">
        <v>348</v>
      </c>
      <c r="M343" s="7" t="s">
        <v>348</v>
      </c>
      <c r="N343" s="7">
        <v>7331.0</v>
      </c>
      <c r="O343" s="7" t="str">
        <f>VLOOKUP(N343, products, 2, FALSE)</f>
        <v>Baby Food</v>
      </c>
      <c r="P343" s="7" t="s">
        <v>264</v>
      </c>
      <c r="Q343" s="7">
        <v>4728.0</v>
      </c>
      <c r="R343" s="17">
        <v>255.28</v>
      </c>
      <c r="S343" s="17">
        <v>159.42</v>
      </c>
      <c r="U343" s="18">
        <f t="shared" si="6"/>
        <v>1206963.84</v>
      </c>
      <c r="V343" s="18">
        <f t="shared" si="7"/>
        <v>753737.76</v>
      </c>
      <c r="W343" s="19">
        <f t="shared" si="8"/>
        <v>453226.08</v>
      </c>
    </row>
    <row r="344">
      <c r="A344" s="7">
        <v>3.29529607E8</v>
      </c>
      <c r="B344" s="12">
        <v>40561.0</v>
      </c>
      <c r="C344" s="7">
        <f t="shared" si="1"/>
        <v>2011</v>
      </c>
      <c r="D344" s="14" t="str">
        <f t="shared" si="2"/>
        <v>01 - Jan</v>
      </c>
      <c r="E344" s="15" t="str">
        <f t="shared" si="3"/>
        <v>Tue</v>
      </c>
      <c r="F344" s="15">
        <f t="shared" si="4"/>
        <v>2</v>
      </c>
      <c r="G344" s="16">
        <v>40566.0</v>
      </c>
      <c r="H344" s="14">
        <f t="shared" si="5"/>
        <v>5</v>
      </c>
      <c r="I344" s="7" t="s">
        <v>364</v>
      </c>
      <c r="J344" s="7" t="s">
        <v>771</v>
      </c>
      <c r="K344" s="7" t="str">
        <f>VLOOKUP(J344,countries,2,false)</f>
        <v>Ukraine</v>
      </c>
      <c r="L344" s="7" t="str">
        <f>VLOOKUP($J344,countries,5,false)</f>
        <v>Europe</v>
      </c>
      <c r="M344" s="7" t="str">
        <f>VLOOKUP($J344,countries,6,false)</f>
        <v>Eastern Europe</v>
      </c>
      <c r="N344" s="7">
        <v>8293.0</v>
      </c>
      <c r="O344" s="7" t="str">
        <f>VLOOKUP(N344, products, 2, FALSE)</f>
        <v>Cosmetics</v>
      </c>
      <c r="P344" s="7" t="s">
        <v>264</v>
      </c>
      <c r="Q344" s="7">
        <v>3988.0</v>
      </c>
      <c r="R344" s="17">
        <v>437.2</v>
      </c>
      <c r="S344" s="17">
        <v>263.33</v>
      </c>
      <c r="U344" s="18">
        <f t="shared" si="6"/>
        <v>1743553.6</v>
      </c>
      <c r="V344" s="18">
        <f t="shared" si="7"/>
        <v>1050160.04</v>
      </c>
      <c r="W344" s="19">
        <f t="shared" si="8"/>
        <v>693393.56</v>
      </c>
    </row>
    <row r="345">
      <c r="A345" s="7">
        <v>3.30590474E8</v>
      </c>
      <c r="B345" s="12">
        <v>40938.0</v>
      </c>
      <c r="C345" s="7">
        <f t="shared" si="1"/>
        <v>2012</v>
      </c>
      <c r="D345" s="14" t="str">
        <f t="shared" si="2"/>
        <v>01 - Jan</v>
      </c>
      <c r="E345" s="15" t="str">
        <f t="shared" si="3"/>
        <v>Mon</v>
      </c>
      <c r="F345" s="15">
        <f t="shared" si="4"/>
        <v>1</v>
      </c>
      <c r="G345" s="16">
        <v>40982.0</v>
      </c>
      <c r="H345" s="14">
        <f t="shared" si="5"/>
        <v>44</v>
      </c>
      <c r="I345" s="7" t="s">
        <v>364</v>
      </c>
      <c r="J345" s="7" t="s">
        <v>233</v>
      </c>
      <c r="K345" s="7" t="str">
        <f>VLOOKUP(J345,countries,2,false)</f>
        <v>Norway</v>
      </c>
      <c r="L345" s="7" t="str">
        <f>VLOOKUP($J345,countries,5,false)</f>
        <v>Europe</v>
      </c>
      <c r="M345" s="7" t="str">
        <f>VLOOKUP($J345,countries,6,false)</f>
        <v>Northern Europe</v>
      </c>
      <c r="N345" s="7">
        <v>8681.0</v>
      </c>
      <c r="O345" s="7" t="str">
        <f>VLOOKUP(N345, products, 2, FALSE)</f>
        <v>Office Supplies</v>
      </c>
      <c r="P345" s="7" t="s">
        <v>264</v>
      </c>
      <c r="Q345" s="7">
        <v>7923.0</v>
      </c>
      <c r="R345" s="17">
        <v>651.21</v>
      </c>
      <c r="S345" s="17">
        <v>524.96</v>
      </c>
      <c r="U345" s="18">
        <f t="shared" si="6"/>
        <v>5159536.83</v>
      </c>
      <c r="V345" s="18">
        <f t="shared" si="7"/>
        <v>4159258.08</v>
      </c>
      <c r="W345" s="19">
        <f t="shared" si="8"/>
        <v>1000278.75</v>
      </c>
    </row>
    <row r="346">
      <c r="A346" s="7">
        <v>3.32268464E8</v>
      </c>
      <c r="B346" s="12">
        <v>41584.0</v>
      </c>
      <c r="C346" s="7">
        <f t="shared" si="1"/>
        <v>2013</v>
      </c>
      <c r="D346" s="14" t="str">
        <f t="shared" si="2"/>
        <v>11 - Nov</v>
      </c>
      <c r="E346" s="15" t="str">
        <f t="shared" si="3"/>
        <v>Wed</v>
      </c>
      <c r="F346" s="15">
        <f t="shared" si="4"/>
        <v>3</v>
      </c>
      <c r="G346" s="16">
        <v>41622.0</v>
      </c>
      <c r="H346" s="14">
        <f t="shared" si="5"/>
        <v>38</v>
      </c>
      <c r="I346" s="7" t="s">
        <v>305</v>
      </c>
      <c r="J346" s="7" t="s">
        <v>608</v>
      </c>
      <c r="K346" s="7" t="str">
        <f>VLOOKUP(J346,countries,2,false)</f>
        <v>Poland</v>
      </c>
      <c r="L346" s="7" t="str">
        <f>VLOOKUP($J346,countries,5,false)</f>
        <v>Europe</v>
      </c>
      <c r="M346" s="7" t="str">
        <f>VLOOKUP($J346,countries,6,false)</f>
        <v>Eastern Europe</v>
      </c>
      <c r="N346" s="7">
        <v>2103.0</v>
      </c>
      <c r="O346" s="7" t="str">
        <f>VLOOKUP(N346, products, 2, FALSE)</f>
        <v>Cereal</v>
      </c>
      <c r="P346" s="7" t="s">
        <v>264</v>
      </c>
      <c r="Q346" s="7">
        <v>4477.0</v>
      </c>
      <c r="R346" s="17">
        <v>205.7</v>
      </c>
      <c r="S346" s="17">
        <v>117.11</v>
      </c>
      <c r="U346" s="18">
        <f t="shared" si="6"/>
        <v>920918.9</v>
      </c>
      <c r="V346" s="18">
        <f t="shared" si="7"/>
        <v>524301.47</v>
      </c>
      <c r="W346" s="19">
        <f t="shared" si="8"/>
        <v>396617.43</v>
      </c>
    </row>
    <row r="347">
      <c r="A347" s="7">
        <v>3.32353007E8</v>
      </c>
      <c r="B347" s="12">
        <v>40457.0</v>
      </c>
      <c r="C347" s="7">
        <f t="shared" si="1"/>
        <v>2010</v>
      </c>
      <c r="D347" s="14" t="str">
        <f t="shared" si="2"/>
        <v>10 - Oct</v>
      </c>
      <c r="E347" s="15" t="str">
        <f t="shared" si="3"/>
        <v>Wed</v>
      </c>
      <c r="F347" s="15">
        <f t="shared" si="4"/>
        <v>3</v>
      </c>
      <c r="G347" s="16">
        <v>40504.0</v>
      </c>
      <c r="H347" s="14">
        <f t="shared" si="5"/>
        <v>47</v>
      </c>
      <c r="I347" s="7" t="s">
        <v>399</v>
      </c>
      <c r="J347" s="7" t="s">
        <v>378</v>
      </c>
      <c r="K347" s="7" t="str">
        <f>VLOOKUP(J347,countries,2,false)</f>
        <v>Hungary</v>
      </c>
      <c r="L347" s="7" t="str">
        <f>VLOOKUP($J347,countries,5,false)</f>
        <v>Europe</v>
      </c>
      <c r="M347" s="7" t="str">
        <f>VLOOKUP($J347,countries,6,false)</f>
        <v>Eastern Europe</v>
      </c>
      <c r="N347" s="7">
        <v>8293.0</v>
      </c>
      <c r="O347" s="7" t="str">
        <f>VLOOKUP(N347, products, 2, FALSE)</f>
        <v>Cosmetics</v>
      </c>
      <c r="P347" s="7" t="s">
        <v>264</v>
      </c>
      <c r="Q347" s="7">
        <v>9495.0</v>
      </c>
      <c r="R347" s="17">
        <v>437.2</v>
      </c>
      <c r="S347" s="17">
        <v>263.33</v>
      </c>
      <c r="U347" s="18">
        <f t="shared" si="6"/>
        <v>4151214</v>
      </c>
      <c r="V347" s="18">
        <f t="shared" si="7"/>
        <v>2500318.35</v>
      </c>
      <c r="W347" s="19">
        <f t="shared" si="8"/>
        <v>1650895.65</v>
      </c>
    </row>
    <row r="348">
      <c r="A348" s="7">
        <v>3.3330444E8</v>
      </c>
      <c r="B348" s="12">
        <v>42897.0</v>
      </c>
      <c r="C348" s="7">
        <f t="shared" si="1"/>
        <v>2017</v>
      </c>
      <c r="D348" s="14" t="str">
        <f t="shared" si="2"/>
        <v>06 - Jun</v>
      </c>
      <c r="E348" s="15" t="str">
        <f t="shared" si="3"/>
        <v>Sun</v>
      </c>
      <c r="F348" s="15">
        <f t="shared" si="4"/>
        <v>7</v>
      </c>
      <c r="G348" s="16">
        <v>42921.0</v>
      </c>
      <c r="H348" s="14">
        <f t="shared" si="5"/>
        <v>24</v>
      </c>
      <c r="I348" s="7" t="s">
        <v>364</v>
      </c>
      <c r="J348" s="7" t="s">
        <v>240</v>
      </c>
      <c r="K348" s="7" t="str">
        <f>VLOOKUP(J348,countries,2,false)</f>
        <v>Cyprus</v>
      </c>
      <c r="L348" s="7" t="str">
        <f>VLOOKUP($J348,countries,5,false)</f>
        <v>Asia</v>
      </c>
      <c r="M348" s="7" t="str">
        <f>VLOOKUP($J348,countries,6,false)</f>
        <v>Western Asia</v>
      </c>
      <c r="N348" s="7">
        <v>8875.0</v>
      </c>
      <c r="O348" s="7" t="str">
        <f>VLOOKUP(N348, products, 2, FALSE)</f>
        <v>Meat</v>
      </c>
      <c r="P348" s="7" t="s">
        <v>264</v>
      </c>
      <c r="Q348" s="7">
        <v>1046.0</v>
      </c>
      <c r="R348" s="17">
        <v>421.89</v>
      </c>
      <c r="S348" s="17">
        <v>364.69</v>
      </c>
      <c r="U348" s="18">
        <f t="shared" si="6"/>
        <v>441296.94</v>
      </c>
      <c r="V348" s="18">
        <f t="shared" si="7"/>
        <v>381465.74</v>
      </c>
      <c r="W348" s="19">
        <f t="shared" si="8"/>
        <v>59831.2</v>
      </c>
    </row>
    <row r="349">
      <c r="A349" s="7">
        <v>3.34539973E8</v>
      </c>
      <c r="B349" s="12">
        <v>40286.0</v>
      </c>
      <c r="C349" s="7">
        <f t="shared" si="1"/>
        <v>2010</v>
      </c>
      <c r="D349" s="14" t="str">
        <f t="shared" si="2"/>
        <v>04 - Apr</v>
      </c>
      <c r="E349" s="15" t="str">
        <f t="shared" si="3"/>
        <v>Sun</v>
      </c>
      <c r="F349" s="15">
        <f t="shared" si="4"/>
        <v>7</v>
      </c>
      <c r="G349" s="16">
        <v>40309.0</v>
      </c>
      <c r="H349" s="14">
        <f t="shared" si="5"/>
        <v>23</v>
      </c>
      <c r="I349" s="7" t="s">
        <v>232</v>
      </c>
      <c r="J349" s="7" t="s">
        <v>406</v>
      </c>
      <c r="K349" s="7" t="str">
        <f>VLOOKUP(J349,countries,2,false)</f>
        <v>Italy</v>
      </c>
      <c r="L349" s="7" t="str">
        <f>VLOOKUP($J349,countries,5,false)</f>
        <v>Europe</v>
      </c>
      <c r="M349" s="7" t="str">
        <f>VLOOKUP($J349,countries,6,false)</f>
        <v>Southern Europe</v>
      </c>
      <c r="N349" s="7">
        <v>2455.0</v>
      </c>
      <c r="O349" s="7" t="str">
        <f>VLOOKUP(N349, products, 2, FALSE)</f>
        <v>Clothes</v>
      </c>
      <c r="P349" s="7" t="s">
        <v>264</v>
      </c>
      <c r="Q349" s="7">
        <v>6667.0</v>
      </c>
      <c r="R349" s="17">
        <v>109.28</v>
      </c>
      <c r="S349" s="17">
        <v>35.84</v>
      </c>
      <c r="U349" s="18">
        <f t="shared" si="6"/>
        <v>728569.76</v>
      </c>
      <c r="V349" s="18">
        <f t="shared" si="7"/>
        <v>238945.28</v>
      </c>
      <c r="W349" s="19">
        <f t="shared" si="8"/>
        <v>489624.48</v>
      </c>
    </row>
    <row r="350">
      <c r="A350" s="7">
        <v>3.36111962E8</v>
      </c>
      <c r="B350" s="12">
        <v>41053.0</v>
      </c>
      <c r="C350" s="7">
        <f t="shared" si="1"/>
        <v>2012</v>
      </c>
      <c r="D350" s="14" t="str">
        <f t="shared" si="2"/>
        <v>05 - May</v>
      </c>
      <c r="E350" s="15" t="str">
        <f t="shared" si="3"/>
        <v>Thu</v>
      </c>
      <c r="F350" s="15">
        <f t="shared" si="4"/>
        <v>4</v>
      </c>
      <c r="G350" s="16">
        <v>41076.0</v>
      </c>
      <c r="H350" s="14">
        <f t="shared" si="5"/>
        <v>23</v>
      </c>
      <c r="I350" s="7" t="s">
        <v>232</v>
      </c>
      <c r="J350" s="7" t="s">
        <v>348</v>
      </c>
      <c r="K350" s="7" t="s">
        <v>348</v>
      </c>
      <c r="L350" s="7" t="s">
        <v>348</v>
      </c>
      <c r="M350" s="7" t="s">
        <v>348</v>
      </c>
      <c r="N350" s="7">
        <v>3127.0</v>
      </c>
      <c r="O350" s="7" t="str">
        <f>VLOOKUP(N350, products, 2, FALSE)</f>
        <v>Personal Care</v>
      </c>
      <c r="P350" s="7" t="s">
        <v>334</v>
      </c>
      <c r="Q350" s="7">
        <v>1854.0</v>
      </c>
      <c r="R350" s="17">
        <v>81.73</v>
      </c>
      <c r="S350" s="17">
        <v>56.67</v>
      </c>
      <c r="U350" s="18">
        <f t="shared" si="6"/>
        <v>151527.42</v>
      </c>
      <c r="V350" s="18">
        <f t="shared" si="7"/>
        <v>105066.18</v>
      </c>
      <c r="W350" s="19">
        <f t="shared" si="8"/>
        <v>46461.24</v>
      </c>
    </row>
    <row r="351">
      <c r="A351" s="7">
        <v>3.36813628E8</v>
      </c>
      <c r="B351" s="12">
        <v>40194.0</v>
      </c>
      <c r="C351" s="7">
        <f t="shared" si="1"/>
        <v>2010</v>
      </c>
      <c r="D351" s="14" t="str">
        <f t="shared" si="2"/>
        <v>01 - Jan</v>
      </c>
      <c r="E351" s="15" t="str">
        <f t="shared" si="3"/>
        <v>Sat</v>
      </c>
      <c r="F351" s="15">
        <f t="shared" si="4"/>
        <v>6</v>
      </c>
      <c r="G351" s="16">
        <v>40232.0</v>
      </c>
      <c r="H351" s="14">
        <f t="shared" si="5"/>
        <v>38</v>
      </c>
      <c r="I351" s="7" t="s">
        <v>305</v>
      </c>
      <c r="J351" s="7" t="s">
        <v>717</v>
      </c>
      <c r="K351" s="7" t="str">
        <f>VLOOKUP(J351,countries,2,false)</f>
        <v>Sweden</v>
      </c>
      <c r="L351" s="7" t="str">
        <f>VLOOKUP($J351,countries,5,false)</f>
        <v>Europe</v>
      </c>
      <c r="M351" s="7" t="str">
        <f>VLOOKUP($J351,countries,6,false)</f>
        <v>Northern Europe</v>
      </c>
      <c r="N351" s="7">
        <v>8293.0</v>
      </c>
      <c r="O351" s="7" t="str">
        <f>VLOOKUP(N351, products, 2, FALSE)</f>
        <v>Cosmetics</v>
      </c>
      <c r="P351" s="7" t="s">
        <v>334</v>
      </c>
      <c r="Q351" s="7">
        <v>9492.0</v>
      </c>
      <c r="R351" s="17">
        <v>437.2</v>
      </c>
      <c r="S351" s="17">
        <v>263.33</v>
      </c>
      <c r="U351" s="18">
        <f t="shared" si="6"/>
        <v>4149902.4</v>
      </c>
      <c r="V351" s="18">
        <f t="shared" si="7"/>
        <v>2499528.36</v>
      </c>
      <c r="W351" s="19">
        <f t="shared" si="8"/>
        <v>1650374.04</v>
      </c>
    </row>
    <row r="352">
      <c r="A352" s="7">
        <v>3.37354791E8</v>
      </c>
      <c r="B352" s="12">
        <v>40886.0</v>
      </c>
      <c r="C352" s="7">
        <f t="shared" si="1"/>
        <v>2011</v>
      </c>
      <c r="D352" s="14" t="str">
        <f t="shared" si="2"/>
        <v>12 - Dec</v>
      </c>
      <c r="E352" s="15" t="str">
        <f t="shared" si="3"/>
        <v>Fri</v>
      </c>
      <c r="F352" s="15">
        <f t="shared" si="4"/>
        <v>5</v>
      </c>
      <c r="G352" s="16">
        <v>40936.0</v>
      </c>
      <c r="H352" s="14">
        <f t="shared" si="5"/>
        <v>50</v>
      </c>
      <c r="I352" s="7" t="s">
        <v>364</v>
      </c>
      <c r="J352" s="7" t="s">
        <v>233</v>
      </c>
      <c r="K352" s="7" t="str">
        <f>VLOOKUP(J352,countries,2,false)</f>
        <v>Norway</v>
      </c>
      <c r="L352" s="7" t="str">
        <f>VLOOKUP($J352,countries,5,false)</f>
        <v>Europe</v>
      </c>
      <c r="M352" s="7" t="str">
        <f>VLOOKUP($J352,countries,6,false)</f>
        <v>Northern Europe</v>
      </c>
      <c r="N352" s="7">
        <v>8293.0</v>
      </c>
      <c r="O352" s="7" t="str">
        <f>VLOOKUP(N352, products, 2, FALSE)</f>
        <v>Cosmetics</v>
      </c>
      <c r="P352" s="7" t="s">
        <v>334</v>
      </c>
      <c r="Q352" s="7">
        <v>9634.0</v>
      </c>
      <c r="R352" s="17">
        <v>437.2</v>
      </c>
      <c r="S352" s="17">
        <v>263.33</v>
      </c>
      <c r="U352" s="18">
        <f t="shared" si="6"/>
        <v>4211984.8</v>
      </c>
      <c r="V352" s="18">
        <f t="shared" si="7"/>
        <v>2536921.22</v>
      </c>
      <c r="W352" s="19">
        <f t="shared" si="8"/>
        <v>1675063.58</v>
      </c>
    </row>
    <row r="353">
      <c r="A353" s="7">
        <v>3.39786803E8</v>
      </c>
      <c r="B353" s="12">
        <v>40803.0</v>
      </c>
      <c r="C353" s="7">
        <f t="shared" si="1"/>
        <v>2011</v>
      </c>
      <c r="D353" s="14" t="str">
        <f t="shared" si="2"/>
        <v>09 - Sep</v>
      </c>
      <c r="E353" s="15" t="str">
        <f t="shared" si="3"/>
        <v>Sat</v>
      </c>
      <c r="F353" s="15">
        <f t="shared" si="4"/>
        <v>6</v>
      </c>
      <c r="G353" s="16">
        <v>40841.0</v>
      </c>
      <c r="H353" s="14">
        <f t="shared" si="5"/>
        <v>38</v>
      </c>
      <c r="I353" s="7" t="s">
        <v>399</v>
      </c>
      <c r="J353" s="7" t="s">
        <v>468</v>
      </c>
      <c r="K353" s="7" t="str">
        <f>VLOOKUP(J353,countries,2,false)</f>
        <v>Luxembourg</v>
      </c>
      <c r="L353" s="7" t="str">
        <f>VLOOKUP($J353,countries,5,false)</f>
        <v>Europe</v>
      </c>
      <c r="M353" s="7" t="str">
        <f>VLOOKUP($J353,countries,6,false)</f>
        <v>Western Europe</v>
      </c>
      <c r="N353" s="7">
        <v>8681.0</v>
      </c>
      <c r="O353" s="7" t="str">
        <f>VLOOKUP(N353, products, 2, FALSE)</f>
        <v>Office Supplies</v>
      </c>
      <c r="P353" s="7" t="s">
        <v>334</v>
      </c>
      <c r="Q353" s="7">
        <v>9321.0</v>
      </c>
      <c r="R353" s="17">
        <v>651.21</v>
      </c>
      <c r="S353" s="17">
        <v>524.96</v>
      </c>
      <c r="U353" s="18">
        <f t="shared" si="6"/>
        <v>6069928.41</v>
      </c>
      <c r="V353" s="18">
        <f t="shared" si="7"/>
        <v>4893152.16</v>
      </c>
      <c r="W353" s="19">
        <f t="shared" si="8"/>
        <v>1176776.25</v>
      </c>
    </row>
    <row r="354">
      <c r="A354" s="7">
        <v>3.39999663E8</v>
      </c>
      <c r="B354" s="12">
        <v>42150.0</v>
      </c>
      <c r="C354" s="7">
        <f t="shared" si="1"/>
        <v>2015</v>
      </c>
      <c r="D354" s="14" t="str">
        <f t="shared" si="2"/>
        <v>05 - May</v>
      </c>
      <c r="E354" s="15" t="str">
        <f t="shared" si="3"/>
        <v>Tue</v>
      </c>
      <c r="F354" s="15">
        <f t="shared" si="4"/>
        <v>2</v>
      </c>
      <c r="G354" s="16">
        <v>42168.0</v>
      </c>
      <c r="H354" s="14">
        <f t="shared" si="5"/>
        <v>18</v>
      </c>
      <c r="I354" s="7" t="s">
        <v>364</v>
      </c>
      <c r="J354" s="7" t="s">
        <v>489</v>
      </c>
      <c r="K354" s="7" t="str">
        <f>VLOOKUP(J354,countries,2,false)</f>
        <v>Malta</v>
      </c>
      <c r="L354" s="7" t="str">
        <f>VLOOKUP($J354,countries,5,false)</f>
        <v>Europe</v>
      </c>
      <c r="M354" s="7" t="str">
        <f>VLOOKUP($J354,countries,6,false)</f>
        <v>Southern Europe</v>
      </c>
      <c r="N354" s="7">
        <v>8969.0</v>
      </c>
      <c r="O354" s="7" t="str">
        <f>VLOOKUP(N354, products, 2, FALSE)</f>
        <v>Snacks</v>
      </c>
      <c r="P354" s="7" t="s">
        <v>264</v>
      </c>
      <c r="Q354" s="7">
        <v>2311.0</v>
      </c>
      <c r="R354" s="17">
        <v>152.58</v>
      </c>
      <c r="S354" s="17">
        <v>97.44</v>
      </c>
      <c r="U354" s="18">
        <f t="shared" si="6"/>
        <v>352612.38</v>
      </c>
      <c r="V354" s="18">
        <f t="shared" si="7"/>
        <v>225183.84</v>
      </c>
      <c r="W354" s="19">
        <f t="shared" si="8"/>
        <v>127428.54</v>
      </c>
    </row>
    <row r="355">
      <c r="A355" s="7">
        <v>3.40213811E8</v>
      </c>
      <c r="B355" s="12">
        <v>40349.0</v>
      </c>
      <c r="C355" s="7">
        <f t="shared" si="1"/>
        <v>2010</v>
      </c>
      <c r="D355" s="14" t="str">
        <f t="shared" si="2"/>
        <v>06 - Jun</v>
      </c>
      <c r="E355" s="15" t="str">
        <f t="shared" si="3"/>
        <v>Sun</v>
      </c>
      <c r="F355" s="15">
        <f t="shared" si="4"/>
        <v>7</v>
      </c>
      <c r="G355" s="16">
        <v>40385.0</v>
      </c>
      <c r="H355" s="14">
        <f t="shared" si="5"/>
        <v>36</v>
      </c>
      <c r="I355" s="7" t="s">
        <v>305</v>
      </c>
      <c r="J355" s="7" t="s">
        <v>296</v>
      </c>
      <c r="K355" s="7" t="str">
        <f>VLOOKUP(J355,countries,2,false)</f>
        <v>France</v>
      </c>
      <c r="L355" s="7" t="str">
        <f>VLOOKUP($J355,countries,5,false)</f>
        <v>Europe</v>
      </c>
      <c r="M355" s="7" t="str">
        <f>VLOOKUP($J355,countries,6,false)</f>
        <v>Western Europe</v>
      </c>
      <c r="N355" s="7">
        <v>8681.0</v>
      </c>
      <c r="O355" s="7" t="str">
        <f>VLOOKUP(N355, products, 2, FALSE)</f>
        <v>Office Supplies</v>
      </c>
      <c r="P355" s="7" t="s">
        <v>264</v>
      </c>
      <c r="Q355" s="7">
        <v>5682.0</v>
      </c>
      <c r="R355" s="17">
        <v>651.21</v>
      </c>
      <c r="S355" s="17">
        <v>524.96</v>
      </c>
      <c r="U355" s="18">
        <f t="shared" si="6"/>
        <v>3700175.22</v>
      </c>
      <c r="V355" s="18">
        <f t="shared" si="7"/>
        <v>2982822.72</v>
      </c>
      <c r="W355" s="19">
        <f t="shared" si="8"/>
        <v>717352.5</v>
      </c>
    </row>
    <row r="356">
      <c r="A356" s="7">
        <v>3.41398274E8</v>
      </c>
      <c r="B356" s="12">
        <v>42757.0</v>
      </c>
      <c r="C356" s="7">
        <f t="shared" si="1"/>
        <v>2017</v>
      </c>
      <c r="D356" s="14" t="str">
        <f t="shared" si="2"/>
        <v>01 - Jan</v>
      </c>
      <c r="E356" s="15" t="str">
        <f t="shared" si="3"/>
        <v>Sun</v>
      </c>
      <c r="F356" s="15">
        <f t="shared" si="4"/>
        <v>7</v>
      </c>
      <c r="G356" s="16">
        <v>42801.0</v>
      </c>
      <c r="H356" s="14">
        <f t="shared" si="5"/>
        <v>44</v>
      </c>
      <c r="I356" s="7" t="s">
        <v>364</v>
      </c>
      <c r="J356" s="7" t="s">
        <v>316</v>
      </c>
      <c r="K356" s="7" t="str">
        <f>VLOOKUP(J356,countries,2,false)</f>
        <v>Georgia</v>
      </c>
      <c r="L356" s="7" t="str">
        <f>VLOOKUP($J356,countries,5,false)</f>
        <v>Asia</v>
      </c>
      <c r="M356" s="7" t="str">
        <f>VLOOKUP($J356,countries,6,false)</f>
        <v>Western Asia</v>
      </c>
      <c r="N356" s="7">
        <v>8969.0</v>
      </c>
      <c r="O356" s="7" t="str">
        <f>VLOOKUP(N356, products, 2, FALSE)</f>
        <v>Snacks</v>
      </c>
      <c r="P356" s="7" t="s">
        <v>334</v>
      </c>
      <c r="Q356" s="7">
        <v>6191.0</v>
      </c>
      <c r="R356" s="17">
        <v>152.58</v>
      </c>
      <c r="S356" s="17">
        <v>97.44</v>
      </c>
      <c r="U356" s="18">
        <f t="shared" si="6"/>
        <v>944622.78</v>
      </c>
      <c r="V356" s="18">
        <f t="shared" si="7"/>
        <v>603251.04</v>
      </c>
      <c r="W356" s="19">
        <f t="shared" si="8"/>
        <v>341371.74</v>
      </c>
    </row>
    <row r="357">
      <c r="A357" s="7">
        <v>3.43185698E8</v>
      </c>
      <c r="B357" s="12">
        <v>41340.0</v>
      </c>
      <c r="C357" s="7">
        <f t="shared" si="1"/>
        <v>2013</v>
      </c>
      <c r="D357" s="14" t="str">
        <f t="shared" si="2"/>
        <v>03 - Mar</v>
      </c>
      <c r="E357" s="15" t="str">
        <f t="shared" si="3"/>
        <v>Thu</v>
      </c>
      <c r="F357" s="15">
        <f t="shared" si="4"/>
        <v>4</v>
      </c>
      <c r="G357" s="16">
        <v>41389.0</v>
      </c>
      <c r="H357" s="14">
        <f t="shared" si="5"/>
        <v>49</v>
      </c>
      <c r="I357" s="7" t="s">
        <v>399</v>
      </c>
      <c r="J357" s="7" t="s">
        <v>274</v>
      </c>
      <c r="K357" s="7" t="str">
        <f>VLOOKUP(J357,countries,2,false)</f>
        <v>Estonia</v>
      </c>
      <c r="L357" s="7" t="str">
        <f>VLOOKUP($J357,countries,5,false)</f>
        <v>Europe</v>
      </c>
      <c r="M357" s="7" t="str">
        <f>VLOOKUP($J357,countries,6,false)</f>
        <v>Northern Europe</v>
      </c>
      <c r="N357" s="7">
        <v>8681.0</v>
      </c>
      <c r="O357" s="7" t="str">
        <f>VLOOKUP(N357, products, 2, FALSE)</f>
        <v>Office Supplies</v>
      </c>
      <c r="P357" s="7" t="s">
        <v>334</v>
      </c>
      <c r="Q357" s="7">
        <v>5129.0</v>
      </c>
      <c r="R357" s="17">
        <v>651.21</v>
      </c>
      <c r="S357" s="17">
        <v>524.96</v>
      </c>
      <c r="U357" s="18">
        <f t="shared" si="6"/>
        <v>3340056.09</v>
      </c>
      <c r="V357" s="18">
        <f t="shared" si="7"/>
        <v>2692519.84</v>
      </c>
      <c r="W357" s="19">
        <f t="shared" si="8"/>
        <v>647536.25</v>
      </c>
    </row>
    <row r="358">
      <c r="A358" s="7">
        <v>3.43730294E8</v>
      </c>
      <c r="B358" s="12">
        <v>42856.0</v>
      </c>
      <c r="C358" s="7">
        <f t="shared" si="1"/>
        <v>2017</v>
      </c>
      <c r="D358" s="14" t="str">
        <f t="shared" si="2"/>
        <v>05 - May</v>
      </c>
      <c r="E358" s="15" t="str">
        <f t="shared" si="3"/>
        <v>Mon</v>
      </c>
      <c r="F358" s="15">
        <f t="shared" si="4"/>
        <v>1</v>
      </c>
      <c r="G358" s="16">
        <v>42883.0</v>
      </c>
      <c r="H358" s="14">
        <f t="shared" si="5"/>
        <v>27</v>
      </c>
      <c r="I358" s="7" t="s">
        <v>364</v>
      </c>
      <c r="J358" s="7" t="s">
        <v>447</v>
      </c>
      <c r="K358" s="7" t="str">
        <f>VLOOKUP(J358,countries,2,false)</f>
        <v>Latvia</v>
      </c>
      <c r="L358" s="7" t="str">
        <f>VLOOKUP($J358,countries,5,false)</f>
        <v>Europe</v>
      </c>
      <c r="M358" s="7" t="str">
        <f>VLOOKUP($J358,countries,6,false)</f>
        <v>Northern Europe</v>
      </c>
      <c r="N358" s="7">
        <v>8681.0</v>
      </c>
      <c r="O358" s="7" t="str">
        <f>VLOOKUP(N358, products, 2, FALSE)</f>
        <v>Office Supplies</v>
      </c>
      <c r="P358" s="7" t="s">
        <v>264</v>
      </c>
      <c r="Q358" s="7">
        <v>6287.0</v>
      </c>
      <c r="R358" s="17">
        <v>651.21</v>
      </c>
      <c r="S358" s="17">
        <v>524.96</v>
      </c>
      <c r="U358" s="18">
        <f t="shared" si="6"/>
        <v>4094157.27</v>
      </c>
      <c r="V358" s="18">
        <f t="shared" si="7"/>
        <v>3300423.52</v>
      </c>
      <c r="W358" s="19">
        <f t="shared" si="8"/>
        <v>793733.75</v>
      </c>
    </row>
    <row r="359">
      <c r="A359" s="7">
        <v>3.4388951E8</v>
      </c>
      <c r="B359" s="12">
        <v>41689.0</v>
      </c>
      <c r="C359" s="7">
        <f t="shared" si="1"/>
        <v>2014</v>
      </c>
      <c r="D359" s="14" t="str">
        <f t="shared" si="2"/>
        <v>02 - Feb</v>
      </c>
      <c r="E359" s="15" t="str">
        <f t="shared" si="3"/>
        <v>Wed</v>
      </c>
      <c r="F359" s="15">
        <f t="shared" si="4"/>
        <v>3</v>
      </c>
      <c r="G359" s="16">
        <v>41731.0</v>
      </c>
      <c r="H359" s="14">
        <f t="shared" si="5"/>
        <v>42</v>
      </c>
      <c r="I359" s="7" t="s">
        <v>232</v>
      </c>
      <c r="J359" s="7" t="s">
        <v>771</v>
      </c>
      <c r="K359" s="7" t="str">
        <f>VLOOKUP(J359,countries,2,false)</f>
        <v>Ukraine</v>
      </c>
      <c r="L359" s="7" t="str">
        <f>VLOOKUP($J359,countries,5,false)</f>
        <v>Europe</v>
      </c>
      <c r="M359" s="7" t="str">
        <f>VLOOKUP($J359,countries,6,false)</f>
        <v>Eastern Europe</v>
      </c>
      <c r="N359" s="7">
        <v>1270.0</v>
      </c>
      <c r="O359" s="7" t="str">
        <f>VLOOKUP(N359, products, 2, FALSE)</f>
        <v>Beverages</v>
      </c>
      <c r="P359" s="7" t="s">
        <v>264</v>
      </c>
      <c r="Q359" s="7">
        <v>3403.0</v>
      </c>
      <c r="R359" s="17">
        <v>47.45</v>
      </c>
      <c r="S359" s="17">
        <v>31.79</v>
      </c>
      <c r="U359" s="18">
        <f t="shared" si="6"/>
        <v>161472.35</v>
      </c>
      <c r="V359" s="18">
        <f t="shared" si="7"/>
        <v>108181.37</v>
      </c>
      <c r="W359" s="19">
        <f t="shared" si="8"/>
        <v>53290.98</v>
      </c>
    </row>
    <row r="360">
      <c r="A360" s="7">
        <v>3.44160735E8</v>
      </c>
      <c r="B360" s="12">
        <v>40460.0</v>
      </c>
      <c r="C360" s="7">
        <f t="shared" si="1"/>
        <v>2010</v>
      </c>
      <c r="D360" s="14" t="str">
        <f t="shared" si="2"/>
        <v>10 - Oct</v>
      </c>
      <c r="E360" s="15" t="str">
        <f t="shared" si="3"/>
        <v>Sat</v>
      </c>
      <c r="F360" s="15">
        <f t="shared" si="4"/>
        <v>6</v>
      </c>
      <c r="G360" s="16">
        <v>40502.0</v>
      </c>
      <c r="H360" s="14">
        <f t="shared" si="5"/>
        <v>42</v>
      </c>
      <c r="I360" s="7" t="s">
        <v>232</v>
      </c>
      <c r="J360" s="7" t="s">
        <v>546</v>
      </c>
      <c r="K360" s="7" t="str">
        <f>VLOOKUP(J360,countries,2,false)</f>
        <v>Netherlands</v>
      </c>
      <c r="L360" s="7" t="str">
        <f>VLOOKUP($J360,countries,5,false)</f>
        <v>Europe</v>
      </c>
      <c r="M360" s="7" t="str">
        <f>VLOOKUP($J360,countries,6,false)</f>
        <v>Western Europe</v>
      </c>
      <c r="N360" s="7">
        <v>8875.0</v>
      </c>
      <c r="O360" s="7" t="str">
        <f>VLOOKUP(N360, products, 2, FALSE)</f>
        <v>Meat</v>
      </c>
      <c r="P360" s="7" t="s">
        <v>264</v>
      </c>
      <c r="Q360" s="7">
        <v>3664.0</v>
      </c>
      <c r="R360" s="17">
        <v>421.89</v>
      </c>
      <c r="S360" s="17">
        <v>364.69</v>
      </c>
      <c r="U360" s="18">
        <f t="shared" si="6"/>
        <v>1545804.96</v>
      </c>
      <c r="V360" s="18">
        <f t="shared" si="7"/>
        <v>1336224.16</v>
      </c>
      <c r="W360" s="19">
        <f t="shared" si="8"/>
        <v>209580.8</v>
      </c>
    </row>
    <row r="361">
      <c r="A361" s="7">
        <v>3.46498763E8</v>
      </c>
      <c r="B361" s="12">
        <v>40620.0</v>
      </c>
      <c r="C361" s="7">
        <f t="shared" si="1"/>
        <v>2011</v>
      </c>
      <c r="D361" s="14" t="str">
        <f t="shared" si="2"/>
        <v>03 - Mar</v>
      </c>
      <c r="E361" s="15" t="str">
        <f t="shared" si="3"/>
        <v>Fri</v>
      </c>
      <c r="F361" s="15">
        <f t="shared" si="4"/>
        <v>5</v>
      </c>
      <c r="G361" s="16">
        <v>40635.0</v>
      </c>
      <c r="H361" s="14">
        <f t="shared" si="5"/>
        <v>15</v>
      </c>
      <c r="I361" s="7" t="s">
        <v>364</v>
      </c>
      <c r="J361" s="7" t="s">
        <v>516</v>
      </c>
      <c r="K361" s="7" t="str">
        <f>VLOOKUP(J361,countries,2,false)</f>
        <v>Monaco</v>
      </c>
      <c r="L361" s="7" t="str">
        <f>VLOOKUP($J361,countries,5,false)</f>
        <v>Europe</v>
      </c>
      <c r="M361" s="7" t="str">
        <f>VLOOKUP($J361,countries,6,false)</f>
        <v>Western Europe</v>
      </c>
      <c r="N361" s="7">
        <v>5988.0</v>
      </c>
      <c r="O361" s="7" t="str">
        <f>VLOOKUP(N361, products, 2, FALSE)</f>
        <v>Vegetables</v>
      </c>
      <c r="P361" s="7" t="s">
        <v>264</v>
      </c>
      <c r="Q361" s="7">
        <v>5539.0</v>
      </c>
      <c r="R361" s="17">
        <v>154.06</v>
      </c>
      <c r="S361" s="17">
        <v>90.93</v>
      </c>
      <c r="U361" s="18">
        <f t="shared" si="6"/>
        <v>853338.34</v>
      </c>
      <c r="V361" s="18">
        <f t="shared" si="7"/>
        <v>503661.27</v>
      </c>
      <c r="W361" s="19">
        <f t="shared" si="8"/>
        <v>349677.07</v>
      </c>
    </row>
    <row r="362">
      <c r="A362" s="7">
        <v>3.47609412E8</v>
      </c>
      <c r="B362" s="12">
        <v>41892.0</v>
      </c>
      <c r="C362" s="7">
        <f t="shared" si="1"/>
        <v>2014</v>
      </c>
      <c r="D362" s="14" t="str">
        <f t="shared" si="2"/>
        <v>09 - Sep</v>
      </c>
      <c r="E362" s="15" t="str">
        <f t="shared" si="3"/>
        <v>Wed</v>
      </c>
      <c r="F362" s="15">
        <f t="shared" si="4"/>
        <v>3</v>
      </c>
      <c r="G362" s="16">
        <v>41899.0</v>
      </c>
      <c r="H362" s="14">
        <f t="shared" si="5"/>
        <v>7</v>
      </c>
      <c r="I362" s="7" t="s">
        <v>305</v>
      </c>
      <c r="J362" s="7" t="s">
        <v>720</v>
      </c>
      <c r="K362" s="7" t="str">
        <f>VLOOKUP(J362,countries,2,false)</f>
        <v>Switzerland</v>
      </c>
      <c r="L362" s="7" t="str">
        <f>VLOOKUP($J362,countries,5,false)</f>
        <v>Europe</v>
      </c>
      <c r="M362" s="7" t="str">
        <f>VLOOKUP($J362,countries,6,false)</f>
        <v>Western Europe</v>
      </c>
      <c r="N362" s="7">
        <v>8293.0</v>
      </c>
      <c r="O362" s="7" t="str">
        <f>VLOOKUP(N362, products, 2, FALSE)</f>
        <v>Cosmetics</v>
      </c>
      <c r="P362" s="7" t="s">
        <v>334</v>
      </c>
      <c r="Q362" s="7">
        <v>4205.0</v>
      </c>
      <c r="R362" s="17">
        <v>437.2</v>
      </c>
      <c r="S362" s="17">
        <v>263.33</v>
      </c>
      <c r="U362" s="18">
        <f t="shared" si="6"/>
        <v>1838426</v>
      </c>
      <c r="V362" s="18">
        <f t="shared" si="7"/>
        <v>1107302.65</v>
      </c>
      <c r="W362" s="19">
        <f t="shared" si="8"/>
        <v>731123.35</v>
      </c>
    </row>
    <row r="363">
      <c r="A363" s="7">
        <v>3.48080623E8</v>
      </c>
      <c r="B363" s="12">
        <v>40301.0</v>
      </c>
      <c r="C363" s="7">
        <f t="shared" si="1"/>
        <v>2010</v>
      </c>
      <c r="D363" s="14" t="str">
        <f t="shared" si="2"/>
        <v>05 - May</v>
      </c>
      <c r="E363" s="15" t="str">
        <f t="shared" si="3"/>
        <v>Mon</v>
      </c>
      <c r="F363" s="15">
        <f t="shared" si="4"/>
        <v>1</v>
      </c>
      <c r="G363" s="16">
        <v>40317.0</v>
      </c>
      <c r="H363" s="14">
        <f t="shared" si="5"/>
        <v>16</v>
      </c>
      <c r="I363" s="7" t="s">
        <v>232</v>
      </c>
      <c r="J363" s="7" t="s">
        <v>67</v>
      </c>
      <c r="K363" s="7" t="str">
        <f>VLOOKUP(J363,countries,2,false)</f>
        <v>Andorra</v>
      </c>
      <c r="L363" s="7" t="str">
        <f>VLOOKUP($J363,countries,5,false)</f>
        <v>Europe</v>
      </c>
      <c r="M363" s="7" t="str">
        <f>VLOOKUP($J363,countries,6,false)</f>
        <v>Southern Europe</v>
      </c>
      <c r="N363" s="7">
        <v>8969.0</v>
      </c>
      <c r="O363" s="7" t="str">
        <f>VLOOKUP(N363, products, 2, FALSE)</f>
        <v>Snacks</v>
      </c>
      <c r="P363" s="7" t="s">
        <v>264</v>
      </c>
      <c r="Q363" s="7">
        <v>3646.0</v>
      </c>
      <c r="R363" s="17">
        <v>152.58</v>
      </c>
      <c r="S363" s="17">
        <v>97.44</v>
      </c>
      <c r="U363" s="18">
        <f t="shared" si="6"/>
        <v>556306.68</v>
      </c>
      <c r="V363" s="18">
        <f t="shared" si="7"/>
        <v>355266.24</v>
      </c>
      <c r="W363" s="19">
        <f t="shared" si="8"/>
        <v>201040.44</v>
      </c>
    </row>
    <row r="364">
      <c r="A364" s="7">
        <v>3.4906038E8</v>
      </c>
      <c r="B364" s="12">
        <v>42629.0</v>
      </c>
      <c r="C364" s="7">
        <f t="shared" si="1"/>
        <v>2016</v>
      </c>
      <c r="D364" s="14" t="str">
        <f t="shared" si="2"/>
        <v>09 - Sep</v>
      </c>
      <c r="E364" s="15" t="str">
        <f t="shared" si="3"/>
        <v>Fri</v>
      </c>
      <c r="F364" s="15">
        <f t="shared" si="4"/>
        <v>5</v>
      </c>
      <c r="G364" s="16">
        <v>42641.0</v>
      </c>
      <c r="H364" s="14">
        <f t="shared" si="5"/>
        <v>12</v>
      </c>
      <c r="I364" s="7" t="s">
        <v>399</v>
      </c>
      <c r="J364" s="7" t="s">
        <v>570</v>
      </c>
      <c r="K364" s="7" t="str">
        <f>VLOOKUP(J364,countries,2,false)</f>
        <v>Macedonia</v>
      </c>
      <c r="L364" s="7" t="str">
        <f>VLOOKUP($J364,countries,5,false)</f>
        <v>Europe</v>
      </c>
      <c r="M364" s="7" t="str">
        <f>VLOOKUP($J364,countries,6,false)</f>
        <v>Southern Europe</v>
      </c>
      <c r="N364" s="7">
        <v>7331.0</v>
      </c>
      <c r="O364" s="7" t="str">
        <f>VLOOKUP(N364, products, 2, FALSE)</f>
        <v>Baby Food</v>
      </c>
      <c r="P364" s="7" t="s">
        <v>264</v>
      </c>
      <c r="Q364" s="7">
        <v>3578.0</v>
      </c>
      <c r="R364" s="17">
        <v>255.28</v>
      </c>
      <c r="S364" s="17">
        <v>159.42</v>
      </c>
      <c r="U364" s="18">
        <f t="shared" si="6"/>
        <v>913391.84</v>
      </c>
      <c r="V364" s="18">
        <f t="shared" si="7"/>
        <v>570404.76</v>
      </c>
      <c r="W364" s="19">
        <f t="shared" si="8"/>
        <v>342987.08</v>
      </c>
    </row>
    <row r="365">
      <c r="A365" s="7">
        <v>3.49212729E8</v>
      </c>
      <c r="B365" s="12">
        <v>42578.0</v>
      </c>
      <c r="C365" s="7">
        <f t="shared" si="1"/>
        <v>2016</v>
      </c>
      <c r="D365" s="14" t="str">
        <f t="shared" si="2"/>
        <v>07 - Jul</v>
      </c>
      <c r="E365" s="15" t="str">
        <f t="shared" si="3"/>
        <v>Wed</v>
      </c>
      <c r="F365" s="15">
        <f t="shared" si="4"/>
        <v>3</v>
      </c>
      <c r="G365" s="16">
        <v>42624.0</v>
      </c>
      <c r="H365" s="14">
        <f t="shared" si="5"/>
        <v>46</v>
      </c>
      <c r="I365" s="7" t="s">
        <v>305</v>
      </c>
      <c r="J365" s="7" t="s">
        <v>165</v>
      </c>
      <c r="K365" s="7" t="str">
        <f>VLOOKUP(J365,countries,2,false)</f>
        <v>Bulgaria</v>
      </c>
      <c r="L365" s="7" t="str">
        <f>VLOOKUP($J365,countries,5,false)</f>
        <v>Europe</v>
      </c>
      <c r="M365" s="7" t="str">
        <f>VLOOKUP($J365,countries,6,false)</f>
        <v>Eastern Europe</v>
      </c>
      <c r="N365" s="7">
        <v>8875.0</v>
      </c>
      <c r="O365" s="7" t="str">
        <f>VLOOKUP(N365, products, 2, FALSE)</f>
        <v>Meat</v>
      </c>
      <c r="P365" s="7" t="s">
        <v>264</v>
      </c>
      <c r="Q365" s="7">
        <v>8662.0</v>
      </c>
      <c r="R365" s="17">
        <v>421.89</v>
      </c>
      <c r="S365" s="17">
        <v>364.69</v>
      </c>
      <c r="U365" s="18">
        <f t="shared" si="6"/>
        <v>3654411.18</v>
      </c>
      <c r="V365" s="18">
        <f t="shared" si="7"/>
        <v>3158944.78</v>
      </c>
      <c r="W365" s="19">
        <f t="shared" si="8"/>
        <v>495466.4</v>
      </c>
    </row>
    <row r="366">
      <c r="A366" s="7">
        <v>3.50550401E8</v>
      </c>
      <c r="B366" s="12">
        <v>40993.0</v>
      </c>
      <c r="C366" s="7">
        <f t="shared" si="1"/>
        <v>2012</v>
      </c>
      <c r="D366" s="14" t="str">
        <f t="shared" si="2"/>
        <v>03 - Mar</v>
      </c>
      <c r="E366" s="15" t="str">
        <f t="shared" si="3"/>
        <v>Sun</v>
      </c>
      <c r="F366" s="15">
        <f t="shared" si="4"/>
        <v>7</v>
      </c>
      <c r="G366" s="16">
        <v>41021.0</v>
      </c>
      <c r="H366" s="14">
        <f t="shared" si="5"/>
        <v>28</v>
      </c>
      <c r="I366" s="7" t="s">
        <v>399</v>
      </c>
      <c r="J366" s="7" t="s">
        <v>306</v>
      </c>
      <c r="K366" s="7" t="str">
        <f>VLOOKUP(J366,countries,2,false)</f>
        <v>Serbia</v>
      </c>
      <c r="L366" s="7" t="str">
        <f>VLOOKUP($J366,countries,5,false)</f>
        <v>Europe</v>
      </c>
      <c r="M366" s="7" t="str">
        <f>VLOOKUP($J366,countries,6,false)</f>
        <v>Southern Europe</v>
      </c>
      <c r="N366" s="7">
        <v>8293.0</v>
      </c>
      <c r="O366" s="7" t="str">
        <f>VLOOKUP(N366, products, 2, FALSE)</f>
        <v>Cosmetics</v>
      </c>
      <c r="P366" s="7" t="s">
        <v>264</v>
      </c>
      <c r="Q366" s="7">
        <v>4508.0</v>
      </c>
      <c r="R366" s="17">
        <v>437.2</v>
      </c>
      <c r="S366" s="17">
        <v>263.33</v>
      </c>
      <c r="U366" s="18">
        <f t="shared" si="6"/>
        <v>1970897.6</v>
      </c>
      <c r="V366" s="18">
        <f t="shared" si="7"/>
        <v>1187091.64</v>
      </c>
      <c r="W366" s="19">
        <f t="shared" si="8"/>
        <v>783805.96</v>
      </c>
    </row>
    <row r="367">
      <c r="A367" s="7">
        <v>3.50977408E8</v>
      </c>
      <c r="B367" s="12">
        <v>40538.0</v>
      </c>
      <c r="C367" s="7">
        <f t="shared" si="1"/>
        <v>2010</v>
      </c>
      <c r="D367" s="14" t="str">
        <f t="shared" si="2"/>
        <v>12 - Dec</v>
      </c>
      <c r="E367" s="15" t="str">
        <f t="shared" si="3"/>
        <v>Sun</v>
      </c>
      <c r="F367" s="15">
        <f t="shared" si="4"/>
        <v>7</v>
      </c>
      <c r="G367" s="16">
        <v>40565.0</v>
      </c>
      <c r="H367" s="14">
        <f t="shared" si="5"/>
        <v>27</v>
      </c>
      <c r="I367" s="7" t="s">
        <v>305</v>
      </c>
      <c r="J367" s="7" t="s">
        <v>570</v>
      </c>
      <c r="K367" s="7" t="str">
        <f>VLOOKUP(J367,countries,2,false)</f>
        <v>Macedonia</v>
      </c>
      <c r="L367" s="7" t="str">
        <f>VLOOKUP($J367,countries,5,false)</f>
        <v>Europe</v>
      </c>
      <c r="M367" s="7" t="str">
        <f>VLOOKUP($J367,countries,6,false)</f>
        <v>Southern Europe</v>
      </c>
      <c r="N367" s="7">
        <v>8293.0</v>
      </c>
      <c r="O367" s="7" t="str">
        <f>VLOOKUP(N367, products, 2, FALSE)</f>
        <v>Cosmetics</v>
      </c>
      <c r="P367" s="7" t="s">
        <v>264</v>
      </c>
      <c r="Q367" s="7">
        <v>869.0</v>
      </c>
      <c r="R367" s="17">
        <v>437.2</v>
      </c>
      <c r="S367" s="17">
        <v>263.33</v>
      </c>
      <c r="U367" s="18">
        <f t="shared" si="6"/>
        <v>379926.8</v>
      </c>
      <c r="V367" s="18">
        <f t="shared" si="7"/>
        <v>228833.77</v>
      </c>
      <c r="W367" s="19">
        <f t="shared" si="8"/>
        <v>151093.03</v>
      </c>
    </row>
    <row r="368">
      <c r="A368" s="7">
        <v>3.51247346E8</v>
      </c>
      <c r="B368" s="12">
        <v>42458.0</v>
      </c>
      <c r="C368" s="7">
        <f t="shared" si="1"/>
        <v>2016</v>
      </c>
      <c r="D368" s="14" t="str">
        <f t="shared" si="2"/>
        <v>03 - Mar</v>
      </c>
      <c r="E368" s="15" t="str">
        <f t="shared" si="3"/>
        <v>Tue</v>
      </c>
      <c r="F368" s="15">
        <f t="shared" si="4"/>
        <v>2</v>
      </c>
      <c r="G368" s="16">
        <v>42498.0</v>
      </c>
      <c r="H368" s="14">
        <f t="shared" si="5"/>
        <v>40</v>
      </c>
      <c r="I368" s="7" t="s">
        <v>399</v>
      </c>
      <c r="J368" s="7" t="s">
        <v>516</v>
      </c>
      <c r="K368" s="7" t="str">
        <f>VLOOKUP(J368,countries,2,false)</f>
        <v>Monaco</v>
      </c>
      <c r="L368" s="7" t="str">
        <f>VLOOKUP($J368,countries,5,false)</f>
        <v>Europe</v>
      </c>
      <c r="M368" s="7" t="str">
        <f>VLOOKUP($J368,countries,6,false)</f>
        <v>Western Europe</v>
      </c>
      <c r="N368" s="7">
        <v>3127.0</v>
      </c>
      <c r="O368" s="7" t="str">
        <f>VLOOKUP(N368, products, 2, FALSE)</f>
        <v>Personal Care</v>
      </c>
      <c r="P368" s="7" t="s">
        <v>264</v>
      </c>
      <c r="Q368" s="7">
        <v>750.0</v>
      </c>
      <c r="R368" s="17">
        <v>81.73</v>
      </c>
      <c r="S368" s="17">
        <v>56.67</v>
      </c>
      <c r="U368" s="18">
        <f t="shared" si="6"/>
        <v>61297.5</v>
      </c>
      <c r="V368" s="18">
        <f t="shared" si="7"/>
        <v>42502.5</v>
      </c>
      <c r="W368" s="19">
        <f t="shared" si="8"/>
        <v>18795</v>
      </c>
    </row>
    <row r="369">
      <c r="A369" s="7">
        <v>3.52342545E8</v>
      </c>
      <c r="B369" s="12">
        <v>42785.0</v>
      </c>
      <c r="C369" s="7">
        <f t="shared" si="1"/>
        <v>2017</v>
      </c>
      <c r="D369" s="14" t="str">
        <f t="shared" si="2"/>
        <v>02 - Feb</v>
      </c>
      <c r="E369" s="15" t="str">
        <f t="shared" si="3"/>
        <v>Sun</v>
      </c>
      <c r="F369" s="15">
        <f t="shared" si="4"/>
        <v>7</v>
      </c>
      <c r="G369" s="16">
        <v>42821.0</v>
      </c>
      <c r="H369" s="14">
        <f t="shared" si="5"/>
        <v>36</v>
      </c>
      <c r="I369" s="7" t="s">
        <v>232</v>
      </c>
      <c r="J369" s="7" t="s">
        <v>517</v>
      </c>
      <c r="K369" s="7" t="str">
        <f>VLOOKUP(J369,countries,2,false)</f>
        <v>Spain</v>
      </c>
      <c r="L369" s="7" t="str">
        <f>VLOOKUP($J369,countries,5,false)</f>
        <v>Europe</v>
      </c>
      <c r="M369" s="7" t="str">
        <f>VLOOKUP($J369,countries,6,false)</f>
        <v>Southern Europe</v>
      </c>
      <c r="N369" s="7">
        <v>8969.0</v>
      </c>
      <c r="O369" s="7" t="str">
        <f>VLOOKUP(N369, products, 2, FALSE)</f>
        <v>Snacks</v>
      </c>
      <c r="P369" s="7" t="s">
        <v>334</v>
      </c>
      <c r="Q369" s="7">
        <v>4844.0</v>
      </c>
      <c r="R369" s="17">
        <v>152.58</v>
      </c>
      <c r="S369" s="17">
        <v>97.44</v>
      </c>
      <c r="U369" s="18">
        <f t="shared" si="6"/>
        <v>739097.52</v>
      </c>
      <c r="V369" s="18">
        <f t="shared" si="7"/>
        <v>471999.36</v>
      </c>
      <c r="W369" s="19">
        <f t="shared" si="8"/>
        <v>267098.16</v>
      </c>
    </row>
    <row r="370">
      <c r="A370" s="7">
        <v>3.5319184E8</v>
      </c>
      <c r="B370" s="12">
        <v>41433.0</v>
      </c>
      <c r="C370" s="7">
        <f t="shared" si="1"/>
        <v>2013</v>
      </c>
      <c r="D370" s="14" t="str">
        <f t="shared" si="2"/>
        <v>06 - Jun</v>
      </c>
      <c r="E370" s="15" t="str">
        <f t="shared" si="3"/>
        <v>Sat</v>
      </c>
      <c r="F370" s="15">
        <f t="shared" si="4"/>
        <v>6</v>
      </c>
      <c r="G370" s="16">
        <v>41464.0</v>
      </c>
      <c r="H370" s="14">
        <f t="shared" si="5"/>
        <v>31</v>
      </c>
      <c r="I370" s="7" t="s">
        <v>399</v>
      </c>
      <c r="J370" s="7" t="s">
        <v>274</v>
      </c>
      <c r="K370" s="7" t="str">
        <f>VLOOKUP(J370,countries,2,false)</f>
        <v>Estonia</v>
      </c>
      <c r="L370" s="7" t="str">
        <f>VLOOKUP($J370,countries,5,false)</f>
        <v>Europe</v>
      </c>
      <c r="M370" s="7" t="str">
        <f>VLOOKUP($J370,countries,6,false)</f>
        <v>Northern Europe</v>
      </c>
      <c r="N370" s="7">
        <v>2455.0</v>
      </c>
      <c r="O370" s="7" t="str">
        <f>VLOOKUP(N370, products, 2, FALSE)</f>
        <v>Clothes</v>
      </c>
      <c r="P370" s="7" t="s">
        <v>334</v>
      </c>
      <c r="Q370" s="7">
        <v>6169.0</v>
      </c>
      <c r="R370" s="17">
        <v>109.28</v>
      </c>
      <c r="S370" s="17">
        <v>35.84</v>
      </c>
      <c r="U370" s="18">
        <f t="shared" si="6"/>
        <v>674148.32</v>
      </c>
      <c r="V370" s="18">
        <f t="shared" si="7"/>
        <v>221096.96</v>
      </c>
      <c r="W370" s="19">
        <f t="shared" si="8"/>
        <v>453051.36</v>
      </c>
    </row>
    <row r="371">
      <c r="A371" s="7">
        <v>3.53320157E8</v>
      </c>
      <c r="B371" s="12">
        <v>41140.0</v>
      </c>
      <c r="C371" s="7">
        <f t="shared" si="1"/>
        <v>2012</v>
      </c>
      <c r="D371" s="14" t="str">
        <f t="shared" si="2"/>
        <v>08 - Aug</v>
      </c>
      <c r="E371" s="15" t="str">
        <f t="shared" si="3"/>
        <v>Sun</v>
      </c>
      <c r="F371" s="15">
        <f t="shared" si="4"/>
        <v>7</v>
      </c>
      <c r="G371" s="16">
        <v>41143.0</v>
      </c>
      <c r="H371" s="14">
        <f t="shared" si="5"/>
        <v>3</v>
      </c>
      <c r="I371" s="7" t="s">
        <v>364</v>
      </c>
      <c r="J371" s="7" t="s">
        <v>365</v>
      </c>
      <c r="K371" s="7" t="str">
        <f>VLOOKUP(J371,countries,2,false)</f>
        <v>Montenegro</v>
      </c>
      <c r="L371" s="7" t="str">
        <f>VLOOKUP($J371,countries,5,false)</f>
        <v>Europe</v>
      </c>
      <c r="M371" s="7" t="str">
        <f>VLOOKUP($J371,countries,6,false)</f>
        <v>Southern Europe</v>
      </c>
      <c r="N371" s="7">
        <v>8293.0</v>
      </c>
      <c r="O371" s="7" t="str">
        <f>VLOOKUP(N371, products, 2, FALSE)</f>
        <v>Cosmetics</v>
      </c>
      <c r="P371" s="7" t="s">
        <v>334</v>
      </c>
      <c r="Q371" s="7">
        <v>4141.0</v>
      </c>
      <c r="R371" s="17">
        <v>437.2</v>
      </c>
      <c r="S371" s="17">
        <v>263.33</v>
      </c>
      <c r="U371" s="18">
        <f t="shared" si="6"/>
        <v>1810445.2</v>
      </c>
      <c r="V371" s="18">
        <f t="shared" si="7"/>
        <v>1090449.53</v>
      </c>
      <c r="W371" s="19">
        <f t="shared" si="8"/>
        <v>719995.67</v>
      </c>
    </row>
    <row r="372">
      <c r="A372" s="7">
        <v>3.53383243E8</v>
      </c>
      <c r="B372" s="12">
        <v>41774.0</v>
      </c>
      <c r="C372" s="7">
        <f t="shared" si="1"/>
        <v>2014</v>
      </c>
      <c r="D372" s="14" t="str">
        <f t="shared" si="2"/>
        <v>05 - May</v>
      </c>
      <c r="E372" s="15" t="str">
        <f t="shared" si="3"/>
        <v>Thu</v>
      </c>
      <c r="F372" s="15">
        <f t="shared" si="4"/>
        <v>4</v>
      </c>
      <c r="G372" s="16">
        <v>41799.0</v>
      </c>
      <c r="H372" s="14">
        <f t="shared" si="5"/>
        <v>25</v>
      </c>
      <c r="I372" s="7" t="s">
        <v>364</v>
      </c>
      <c r="J372" s="7" t="s">
        <v>348</v>
      </c>
      <c r="K372" s="7" t="s">
        <v>348</v>
      </c>
      <c r="L372" s="7" t="s">
        <v>348</v>
      </c>
      <c r="M372" s="7" t="s">
        <v>348</v>
      </c>
      <c r="N372" s="7">
        <v>8681.0</v>
      </c>
      <c r="O372" s="7" t="str">
        <f>VLOOKUP(N372, products, 2, FALSE)</f>
        <v>Office Supplies</v>
      </c>
      <c r="P372" s="7" t="s">
        <v>264</v>
      </c>
      <c r="Q372" s="7">
        <v>2809.0</v>
      </c>
      <c r="R372" s="17">
        <v>651.21</v>
      </c>
      <c r="S372" s="17">
        <v>524.96</v>
      </c>
      <c r="U372" s="18">
        <f t="shared" si="6"/>
        <v>1829248.89</v>
      </c>
      <c r="V372" s="18">
        <f t="shared" si="7"/>
        <v>1474612.64</v>
      </c>
      <c r="W372" s="19">
        <f t="shared" si="8"/>
        <v>354636.25</v>
      </c>
    </row>
    <row r="373">
      <c r="A373" s="7">
        <v>3.53415429E8</v>
      </c>
      <c r="B373" s="12">
        <v>40516.0</v>
      </c>
      <c r="C373" s="7">
        <f t="shared" si="1"/>
        <v>2010</v>
      </c>
      <c r="D373" s="14" t="str">
        <f t="shared" si="2"/>
        <v>12 - Dec</v>
      </c>
      <c r="E373" s="15" t="str">
        <f t="shared" si="3"/>
        <v>Sat</v>
      </c>
      <c r="F373" s="15">
        <f t="shared" si="4"/>
        <v>6</v>
      </c>
      <c r="G373" s="16">
        <v>40520.0</v>
      </c>
      <c r="H373" s="14">
        <f t="shared" si="5"/>
        <v>4</v>
      </c>
      <c r="I373" s="7" t="s">
        <v>232</v>
      </c>
      <c r="J373" s="7" t="s">
        <v>243</v>
      </c>
      <c r="K373" s="7" t="str">
        <f>VLOOKUP(J373,countries,2,false)</f>
        <v>Czech Republic</v>
      </c>
      <c r="L373" s="7" t="str">
        <f>VLOOKUP($J373,countries,5,false)</f>
        <v>Europe</v>
      </c>
      <c r="M373" s="7" t="str">
        <f>VLOOKUP($J373,countries,6,false)</f>
        <v>Eastern Europe</v>
      </c>
      <c r="N373" s="7">
        <v>3127.0</v>
      </c>
      <c r="O373" s="7" t="str">
        <f>VLOOKUP(N373, products, 2, FALSE)</f>
        <v>Personal Care</v>
      </c>
      <c r="P373" s="7" t="s">
        <v>264</v>
      </c>
      <c r="Q373" s="7">
        <v>2334.0</v>
      </c>
      <c r="R373" s="17">
        <v>81.73</v>
      </c>
      <c r="S373" s="17">
        <v>56.67</v>
      </c>
      <c r="U373" s="18">
        <f t="shared" si="6"/>
        <v>190757.82</v>
      </c>
      <c r="V373" s="18">
        <f t="shared" si="7"/>
        <v>132267.78</v>
      </c>
      <c r="W373" s="19">
        <f t="shared" si="8"/>
        <v>58490.04</v>
      </c>
    </row>
    <row r="374">
      <c r="A374" s="7">
        <v>3.5347594E8</v>
      </c>
      <c r="B374" s="12">
        <v>41914.0</v>
      </c>
      <c r="C374" s="7">
        <f t="shared" si="1"/>
        <v>2014</v>
      </c>
      <c r="D374" s="14" t="str">
        <f t="shared" si="2"/>
        <v>10 - Oct</v>
      </c>
      <c r="E374" s="15" t="str">
        <f t="shared" si="3"/>
        <v>Thu</v>
      </c>
      <c r="F374" s="15">
        <f t="shared" si="4"/>
        <v>4</v>
      </c>
      <c r="G374" s="16">
        <v>41916.0</v>
      </c>
      <c r="H374" s="14">
        <f t="shared" si="5"/>
        <v>2</v>
      </c>
      <c r="I374" s="7" t="s">
        <v>399</v>
      </c>
      <c r="J374" s="7" t="s">
        <v>546</v>
      </c>
      <c r="K374" s="7" t="str">
        <f>VLOOKUP(J374,countries,2,false)</f>
        <v>Netherlands</v>
      </c>
      <c r="L374" s="7" t="str">
        <f>VLOOKUP($J374,countries,5,false)</f>
        <v>Europe</v>
      </c>
      <c r="M374" s="7" t="str">
        <f>VLOOKUP($J374,countries,6,false)</f>
        <v>Western Europe</v>
      </c>
      <c r="N374" s="7">
        <v>3127.0</v>
      </c>
      <c r="O374" s="7" t="str">
        <f>VLOOKUP(N374, products, 2, FALSE)</f>
        <v>Personal Care</v>
      </c>
      <c r="P374" s="7" t="s">
        <v>334</v>
      </c>
      <c r="Q374" s="7">
        <v>240.0</v>
      </c>
      <c r="R374" s="17">
        <v>81.73</v>
      </c>
      <c r="S374" s="17">
        <v>56.67</v>
      </c>
      <c r="U374" s="18">
        <f t="shared" si="6"/>
        <v>19615.2</v>
      </c>
      <c r="V374" s="18">
        <f t="shared" si="7"/>
        <v>13600.8</v>
      </c>
      <c r="W374" s="19">
        <f t="shared" si="8"/>
        <v>6014.4</v>
      </c>
    </row>
    <row r="375">
      <c r="A375" s="7">
        <v>3.53492677E8</v>
      </c>
      <c r="B375" s="12">
        <v>42477.0</v>
      </c>
      <c r="C375" s="7">
        <f t="shared" si="1"/>
        <v>2016</v>
      </c>
      <c r="D375" s="14" t="str">
        <f t="shared" si="2"/>
        <v>04 - Apr</v>
      </c>
      <c r="E375" s="15" t="str">
        <f t="shared" si="3"/>
        <v>Sun</v>
      </c>
      <c r="F375" s="15">
        <f t="shared" si="4"/>
        <v>7</v>
      </c>
      <c r="G375" s="16">
        <v>42513.0</v>
      </c>
      <c r="H375" s="14">
        <f t="shared" si="5"/>
        <v>36</v>
      </c>
      <c r="I375" s="7" t="s">
        <v>305</v>
      </c>
      <c r="J375" s="7" t="s">
        <v>378</v>
      </c>
      <c r="K375" s="7" t="str">
        <f>VLOOKUP(J375,countries,2,false)</f>
        <v>Hungary</v>
      </c>
      <c r="L375" s="7" t="str">
        <f>VLOOKUP($J375,countries,5,false)</f>
        <v>Europe</v>
      </c>
      <c r="M375" s="7" t="str">
        <f>VLOOKUP($J375,countries,6,false)</f>
        <v>Eastern Europe</v>
      </c>
      <c r="N375" s="7">
        <v>4594.0</v>
      </c>
      <c r="O375" s="7" t="str">
        <f>VLOOKUP(N375, products, 2, FALSE)</f>
        <v>Fruits</v>
      </c>
      <c r="P375" s="7" t="s">
        <v>334</v>
      </c>
      <c r="Q375" s="7">
        <v>5193.0</v>
      </c>
      <c r="R375" s="17">
        <v>9.33</v>
      </c>
      <c r="S375" s="17">
        <v>6.92</v>
      </c>
      <c r="U375" s="18">
        <f t="shared" si="6"/>
        <v>48450.69</v>
      </c>
      <c r="V375" s="18">
        <f t="shared" si="7"/>
        <v>35935.56</v>
      </c>
      <c r="W375" s="19">
        <f t="shared" si="8"/>
        <v>12515.13</v>
      </c>
    </row>
    <row r="376">
      <c r="A376" s="7">
        <v>3.54270303E8</v>
      </c>
      <c r="B376" s="12">
        <v>41196.0</v>
      </c>
      <c r="C376" s="7">
        <f t="shared" si="1"/>
        <v>2012</v>
      </c>
      <c r="D376" s="14" t="str">
        <f t="shared" si="2"/>
        <v>10 - Oct</v>
      </c>
      <c r="E376" s="15" t="str">
        <f t="shared" si="3"/>
        <v>Sun</v>
      </c>
      <c r="F376" s="15">
        <f t="shared" si="4"/>
        <v>7</v>
      </c>
      <c r="G376" s="16">
        <v>41240.0</v>
      </c>
      <c r="H376" s="14">
        <f t="shared" si="5"/>
        <v>44</v>
      </c>
      <c r="I376" s="7" t="s">
        <v>364</v>
      </c>
      <c r="J376" s="7" t="s">
        <v>656</v>
      </c>
      <c r="K376" s="7" t="str">
        <f>VLOOKUP(J376,countries,2,false)</f>
        <v>San Marino</v>
      </c>
      <c r="L376" s="7" t="str">
        <f>VLOOKUP($J376,countries,5,false)</f>
        <v>Europe</v>
      </c>
      <c r="M376" s="7" t="str">
        <f>VLOOKUP($J376,countries,6,false)</f>
        <v>Southern Europe</v>
      </c>
      <c r="N376" s="7">
        <v>5988.0</v>
      </c>
      <c r="O376" s="7" t="str">
        <f>VLOOKUP(N376, products, 2, FALSE)</f>
        <v>Vegetables</v>
      </c>
      <c r="P376" s="7" t="s">
        <v>334</v>
      </c>
      <c r="Q376" s="7">
        <v>5310.0</v>
      </c>
      <c r="R376" s="17">
        <v>154.06</v>
      </c>
      <c r="S376" s="17">
        <v>90.93</v>
      </c>
      <c r="U376" s="18">
        <f t="shared" si="6"/>
        <v>818058.6</v>
      </c>
      <c r="V376" s="18">
        <f t="shared" si="7"/>
        <v>482838.3</v>
      </c>
      <c r="W376" s="19">
        <f t="shared" si="8"/>
        <v>335220.3</v>
      </c>
    </row>
    <row r="377">
      <c r="A377" s="7">
        <v>3.54655683E8</v>
      </c>
      <c r="B377" s="12">
        <v>41114.0</v>
      </c>
      <c r="C377" s="7">
        <f t="shared" si="1"/>
        <v>2012</v>
      </c>
      <c r="D377" s="14" t="str">
        <f t="shared" si="2"/>
        <v>07 - Jul</v>
      </c>
      <c r="E377" s="15" t="str">
        <f t="shared" si="3"/>
        <v>Tue</v>
      </c>
      <c r="F377" s="15">
        <f t="shared" si="4"/>
        <v>2</v>
      </c>
      <c r="G377" s="16">
        <v>41121.0</v>
      </c>
      <c r="H377" s="14">
        <f t="shared" si="5"/>
        <v>7</v>
      </c>
      <c r="I377" s="7" t="s">
        <v>232</v>
      </c>
      <c r="J377" s="7" t="s">
        <v>570</v>
      </c>
      <c r="K377" s="7" t="str">
        <f>VLOOKUP(J377,countries,2,false)</f>
        <v>Macedonia</v>
      </c>
      <c r="L377" s="7" t="str">
        <f>VLOOKUP($J377,countries,5,false)</f>
        <v>Europe</v>
      </c>
      <c r="M377" s="7" t="str">
        <f>VLOOKUP($J377,countries,6,false)</f>
        <v>Southern Europe</v>
      </c>
      <c r="N377" s="7">
        <v>1270.0</v>
      </c>
      <c r="O377" s="7" t="str">
        <f>VLOOKUP(N377, products, 2, FALSE)</f>
        <v>Beverages</v>
      </c>
      <c r="P377" s="7" t="s">
        <v>334</v>
      </c>
      <c r="Q377" s="7">
        <v>9353.0</v>
      </c>
      <c r="R377" s="17">
        <v>47.45</v>
      </c>
      <c r="S377" s="17">
        <v>31.79</v>
      </c>
      <c r="U377" s="18">
        <f t="shared" si="6"/>
        <v>443799.85</v>
      </c>
      <c r="V377" s="18">
        <f t="shared" si="7"/>
        <v>297331.87</v>
      </c>
      <c r="W377" s="19">
        <f t="shared" si="8"/>
        <v>146467.98</v>
      </c>
    </row>
    <row r="378">
      <c r="A378" s="7">
        <v>3.54667699E8</v>
      </c>
      <c r="B378" s="12">
        <v>41234.0</v>
      </c>
      <c r="C378" s="7">
        <f t="shared" si="1"/>
        <v>2012</v>
      </c>
      <c r="D378" s="14" t="str">
        <f t="shared" si="2"/>
        <v>11 - Nov</v>
      </c>
      <c r="E378" s="15" t="str">
        <f t="shared" si="3"/>
        <v>Wed</v>
      </c>
      <c r="F378" s="15">
        <f t="shared" si="4"/>
        <v>3</v>
      </c>
      <c r="G378" s="16">
        <v>41272.0</v>
      </c>
      <c r="H378" s="14">
        <f t="shared" si="5"/>
        <v>38</v>
      </c>
      <c r="I378" s="7" t="s">
        <v>364</v>
      </c>
      <c r="J378" s="7" t="s">
        <v>229</v>
      </c>
      <c r="K378" s="7" t="str">
        <f>VLOOKUP(J378,countries,2,false)</f>
        <v>Croatia</v>
      </c>
      <c r="L378" s="7" t="str">
        <f>VLOOKUP($J378,countries,5,false)</f>
        <v>Europe</v>
      </c>
      <c r="M378" s="7" t="str">
        <f>VLOOKUP($J378,countries,6,false)</f>
        <v>Southern Europe</v>
      </c>
      <c r="N378" s="7">
        <v>8681.0</v>
      </c>
      <c r="O378" s="7" t="str">
        <f>VLOOKUP(N378, products, 2, FALSE)</f>
        <v>Office Supplies</v>
      </c>
      <c r="P378" s="7" t="s">
        <v>334</v>
      </c>
      <c r="Q378" s="7">
        <v>2908.0</v>
      </c>
      <c r="R378" s="17">
        <v>651.21</v>
      </c>
      <c r="S378" s="17">
        <v>524.96</v>
      </c>
      <c r="U378" s="18">
        <f t="shared" si="6"/>
        <v>1893718.68</v>
      </c>
      <c r="V378" s="18">
        <f t="shared" si="7"/>
        <v>1526583.68</v>
      </c>
      <c r="W378" s="19">
        <f t="shared" si="8"/>
        <v>367135</v>
      </c>
    </row>
    <row r="379">
      <c r="A379" s="7">
        <v>3.54931628E8</v>
      </c>
      <c r="B379" s="12">
        <v>40328.0</v>
      </c>
      <c r="C379" s="7">
        <f t="shared" si="1"/>
        <v>2010</v>
      </c>
      <c r="D379" s="14" t="str">
        <f t="shared" si="2"/>
        <v>05 - May</v>
      </c>
      <c r="E379" s="15" t="str">
        <f t="shared" si="3"/>
        <v>Sun</v>
      </c>
      <c r="F379" s="15">
        <f t="shared" si="4"/>
        <v>7</v>
      </c>
      <c r="G379" s="16">
        <v>40337.0</v>
      </c>
      <c r="H379" s="14">
        <f t="shared" si="5"/>
        <v>9</v>
      </c>
      <c r="I379" s="7" t="s">
        <v>399</v>
      </c>
      <c r="J379" s="7" t="s">
        <v>396</v>
      </c>
      <c r="K379" s="7" t="str">
        <f>VLOOKUP(J379,countries,2,false)</f>
        <v>Ireland</v>
      </c>
      <c r="L379" s="7" t="str">
        <f>VLOOKUP($J379,countries,5,false)</f>
        <v>Europe</v>
      </c>
      <c r="M379" s="7" t="str">
        <f>VLOOKUP($J379,countries,6,false)</f>
        <v>Northern Europe</v>
      </c>
      <c r="N379" s="7">
        <v>3127.0</v>
      </c>
      <c r="O379" s="7" t="str">
        <f>VLOOKUP(N379, products, 2, FALSE)</f>
        <v>Personal Care</v>
      </c>
      <c r="P379" s="7" t="s">
        <v>334</v>
      </c>
      <c r="Q379" s="7">
        <v>1011.0</v>
      </c>
      <c r="R379" s="17">
        <v>81.73</v>
      </c>
      <c r="S379" s="17">
        <v>56.67</v>
      </c>
      <c r="U379" s="18">
        <f t="shared" si="6"/>
        <v>82629.03</v>
      </c>
      <c r="V379" s="18">
        <f t="shared" si="7"/>
        <v>57293.37</v>
      </c>
      <c r="W379" s="19">
        <f t="shared" si="8"/>
        <v>25335.66</v>
      </c>
    </row>
    <row r="380">
      <c r="A380" s="7">
        <v>3.55534589E8</v>
      </c>
      <c r="B380" s="12">
        <v>42035.0</v>
      </c>
      <c r="C380" s="7">
        <f t="shared" si="1"/>
        <v>2015</v>
      </c>
      <c r="D380" s="14" t="str">
        <f t="shared" si="2"/>
        <v>01 - Jan</v>
      </c>
      <c r="E380" s="15" t="str">
        <f t="shared" si="3"/>
        <v>Sat</v>
      </c>
      <c r="F380" s="15">
        <f t="shared" si="4"/>
        <v>6</v>
      </c>
      <c r="G380" s="16">
        <v>42041.0</v>
      </c>
      <c r="H380" s="14">
        <f t="shared" si="5"/>
        <v>6</v>
      </c>
      <c r="I380" s="7" t="s">
        <v>399</v>
      </c>
      <c r="J380" s="7" t="s">
        <v>328</v>
      </c>
      <c r="K380" s="7" t="str">
        <f>VLOOKUP(J380,countries,2,false)</f>
        <v>Greece</v>
      </c>
      <c r="L380" s="7" t="str">
        <f>VLOOKUP($J380,countries,5,false)</f>
        <v>Europe</v>
      </c>
      <c r="M380" s="7" t="str">
        <f>VLOOKUP($J380,countries,6,false)</f>
        <v>Southern Europe</v>
      </c>
      <c r="N380" s="7">
        <v>2455.0</v>
      </c>
      <c r="O380" s="7" t="str">
        <f>VLOOKUP(N380, products, 2, FALSE)</f>
        <v>Clothes</v>
      </c>
      <c r="P380" s="7" t="s">
        <v>264</v>
      </c>
      <c r="Q380" s="7">
        <v>9440.0</v>
      </c>
      <c r="R380" s="17">
        <v>109.28</v>
      </c>
      <c r="S380" s="17">
        <v>35.84</v>
      </c>
      <c r="U380" s="18">
        <f t="shared" si="6"/>
        <v>1031603.2</v>
      </c>
      <c r="V380" s="18">
        <f t="shared" si="7"/>
        <v>338329.6</v>
      </c>
      <c r="W380" s="19">
        <f t="shared" si="8"/>
        <v>693273.6</v>
      </c>
    </row>
    <row r="381">
      <c r="A381" s="7">
        <v>3.56413495E8</v>
      </c>
      <c r="B381" s="12">
        <v>40190.0</v>
      </c>
      <c r="C381" s="7">
        <f t="shared" si="1"/>
        <v>2010</v>
      </c>
      <c r="D381" s="14" t="str">
        <f t="shared" si="2"/>
        <v>01 - Jan</v>
      </c>
      <c r="E381" s="15" t="str">
        <f t="shared" si="3"/>
        <v>Tue</v>
      </c>
      <c r="F381" s="15">
        <f t="shared" si="4"/>
        <v>2</v>
      </c>
      <c r="G381" s="16">
        <v>40196.0</v>
      </c>
      <c r="H381" s="14">
        <f t="shared" si="5"/>
        <v>6</v>
      </c>
      <c r="I381" s="7" t="s">
        <v>364</v>
      </c>
      <c r="J381" s="7" t="s">
        <v>146</v>
      </c>
      <c r="K381" s="7" t="str">
        <f>VLOOKUP(J381,countries,2,false)</f>
        <v>Bosnia and Herzegovina</v>
      </c>
      <c r="L381" s="7" t="str">
        <f>VLOOKUP($J381,countries,5,false)</f>
        <v>Europe</v>
      </c>
      <c r="M381" s="7" t="str">
        <f>VLOOKUP($J381,countries,6,false)</f>
        <v>Southern Europe</v>
      </c>
      <c r="N381" s="7">
        <v>3127.0</v>
      </c>
      <c r="O381" s="7" t="str">
        <f>VLOOKUP(N381, products, 2, FALSE)</f>
        <v>Personal Care</v>
      </c>
      <c r="P381" s="7" t="s">
        <v>334</v>
      </c>
      <c r="Q381" s="7">
        <v>9528.0</v>
      </c>
      <c r="R381" s="17">
        <v>81.73</v>
      </c>
      <c r="S381" s="17">
        <v>56.67</v>
      </c>
      <c r="U381" s="18">
        <f t="shared" si="6"/>
        <v>778723.44</v>
      </c>
      <c r="V381" s="18">
        <f t="shared" si="7"/>
        <v>539951.76</v>
      </c>
      <c r="W381" s="19">
        <f t="shared" si="8"/>
        <v>238771.68</v>
      </c>
    </row>
    <row r="382">
      <c r="A382" s="7">
        <v>3.5743488E8</v>
      </c>
      <c r="B382" s="12">
        <v>42146.0</v>
      </c>
      <c r="C382" s="7">
        <f t="shared" si="1"/>
        <v>2015</v>
      </c>
      <c r="D382" s="14" t="str">
        <f t="shared" si="2"/>
        <v>05 - May</v>
      </c>
      <c r="E382" s="15" t="str">
        <f t="shared" si="3"/>
        <v>Fri</v>
      </c>
      <c r="F382" s="15">
        <f t="shared" si="4"/>
        <v>5</v>
      </c>
      <c r="G382" s="16">
        <v>42184.0</v>
      </c>
      <c r="H382" s="14">
        <f t="shared" si="5"/>
        <v>38</v>
      </c>
      <c r="I382" s="7" t="s">
        <v>305</v>
      </c>
      <c r="J382" s="7" t="s">
        <v>365</v>
      </c>
      <c r="K382" s="7" t="str">
        <f>VLOOKUP(J382,countries,2,false)</f>
        <v>Montenegro</v>
      </c>
      <c r="L382" s="7" t="str">
        <f>VLOOKUP($J382,countries,5,false)</f>
        <v>Europe</v>
      </c>
      <c r="M382" s="7" t="str">
        <f>VLOOKUP($J382,countries,6,false)</f>
        <v>Southern Europe</v>
      </c>
      <c r="N382" s="7">
        <v>8293.0</v>
      </c>
      <c r="O382" s="7" t="str">
        <f>VLOOKUP(N382, products, 2, FALSE)</f>
        <v>Cosmetics</v>
      </c>
      <c r="P382" s="7" t="s">
        <v>264</v>
      </c>
      <c r="Q382" s="7">
        <v>1779.0</v>
      </c>
      <c r="R382" s="17">
        <v>437.2</v>
      </c>
      <c r="S382" s="17">
        <v>263.33</v>
      </c>
      <c r="U382" s="18">
        <f t="shared" si="6"/>
        <v>777778.8</v>
      </c>
      <c r="V382" s="18">
        <f t="shared" si="7"/>
        <v>468464.07</v>
      </c>
      <c r="W382" s="19">
        <f t="shared" si="8"/>
        <v>309314.73</v>
      </c>
    </row>
    <row r="383">
      <c r="A383" s="7">
        <v>3.57482516E8</v>
      </c>
      <c r="B383" s="12">
        <v>41834.0</v>
      </c>
      <c r="C383" s="7">
        <f t="shared" si="1"/>
        <v>2014</v>
      </c>
      <c r="D383" s="14" t="str">
        <f t="shared" si="2"/>
        <v>07 - Jul</v>
      </c>
      <c r="E383" s="15" t="str">
        <f t="shared" si="3"/>
        <v>Mon</v>
      </c>
      <c r="F383" s="15">
        <f t="shared" si="4"/>
        <v>1</v>
      </c>
      <c r="G383" s="16">
        <v>41848.0</v>
      </c>
      <c r="H383" s="14">
        <f t="shared" si="5"/>
        <v>14</v>
      </c>
      <c r="I383" s="7" t="s">
        <v>305</v>
      </c>
      <c r="J383" s="7" t="s">
        <v>396</v>
      </c>
      <c r="K383" s="7" t="str">
        <f>VLOOKUP(J383,countries,2,false)</f>
        <v>Ireland</v>
      </c>
      <c r="L383" s="7" t="str">
        <f>VLOOKUP($J383,countries,5,false)</f>
        <v>Europe</v>
      </c>
      <c r="M383" s="7" t="str">
        <f>VLOOKUP($J383,countries,6,false)</f>
        <v>Northern Europe</v>
      </c>
      <c r="N383" s="7">
        <v>1270.0</v>
      </c>
      <c r="O383" s="7" t="str">
        <f>VLOOKUP(N383, products, 2, FALSE)</f>
        <v>Beverages</v>
      </c>
      <c r="P383" s="7" t="s">
        <v>264</v>
      </c>
      <c r="Q383" s="7">
        <v>5875.0</v>
      </c>
      <c r="R383" s="17">
        <v>47.45</v>
      </c>
      <c r="S383" s="17">
        <v>31.79</v>
      </c>
      <c r="U383" s="18">
        <f t="shared" si="6"/>
        <v>278768.75</v>
      </c>
      <c r="V383" s="18">
        <f t="shared" si="7"/>
        <v>186766.25</v>
      </c>
      <c r="W383" s="19">
        <f t="shared" si="8"/>
        <v>92002.5</v>
      </c>
    </row>
    <row r="384">
      <c r="A384" s="7">
        <v>3.57930982E8</v>
      </c>
      <c r="B384" s="12">
        <v>42385.0</v>
      </c>
      <c r="C384" s="7">
        <f t="shared" si="1"/>
        <v>2016</v>
      </c>
      <c r="D384" s="14" t="str">
        <f t="shared" si="2"/>
        <v>01 - Jan</v>
      </c>
      <c r="E384" s="15" t="str">
        <f t="shared" si="3"/>
        <v>Sat</v>
      </c>
      <c r="F384" s="15">
        <f t="shared" si="4"/>
        <v>6</v>
      </c>
      <c r="G384" s="16">
        <v>42434.0</v>
      </c>
      <c r="H384" s="14">
        <f t="shared" si="5"/>
        <v>49</v>
      </c>
      <c r="I384" s="7" t="s">
        <v>305</v>
      </c>
      <c r="J384" s="7" t="s">
        <v>41</v>
      </c>
      <c r="K384" s="7" t="str">
        <f>VLOOKUP(J384,countries,2,false)</f>
        <v>Albania</v>
      </c>
      <c r="L384" s="7" t="str">
        <f>VLOOKUP($J384,countries,5,false)</f>
        <v>Europe</v>
      </c>
      <c r="M384" s="7" t="str">
        <f>VLOOKUP($J384,countries,6,false)</f>
        <v>Southern Europe</v>
      </c>
      <c r="N384" s="7">
        <v>2455.0</v>
      </c>
      <c r="O384" s="7" t="str">
        <f>VLOOKUP(N384, products, 2, FALSE)</f>
        <v>Clothes</v>
      </c>
      <c r="P384" s="7" t="s">
        <v>334</v>
      </c>
      <c r="Q384" s="7">
        <v>8586.0</v>
      </c>
      <c r="R384" s="17">
        <v>109.28</v>
      </c>
      <c r="S384" s="17">
        <v>35.84</v>
      </c>
      <c r="U384" s="18">
        <f t="shared" si="6"/>
        <v>938278.08</v>
      </c>
      <c r="V384" s="18">
        <f t="shared" si="7"/>
        <v>307722.24</v>
      </c>
      <c r="W384" s="19">
        <f t="shared" si="8"/>
        <v>630555.84</v>
      </c>
    </row>
    <row r="385">
      <c r="A385" s="7">
        <v>3.57943856E8</v>
      </c>
      <c r="B385" s="12">
        <v>41329.0</v>
      </c>
      <c r="C385" s="7">
        <f t="shared" si="1"/>
        <v>2013</v>
      </c>
      <c r="D385" s="14" t="str">
        <f t="shared" si="2"/>
        <v>02 - Feb</v>
      </c>
      <c r="E385" s="15" t="str">
        <f t="shared" si="3"/>
        <v>Sun</v>
      </c>
      <c r="F385" s="15">
        <f t="shared" si="4"/>
        <v>7</v>
      </c>
      <c r="G385" s="16">
        <v>41350.0</v>
      </c>
      <c r="H385" s="14">
        <f t="shared" si="5"/>
        <v>21</v>
      </c>
      <c r="I385" s="7" t="s">
        <v>364</v>
      </c>
      <c r="J385" s="7" t="s">
        <v>233</v>
      </c>
      <c r="K385" s="7" t="str">
        <f>VLOOKUP(J385,countries,2,false)</f>
        <v>Norway</v>
      </c>
      <c r="L385" s="7" t="str">
        <f>VLOOKUP($J385,countries,5,false)</f>
        <v>Europe</v>
      </c>
      <c r="M385" s="7" t="str">
        <f>VLOOKUP($J385,countries,6,false)</f>
        <v>Northern Europe</v>
      </c>
      <c r="N385" s="7">
        <v>7331.0</v>
      </c>
      <c r="O385" s="7" t="str">
        <f>VLOOKUP(N385, products, 2, FALSE)</f>
        <v>Baby Food</v>
      </c>
      <c r="P385" s="7" t="s">
        <v>334</v>
      </c>
      <c r="Q385" s="7">
        <v>2396.0</v>
      </c>
      <c r="R385" s="17">
        <v>255.28</v>
      </c>
      <c r="S385" s="17">
        <v>159.42</v>
      </c>
      <c r="U385" s="18">
        <f t="shared" si="6"/>
        <v>611650.88</v>
      </c>
      <c r="V385" s="18">
        <f t="shared" si="7"/>
        <v>381970.32</v>
      </c>
      <c r="W385" s="19">
        <f t="shared" si="8"/>
        <v>229680.56</v>
      </c>
    </row>
    <row r="386">
      <c r="A386" s="7">
        <v>3.58594453E8</v>
      </c>
      <c r="B386" s="12">
        <v>42724.0</v>
      </c>
      <c r="C386" s="7">
        <f t="shared" si="1"/>
        <v>2016</v>
      </c>
      <c r="D386" s="14" t="str">
        <f t="shared" si="2"/>
        <v>12 - Dec</v>
      </c>
      <c r="E386" s="15" t="str">
        <f t="shared" si="3"/>
        <v>Tue</v>
      </c>
      <c r="F386" s="15">
        <f t="shared" si="4"/>
        <v>2</v>
      </c>
      <c r="G386" s="16">
        <v>42768.0</v>
      </c>
      <c r="H386" s="14">
        <f t="shared" si="5"/>
        <v>44</v>
      </c>
      <c r="I386" s="7" t="s">
        <v>364</v>
      </c>
      <c r="J386" s="7" t="s">
        <v>381</v>
      </c>
      <c r="K386" s="7" t="str">
        <f>VLOOKUP(J386,countries,2,false)</f>
        <v>Iceland</v>
      </c>
      <c r="L386" s="7" t="str">
        <f>VLOOKUP($J386,countries,5,false)</f>
        <v>Europe</v>
      </c>
      <c r="M386" s="7" t="str">
        <f>VLOOKUP($J386,countries,6,false)</f>
        <v>Northern Europe</v>
      </c>
      <c r="N386" s="7">
        <v>8969.0</v>
      </c>
      <c r="O386" s="7" t="str">
        <f>VLOOKUP(N386, products, 2, FALSE)</f>
        <v>Snacks</v>
      </c>
      <c r="P386" s="7" t="s">
        <v>334</v>
      </c>
      <c r="Q386" s="7">
        <v>4922.0</v>
      </c>
      <c r="R386" s="17">
        <v>152.58</v>
      </c>
      <c r="S386" s="17">
        <v>97.44</v>
      </c>
      <c r="U386" s="18">
        <f t="shared" si="6"/>
        <v>750998.76</v>
      </c>
      <c r="V386" s="18">
        <f t="shared" si="7"/>
        <v>479599.68</v>
      </c>
      <c r="W386" s="19">
        <f t="shared" si="8"/>
        <v>271399.08</v>
      </c>
    </row>
    <row r="387">
      <c r="A387" s="7">
        <v>3.58624064E8</v>
      </c>
      <c r="B387" s="12">
        <v>42231.0</v>
      </c>
      <c r="C387" s="7">
        <f t="shared" si="1"/>
        <v>2015</v>
      </c>
      <c r="D387" s="14" t="str">
        <f t="shared" si="2"/>
        <v>08 - Aug</v>
      </c>
      <c r="E387" s="15" t="str">
        <f t="shared" si="3"/>
        <v>Sat</v>
      </c>
      <c r="F387" s="15">
        <f t="shared" si="4"/>
        <v>6</v>
      </c>
      <c r="G387" s="16">
        <v>42280.0</v>
      </c>
      <c r="H387" s="14">
        <f t="shared" si="5"/>
        <v>49</v>
      </c>
      <c r="I387" s="7" t="s">
        <v>399</v>
      </c>
      <c r="J387" s="7" t="s">
        <v>626</v>
      </c>
      <c r="K387" s="7" t="str">
        <f>VLOOKUP(J387,countries,2,false)</f>
        <v>Russia</v>
      </c>
      <c r="L387" s="7" t="str">
        <f>VLOOKUP($J387,countries,5,false)</f>
        <v>Europe</v>
      </c>
      <c r="M387" s="7" t="str">
        <f>VLOOKUP($J387,countries,6,false)</f>
        <v>Eastern Europe</v>
      </c>
      <c r="N387" s="7">
        <v>2455.0</v>
      </c>
      <c r="O387" s="7" t="str">
        <f>VLOOKUP(N387, products, 2, FALSE)</f>
        <v>Clothes</v>
      </c>
      <c r="P387" s="7" t="s">
        <v>334</v>
      </c>
      <c r="Q387" s="7">
        <v>3685.0</v>
      </c>
      <c r="R387" s="17">
        <v>109.28</v>
      </c>
      <c r="S387" s="17">
        <v>35.84</v>
      </c>
      <c r="U387" s="18">
        <f t="shared" si="6"/>
        <v>402696.8</v>
      </c>
      <c r="V387" s="18">
        <f t="shared" si="7"/>
        <v>132070.4</v>
      </c>
      <c r="W387" s="19">
        <f t="shared" si="8"/>
        <v>270626.4</v>
      </c>
    </row>
    <row r="388">
      <c r="A388" s="7">
        <v>3.59197413E8</v>
      </c>
      <c r="B388" s="12">
        <v>41665.0</v>
      </c>
      <c r="C388" s="7">
        <f t="shared" si="1"/>
        <v>2014</v>
      </c>
      <c r="D388" s="14" t="str">
        <f t="shared" si="2"/>
        <v>01 - Jan</v>
      </c>
      <c r="E388" s="15" t="str">
        <f t="shared" si="3"/>
        <v>Sun</v>
      </c>
      <c r="F388" s="15">
        <f t="shared" si="4"/>
        <v>7</v>
      </c>
      <c r="G388" s="16">
        <v>41706.0</v>
      </c>
      <c r="H388" s="14">
        <f t="shared" si="5"/>
        <v>41</v>
      </c>
      <c r="I388" s="7" t="s">
        <v>364</v>
      </c>
      <c r="J388" s="7" t="s">
        <v>316</v>
      </c>
      <c r="K388" s="7" t="str">
        <f>VLOOKUP(J388,countries,2,false)</f>
        <v>Georgia</v>
      </c>
      <c r="L388" s="7" t="str">
        <f>VLOOKUP($J388,countries,5,false)</f>
        <v>Asia</v>
      </c>
      <c r="M388" s="7" t="str">
        <f>VLOOKUP($J388,countries,6,false)</f>
        <v>Western Asia</v>
      </c>
      <c r="N388" s="7">
        <v>7331.0</v>
      </c>
      <c r="O388" s="7" t="str">
        <f>VLOOKUP(N388, products, 2, FALSE)</f>
        <v>Baby Food</v>
      </c>
      <c r="P388" s="7" t="s">
        <v>264</v>
      </c>
      <c r="Q388" s="7">
        <v>3352.0</v>
      </c>
      <c r="R388" s="17">
        <v>255.28</v>
      </c>
      <c r="S388" s="17">
        <v>159.42</v>
      </c>
      <c r="U388" s="18">
        <f t="shared" si="6"/>
        <v>855698.56</v>
      </c>
      <c r="V388" s="18">
        <f t="shared" si="7"/>
        <v>534375.84</v>
      </c>
      <c r="W388" s="19">
        <f t="shared" si="8"/>
        <v>321322.72</v>
      </c>
    </row>
    <row r="389">
      <c r="A389" s="7">
        <v>3.59893071E8</v>
      </c>
      <c r="B389" s="12">
        <v>40746.0</v>
      </c>
      <c r="C389" s="7">
        <f t="shared" si="1"/>
        <v>2011</v>
      </c>
      <c r="D389" s="14" t="str">
        <f t="shared" si="2"/>
        <v>07 - Jul</v>
      </c>
      <c r="E389" s="15" t="str">
        <f t="shared" si="3"/>
        <v>Fri</v>
      </c>
      <c r="F389" s="15">
        <f t="shared" si="4"/>
        <v>5</v>
      </c>
      <c r="G389" s="16">
        <v>40761.0</v>
      </c>
      <c r="H389" s="14">
        <f t="shared" si="5"/>
        <v>15</v>
      </c>
      <c r="I389" s="7" t="s">
        <v>399</v>
      </c>
      <c r="J389" s="7" t="s">
        <v>406</v>
      </c>
      <c r="K389" s="7" t="str">
        <f>VLOOKUP(J389,countries,2,false)</f>
        <v>Italy</v>
      </c>
      <c r="L389" s="7" t="str">
        <f>VLOOKUP($J389,countries,5,false)</f>
        <v>Europe</v>
      </c>
      <c r="M389" s="7" t="str">
        <f>VLOOKUP($J389,countries,6,false)</f>
        <v>Southern Europe</v>
      </c>
      <c r="N389" s="7">
        <v>5988.0</v>
      </c>
      <c r="O389" s="7" t="str">
        <f>VLOOKUP(N389, products, 2, FALSE)</f>
        <v>Vegetables</v>
      </c>
      <c r="P389" s="7" t="s">
        <v>264</v>
      </c>
      <c r="Q389" s="7">
        <v>9212.0</v>
      </c>
      <c r="R389" s="17">
        <v>154.06</v>
      </c>
      <c r="S389" s="17">
        <v>90.93</v>
      </c>
      <c r="U389" s="18">
        <f t="shared" si="6"/>
        <v>1419200.72</v>
      </c>
      <c r="V389" s="18">
        <f t="shared" si="7"/>
        <v>837647.16</v>
      </c>
      <c r="W389" s="19">
        <f t="shared" si="8"/>
        <v>581553.56</v>
      </c>
    </row>
    <row r="390">
      <c r="A390" s="7">
        <v>3.61311852E8</v>
      </c>
      <c r="B390" s="12">
        <v>42741.0</v>
      </c>
      <c r="C390" s="7">
        <f t="shared" si="1"/>
        <v>2017</v>
      </c>
      <c r="D390" s="14" t="str">
        <f t="shared" si="2"/>
        <v>01 - Jan</v>
      </c>
      <c r="E390" s="15" t="str">
        <f t="shared" si="3"/>
        <v>Fri</v>
      </c>
      <c r="F390" s="15">
        <f t="shared" si="4"/>
        <v>5</v>
      </c>
      <c r="G390" s="16">
        <v>42781.0</v>
      </c>
      <c r="H390" s="14">
        <f t="shared" si="5"/>
        <v>40</v>
      </c>
      <c r="I390" s="7" t="s">
        <v>364</v>
      </c>
      <c r="J390" s="7" t="s">
        <v>319</v>
      </c>
      <c r="K390" s="7" t="str">
        <f>VLOOKUP(J390,countries,2,false)</f>
        <v>Germany</v>
      </c>
      <c r="L390" s="7" t="str">
        <f>VLOOKUP($J390,countries,5,false)</f>
        <v>Europe</v>
      </c>
      <c r="M390" s="7" t="str">
        <f>VLOOKUP($J390,countries,6,false)</f>
        <v>Western Europe</v>
      </c>
      <c r="N390" s="7">
        <v>7331.0</v>
      </c>
      <c r="O390" s="7" t="str">
        <f>VLOOKUP(N390, products, 2, FALSE)</f>
        <v>Baby Food</v>
      </c>
      <c r="P390" s="7" t="s">
        <v>334</v>
      </c>
      <c r="Q390" s="7">
        <v>9061.0</v>
      </c>
      <c r="R390" s="17">
        <v>255.28</v>
      </c>
      <c r="S390" s="17">
        <v>159.42</v>
      </c>
      <c r="U390" s="18">
        <f t="shared" si="6"/>
        <v>2313092.08</v>
      </c>
      <c r="V390" s="18">
        <f t="shared" si="7"/>
        <v>1444504.62</v>
      </c>
      <c r="W390" s="19">
        <f t="shared" si="8"/>
        <v>868587.46</v>
      </c>
    </row>
    <row r="391">
      <c r="A391" s="7">
        <v>3.61659038E8</v>
      </c>
      <c r="B391" s="12">
        <v>41090.0</v>
      </c>
      <c r="C391" s="7">
        <f t="shared" si="1"/>
        <v>2012</v>
      </c>
      <c r="D391" s="14" t="str">
        <f t="shared" si="2"/>
        <v>06 - Jun</v>
      </c>
      <c r="E391" s="15" t="str">
        <f t="shared" si="3"/>
        <v>Sat</v>
      </c>
      <c r="F391" s="15">
        <f t="shared" si="4"/>
        <v>6</v>
      </c>
      <c r="G391" s="16">
        <v>41124.0</v>
      </c>
      <c r="H391" s="14">
        <f t="shared" si="5"/>
        <v>34</v>
      </c>
      <c r="I391" s="7" t="s">
        <v>364</v>
      </c>
      <c r="J391" s="7" t="s">
        <v>468</v>
      </c>
      <c r="K391" s="7" t="str">
        <f>VLOOKUP(J391,countries,2,false)</f>
        <v>Luxembourg</v>
      </c>
      <c r="L391" s="7" t="str">
        <f>VLOOKUP($J391,countries,5,false)</f>
        <v>Europe</v>
      </c>
      <c r="M391" s="7" t="str">
        <f>VLOOKUP($J391,countries,6,false)</f>
        <v>Western Europe</v>
      </c>
      <c r="N391" s="7">
        <v>2103.0</v>
      </c>
      <c r="O391" s="7" t="str">
        <f>VLOOKUP(N391, products, 2, FALSE)</f>
        <v>Cereal</v>
      </c>
      <c r="P391" s="7" t="s">
        <v>264</v>
      </c>
      <c r="Q391" s="7">
        <v>1801.0</v>
      </c>
      <c r="R391" s="17">
        <v>205.7</v>
      </c>
      <c r="S391" s="17">
        <v>117.11</v>
      </c>
      <c r="U391" s="18">
        <f t="shared" si="6"/>
        <v>370465.7</v>
      </c>
      <c r="V391" s="18">
        <f t="shared" si="7"/>
        <v>210915.11</v>
      </c>
      <c r="W391" s="19">
        <f t="shared" si="8"/>
        <v>159550.59</v>
      </c>
    </row>
    <row r="392">
      <c r="A392" s="7">
        <v>3.61725556E8</v>
      </c>
      <c r="B392" s="12">
        <v>42548.0</v>
      </c>
      <c r="C392" s="7">
        <f t="shared" si="1"/>
        <v>2016</v>
      </c>
      <c r="D392" s="14" t="str">
        <f t="shared" si="2"/>
        <v>06 - Jun</v>
      </c>
      <c r="E392" s="15" t="str">
        <f t="shared" si="3"/>
        <v>Mon</v>
      </c>
      <c r="F392" s="15">
        <f t="shared" si="4"/>
        <v>1</v>
      </c>
      <c r="G392" s="16">
        <v>42569.0</v>
      </c>
      <c r="H392" s="14">
        <f t="shared" si="5"/>
        <v>21</v>
      </c>
      <c r="I392" s="7" t="s">
        <v>364</v>
      </c>
      <c r="J392" s="7" t="s">
        <v>656</v>
      </c>
      <c r="K392" s="7" t="str">
        <f>VLOOKUP(J392,countries,2,false)</f>
        <v>San Marino</v>
      </c>
      <c r="L392" s="7" t="str">
        <f>VLOOKUP($J392,countries,5,false)</f>
        <v>Europe</v>
      </c>
      <c r="M392" s="7" t="str">
        <f>VLOOKUP($J392,countries,6,false)</f>
        <v>Southern Europe</v>
      </c>
      <c r="N392" s="7">
        <v>5988.0</v>
      </c>
      <c r="O392" s="7" t="str">
        <f>VLOOKUP(N392, products, 2, FALSE)</f>
        <v>Vegetables</v>
      </c>
      <c r="P392" s="7" t="s">
        <v>334</v>
      </c>
      <c r="Q392" s="7">
        <v>1485.0</v>
      </c>
      <c r="R392" s="17">
        <v>154.06</v>
      </c>
      <c r="S392" s="17">
        <v>90.93</v>
      </c>
      <c r="U392" s="18">
        <f t="shared" si="6"/>
        <v>228779.1</v>
      </c>
      <c r="V392" s="18">
        <f t="shared" si="7"/>
        <v>135031.05</v>
      </c>
      <c r="W392" s="19">
        <f t="shared" si="8"/>
        <v>93748.05</v>
      </c>
    </row>
    <row r="393">
      <c r="A393" s="7">
        <v>3.62258565E8</v>
      </c>
      <c r="B393" s="12">
        <v>41972.0</v>
      </c>
      <c r="C393" s="7">
        <f t="shared" si="1"/>
        <v>2014</v>
      </c>
      <c r="D393" s="14" t="str">
        <f t="shared" si="2"/>
        <v>11 - Nov</v>
      </c>
      <c r="E393" s="15" t="str">
        <f t="shared" si="3"/>
        <v>Sat</v>
      </c>
      <c r="F393" s="15">
        <f t="shared" si="4"/>
        <v>6</v>
      </c>
      <c r="G393" s="16">
        <v>41987.0</v>
      </c>
      <c r="H393" s="14">
        <f t="shared" si="5"/>
        <v>15</v>
      </c>
      <c r="I393" s="7" t="s">
        <v>305</v>
      </c>
      <c r="J393" s="7" t="s">
        <v>90</v>
      </c>
      <c r="K393" s="7" t="str">
        <f>VLOOKUP(J393,countries,2,false)</f>
        <v>Armenia</v>
      </c>
      <c r="L393" s="7" t="str">
        <f>VLOOKUP($J393,countries,5,false)</f>
        <v>Asia</v>
      </c>
      <c r="M393" s="7" t="str">
        <f>VLOOKUP($J393,countries,6,false)</f>
        <v>Western Asia</v>
      </c>
      <c r="N393" s="7">
        <v>4594.0</v>
      </c>
      <c r="O393" s="7" t="str">
        <f>VLOOKUP(N393, products, 2, FALSE)</f>
        <v>Fruits</v>
      </c>
      <c r="P393" s="7" t="s">
        <v>334</v>
      </c>
      <c r="Q393" s="7">
        <v>9214.0</v>
      </c>
      <c r="R393" s="17">
        <v>9.33</v>
      </c>
      <c r="S393" s="17">
        <v>6.92</v>
      </c>
      <c r="U393" s="18">
        <f t="shared" si="6"/>
        <v>85966.62</v>
      </c>
      <c r="V393" s="18">
        <f t="shared" si="7"/>
        <v>63760.88</v>
      </c>
      <c r="W393" s="19">
        <f t="shared" si="8"/>
        <v>22205.74</v>
      </c>
    </row>
    <row r="394">
      <c r="A394" s="7">
        <v>3.64715468E8</v>
      </c>
      <c r="B394" s="12">
        <v>40954.0</v>
      </c>
      <c r="C394" s="7">
        <f t="shared" si="1"/>
        <v>2012</v>
      </c>
      <c r="D394" s="14" t="str">
        <f t="shared" si="2"/>
        <v>02 - Feb</v>
      </c>
      <c r="E394" s="15" t="str">
        <f t="shared" si="3"/>
        <v>Wed</v>
      </c>
      <c r="F394" s="15">
        <f t="shared" si="4"/>
        <v>3</v>
      </c>
      <c r="G394" s="16">
        <v>40958.0</v>
      </c>
      <c r="H394" s="14">
        <f t="shared" si="5"/>
        <v>4</v>
      </c>
      <c r="I394" s="7" t="s">
        <v>232</v>
      </c>
      <c r="J394" s="7" t="s">
        <v>229</v>
      </c>
      <c r="K394" s="7" t="str">
        <f>VLOOKUP(J394,countries,2,false)</f>
        <v>Croatia</v>
      </c>
      <c r="L394" s="7" t="str">
        <f>VLOOKUP($J394,countries,5,false)</f>
        <v>Europe</v>
      </c>
      <c r="M394" s="7" t="str">
        <f>VLOOKUP($J394,countries,6,false)</f>
        <v>Southern Europe</v>
      </c>
      <c r="N394" s="7">
        <v>8293.0</v>
      </c>
      <c r="O394" s="7" t="str">
        <f>VLOOKUP(N394, products, 2, FALSE)</f>
        <v>Cosmetics</v>
      </c>
      <c r="P394" s="7" t="s">
        <v>334</v>
      </c>
      <c r="Q394" s="7">
        <v>6267.0</v>
      </c>
      <c r="R394" s="17">
        <v>437.2</v>
      </c>
      <c r="S394" s="17">
        <v>263.33</v>
      </c>
      <c r="U394" s="18">
        <f t="shared" si="6"/>
        <v>2739932.4</v>
      </c>
      <c r="V394" s="18">
        <f t="shared" si="7"/>
        <v>1650289.11</v>
      </c>
      <c r="W394" s="19">
        <f t="shared" si="8"/>
        <v>1089643.29</v>
      </c>
    </row>
    <row r="395">
      <c r="A395" s="7">
        <v>3.64854514E8</v>
      </c>
      <c r="B395" s="12">
        <v>41165.0</v>
      </c>
      <c r="C395" s="7">
        <f t="shared" si="1"/>
        <v>2012</v>
      </c>
      <c r="D395" s="14" t="str">
        <f t="shared" si="2"/>
        <v>09 - Sep</v>
      </c>
      <c r="E395" s="15" t="str">
        <f t="shared" si="3"/>
        <v>Thu</v>
      </c>
      <c r="F395" s="15">
        <f t="shared" si="4"/>
        <v>4</v>
      </c>
      <c r="G395" s="16">
        <v>41185.0</v>
      </c>
      <c r="H395" s="14">
        <f t="shared" si="5"/>
        <v>20</v>
      </c>
      <c r="I395" s="7" t="s">
        <v>232</v>
      </c>
      <c r="J395" s="7" t="s">
        <v>348</v>
      </c>
      <c r="K395" s="7" t="s">
        <v>348</v>
      </c>
      <c r="L395" s="7" t="s">
        <v>348</v>
      </c>
      <c r="M395" s="7" t="s">
        <v>348</v>
      </c>
      <c r="N395" s="7">
        <v>7331.0</v>
      </c>
      <c r="O395" s="7" t="str">
        <f>VLOOKUP(N395, products, 2, FALSE)</f>
        <v>Baby Food</v>
      </c>
      <c r="P395" s="7" t="s">
        <v>334</v>
      </c>
      <c r="Q395" s="7">
        <v>7413.0</v>
      </c>
      <c r="R395" s="17">
        <v>255.28</v>
      </c>
      <c r="S395" s="17">
        <v>159.42</v>
      </c>
      <c r="U395" s="18">
        <f t="shared" si="6"/>
        <v>1892390.64</v>
      </c>
      <c r="V395" s="18">
        <f t="shared" si="7"/>
        <v>1181780.46</v>
      </c>
      <c r="W395" s="19">
        <f t="shared" si="8"/>
        <v>710610.18</v>
      </c>
    </row>
    <row r="396">
      <c r="A396" s="7">
        <v>3.67328155E8</v>
      </c>
      <c r="B396" s="12">
        <v>40710.0</v>
      </c>
      <c r="C396" s="7">
        <f t="shared" si="1"/>
        <v>2011</v>
      </c>
      <c r="D396" s="14" t="str">
        <f t="shared" si="2"/>
        <v>06 - Jun</v>
      </c>
      <c r="E396" s="15" t="str">
        <f t="shared" si="3"/>
        <v>Thu</v>
      </c>
      <c r="F396" s="15">
        <f t="shared" si="4"/>
        <v>4</v>
      </c>
      <c r="G396" s="16">
        <v>40754.0</v>
      </c>
      <c r="H396" s="14">
        <f t="shared" si="5"/>
        <v>44</v>
      </c>
      <c r="I396" s="7" t="s">
        <v>364</v>
      </c>
      <c r="J396" s="7" t="s">
        <v>296</v>
      </c>
      <c r="K396" s="7" t="str">
        <f>VLOOKUP(J396,countries,2,false)</f>
        <v>France</v>
      </c>
      <c r="L396" s="7" t="str">
        <f>VLOOKUP($J396,countries,5,false)</f>
        <v>Europe</v>
      </c>
      <c r="M396" s="7" t="str">
        <f>VLOOKUP($J396,countries,6,false)</f>
        <v>Western Europe</v>
      </c>
      <c r="N396" s="7">
        <v>7940.0</v>
      </c>
      <c r="O396" s="7" t="str">
        <f>VLOOKUP(N396, products, 2, FALSE)</f>
        <v>Household</v>
      </c>
      <c r="P396" s="7" t="s">
        <v>264</v>
      </c>
      <c r="Q396" s="7">
        <v>9419.0</v>
      </c>
      <c r="R396" s="17">
        <v>668.27</v>
      </c>
      <c r="S396" s="17">
        <v>502.54</v>
      </c>
      <c r="U396" s="18">
        <f t="shared" si="6"/>
        <v>6294435.13</v>
      </c>
      <c r="V396" s="18">
        <f t="shared" si="7"/>
        <v>4733424.26</v>
      </c>
      <c r="W396" s="19">
        <f t="shared" si="8"/>
        <v>1561010.87</v>
      </c>
    </row>
    <row r="397">
      <c r="A397" s="7">
        <v>3.68865811E8</v>
      </c>
      <c r="B397" s="12">
        <v>41528.0</v>
      </c>
      <c r="C397" s="7">
        <f t="shared" si="1"/>
        <v>2013</v>
      </c>
      <c r="D397" s="14" t="str">
        <f t="shared" si="2"/>
        <v>09 - Sep</v>
      </c>
      <c r="E397" s="15" t="str">
        <f t="shared" si="3"/>
        <v>Wed</v>
      </c>
      <c r="F397" s="15">
        <f t="shared" si="4"/>
        <v>3</v>
      </c>
      <c r="G397" s="16">
        <v>41563.0</v>
      </c>
      <c r="H397" s="14">
        <f t="shared" si="5"/>
        <v>35</v>
      </c>
      <c r="I397" s="7" t="s">
        <v>364</v>
      </c>
      <c r="J397" s="7" t="s">
        <v>319</v>
      </c>
      <c r="K397" s="7" t="str">
        <f>VLOOKUP(J397,countries,2,false)</f>
        <v>Germany</v>
      </c>
      <c r="L397" s="7" t="str">
        <f>VLOOKUP($J397,countries,5,false)</f>
        <v>Europe</v>
      </c>
      <c r="M397" s="7" t="str">
        <f>VLOOKUP($J397,countries,6,false)</f>
        <v>Western Europe</v>
      </c>
      <c r="N397" s="7">
        <v>8681.0</v>
      </c>
      <c r="O397" s="7" t="str">
        <f>VLOOKUP(N397, products, 2, FALSE)</f>
        <v>Office Supplies</v>
      </c>
      <c r="P397" s="7" t="s">
        <v>264</v>
      </c>
      <c r="Q397" s="7">
        <v>4445.0</v>
      </c>
      <c r="R397" s="17">
        <v>651.21</v>
      </c>
      <c r="S397" s="17">
        <v>524.96</v>
      </c>
      <c r="U397" s="18">
        <f t="shared" si="6"/>
        <v>2894628.45</v>
      </c>
      <c r="V397" s="18">
        <f t="shared" si="7"/>
        <v>2333447.2</v>
      </c>
      <c r="W397" s="19">
        <f t="shared" si="8"/>
        <v>561181.25</v>
      </c>
    </row>
    <row r="398">
      <c r="A398" s="7">
        <v>3.69170081E8</v>
      </c>
      <c r="B398" s="12">
        <v>40631.0</v>
      </c>
      <c r="C398" s="7">
        <f t="shared" si="1"/>
        <v>2011</v>
      </c>
      <c r="D398" s="14" t="str">
        <f t="shared" si="2"/>
        <v>03 - Mar</v>
      </c>
      <c r="E398" s="15" t="str">
        <f t="shared" si="3"/>
        <v>Tue</v>
      </c>
      <c r="F398" s="15">
        <f t="shared" si="4"/>
        <v>2</v>
      </c>
      <c r="G398" s="16">
        <v>40636.0</v>
      </c>
      <c r="H398" s="14">
        <f t="shared" si="5"/>
        <v>5</v>
      </c>
      <c r="I398" s="7" t="s">
        <v>399</v>
      </c>
      <c r="J398" s="7" t="s">
        <v>717</v>
      </c>
      <c r="K398" s="7" t="str">
        <f>VLOOKUP(J398,countries,2,false)</f>
        <v>Sweden</v>
      </c>
      <c r="L398" s="7" t="str">
        <f>VLOOKUP($J398,countries,5,false)</f>
        <v>Europe</v>
      </c>
      <c r="M398" s="7" t="str">
        <f>VLOOKUP($J398,countries,6,false)</f>
        <v>Northern Europe</v>
      </c>
      <c r="N398" s="7">
        <v>7331.0</v>
      </c>
      <c r="O398" s="7" t="str">
        <f>VLOOKUP(N398, products, 2, FALSE)</f>
        <v>Baby Food</v>
      </c>
      <c r="P398" s="7" t="s">
        <v>334</v>
      </c>
      <c r="Q398" s="7">
        <v>4486.0</v>
      </c>
      <c r="R398" s="17">
        <v>255.28</v>
      </c>
      <c r="S398" s="17">
        <v>159.42</v>
      </c>
      <c r="U398" s="18">
        <f t="shared" si="6"/>
        <v>1145186.08</v>
      </c>
      <c r="V398" s="18">
        <f t="shared" si="7"/>
        <v>715158.12</v>
      </c>
      <c r="W398" s="19">
        <f t="shared" si="8"/>
        <v>430027.96</v>
      </c>
    </row>
    <row r="399">
      <c r="A399" s="7">
        <v>3.70484149E8</v>
      </c>
      <c r="B399" s="12">
        <v>42365.0</v>
      </c>
      <c r="C399" s="7">
        <f t="shared" si="1"/>
        <v>2015</v>
      </c>
      <c r="D399" s="14" t="str">
        <f t="shared" si="2"/>
        <v>12 - Dec</v>
      </c>
      <c r="E399" s="15" t="str">
        <f t="shared" si="3"/>
        <v>Sun</v>
      </c>
      <c r="F399" s="15">
        <f t="shared" si="4"/>
        <v>7</v>
      </c>
      <c r="G399" s="16">
        <v>42388.0</v>
      </c>
      <c r="H399" s="14">
        <f t="shared" si="5"/>
        <v>23</v>
      </c>
      <c r="I399" s="7" t="s">
        <v>305</v>
      </c>
      <c r="J399" s="7" t="s">
        <v>348</v>
      </c>
      <c r="K399" s="7" t="s">
        <v>348</v>
      </c>
      <c r="L399" s="7" t="s">
        <v>348</v>
      </c>
      <c r="M399" s="7" t="s">
        <v>348</v>
      </c>
      <c r="N399" s="7">
        <v>1270.0</v>
      </c>
      <c r="O399" s="7" t="str">
        <f>VLOOKUP(N399, products, 2, FALSE)</f>
        <v>Beverages</v>
      </c>
      <c r="P399" s="7" t="s">
        <v>264</v>
      </c>
      <c r="Q399" s="7">
        <v>3348.0</v>
      </c>
      <c r="R399" s="17">
        <v>47.45</v>
      </c>
      <c r="S399" s="17">
        <v>31.79</v>
      </c>
      <c r="U399" s="18">
        <f t="shared" si="6"/>
        <v>158862.6</v>
      </c>
      <c r="V399" s="18">
        <f t="shared" si="7"/>
        <v>106432.92</v>
      </c>
      <c r="W399" s="19">
        <f t="shared" si="8"/>
        <v>52429.68</v>
      </c>
    </row>
    <row r="400">
      <c r="A400" s="7">
        <v>3.71814954E8</v>
      </c>
      <c r="B400" s="12">
        <v>41896.0</v>
      </c>
      <c r="C400" s="7">
        <f t="shared" si="1"/>
        <v>2014</v>
      </c>
      <c r="D400" s="14" t="str">
        <f t="shared" si="2"/>
        <v>09 - Sep</v>
      </c>
      <c r="E400" s="15" t="str">
        <f t="shared" si="3"/>
        <v>Sun</v>
      </c>
      <c r="F400" s="15">
        <f t="shared" si="4"/>
        <v>7</v>
      </c>
      <c r="G400" s="16">
        <v>41920.0</v>
      </c>
      <c r="H400" s="14">
        <f t="shared" si="5"/>
        <v>24</v>
      </c>
      <c r="I400" s="7" t="s">
        <v>232</v>
      </c>
      <c r="J400" s="7" t="s">
        <v>626</v>
      </c>
      <c r="K400" s="7" t="str">
        <f>VLOOKUP(J400,countries,2,false)</f>
        <v>Russia</v>
      </c>
      <c r="L400" s="7" t="str">
        <f>VLOOKUP($J400,countries,5,false)</f>
        <v>Europe</v>
      </c>
      <c r="M400" s="7" t="str">
        <f>VLOOKUP($J400,countries,6,false)</f>
        <v>Eastern Europe</v>
      </c>
      <c r="N400" s="7">
        <v>3127.0</v>
      </c>
      <c r="O400" s="7" t="str">
        <f>VLOOKUP(N400, products, 2, FALSE)</f>
        <v>Personal Care</v>
      </c>
      <c r="P400" s="7" t="s">
        <v>264</v>
      </c>
      <c r="Q400" s="7">
        <v>7162.0</v>
      </c>
      <c r="R400" s="17">
        <v>81.73</v>
      </c>
      <c r="S400" s="17">
        <v>56.67</v>
      </c>
      <c r="U400" s="18">
        <f t="shared" si="6"/>
        <v>585350.26</v>
      </c>
      <c r="V400" s="18">
        <f t="shared" si="7"/>
        <v>405870.54</v>
      </c>
      <c r="W400" s="19">
        <f t="shared" si="8"/>
        <v>179479.72</v>
      </c>
    </row>
    <row r="401">
      <c r="A401" s="7">
        <v>3.74663245E8</v>
      </c>
      <c r="B401" s="12">
        <v>40856.0</v>
      </c>
      <c r="C401" s="7">
        <f t="shared" si="1"/>
        <v>2011</v>
      </c>
      <c r="D401" s="14" t="str">
        <f t="shared" si="2"/>
        <v>11 - Nov</v>
      </c>
      <c r="E401" s="15" t="str">
        <f t="shared" si="3"/>
        <v>Wed</v>
      </c>
      <c r="F401" s="15">
        <f t="shared" si="4"/>
        <v>3</v>
      </c>
      <c r="G401" s="16">
        <v>40873.0</v>
      </c>
      <c r="H401" s="14">
        <f t="shared" si="5"/>
        <v>17</v>
      </c>
      <c r="I401" s="7" t="s">
        <v>305</v>
      </c>
      <c r="J401" s="7" t="s">
        <v>348</v>
      </c>
      <c r="K401" s="7" t="s">
        <v>348</v>
      </c>
      <c r="L401" s="7" t="s">
        <v>348</v>
      </c>
      <c r="M401" s="7" t="s">
        <v>348</v>
      </c>
      <c r="N401" s="7">
        <v>8681.0</v>
      </c>
      <c r="O401" s="7" t="str">
        <f>VLOOKUP(N401, products, 2, FALSE)</f>
        <v>Office Supplies</v>
      </c>
      <c r="P401" s="7" t="s">
        <v>264</v>
      </c>
      <c r="Q401" s="7">
        <v>35.0</v>
      </c>
      <c r="R401" s="17">
        <v>651.21</v>
      </c>
      <c r="S401" s="17">
        <v>524.96</v>
      </c>
      <c r="U401" s="18">
        <f t="shared" si="6"/>
        <v>22792.35</v>
      </c>
      <c r="V401" s="18">
        <f t="shared" si="7"/>
        <v>18373.6</v>
      </c>
      <c r="W401" s="19">
        <f t="shared" si="8"/>
        <v>4418.75</v>
      </c>
    </row>
    <row r="402">
      <c r="A402" s="7">
        <v>3.74848639E8</v>
      </c>
      <c r="B402" s="12">
        <v>41137.0</v>
      </c>
      <c r="C402" s="7">
        <f t="shared" si="1"/>
        <v>2012</v>
      </c>
      <c r="D402" s="14" t="str">
        <f t="shared" si="2"/>
        <v>08 - Aug</v>
      </c>
      <c r="E402" s="15" t="str">
        <f t="shared" si="3"/>
        <v>Thu</v>
      </c>
      <c r="F402" s="15">
        <f t="shared" si="4"/>
        <v>4</v>
      </c>
      <c r="G402" s="16">
        <v>41158.0</v>
      </c>
      <c r="H402" s="14">
        <f t="shared" si="5"/>
        <v>21</v>
      </c>
      <c r="I402" s="7" t="s">
        <v>399</v>
      </c>
      <c r="J402" s="7" t="s">
        <v>517</v>
      </c>
      <c r="K402" s="7" t="str">
        <f>VLOOKUP(J402,countries,2,false)</f>
        <v>Spain</v>
      </c>
      <c r="L402" s="7" t="str">
        <f>VLOOKUP($J402,countries,5,false)</f>
        <v>Europe</v>
      </c>
      <c r="M402" s="7" t="str">
        <f>VLOOKUP($J402,countries,6,false)</f>
        <v>Southern Europe</v>
      </c>
      <c r="N402" s="7">
        <v>2455.0</v>
      </c>
      <c r="O402" s="7" t="str">
        <f>VLOOKUP(N402, products, 2, FALSE)</f>
        <v>Clothes</v>
      </c>
      <c r="P402" s="7" t="s">
        <v>264</v>
      </c>
      <c r="Q402" s="7">
        <v>4897.0</v>
      </c>
      <c r="R402" s="17">
        <v>109.28</v>
      </c>
      <c r="S402" s="17">
        <v>35.84</v>
      </c>
      <c r="U402" s="18">
        <f t="shared" si="6"/>
        <v>535144.16</v>
      </c>
      <c r="V402" s="18">
        <f t="shared" si="7"/>
        <v>175508.48</v>
      </c>
      <c r="W402" s="19">
        <f t="shared" si="8"/>
        <v>359635.68</v>
      </c>
    </row>
    <row r="403">
      <c r="A403" s="7">
        <v>3.78216636E8</v>
      </c>
      <c r="B403" s="12">
        <v>42549.0</v>
      </c>
      <c r="C403" s="7">
        <f t="shared" si="1"/>
        <v>2016</v>
      </c>
      <c r="D403" s="14" t="str">
        <f t="shared" si="2"/>
        <v>06 - Jun</v>
      </c>
      <c r="E403" s="15" t="str">
        <f t="shared" si="3"/>
        <v>Tue</v>
      </c>
      <c r="F403" s="15">
        <f t="shared" si="4"/>
        <v>2</v>
      </c>
      <c r="G403" s="16">
        <v>42590.0</v>
      </c>
      <c r="H403" s="14">
        <f t="shared" si="5"/>
        <v>41</v>
      </c>
      <c r="I403" s="7" t="s">
        <v>399</v>
      </c>
      <c r="J403" s="7" t="s">
        <v>465</v>
      </c>
      <c r="K403" s="7" t="str">
        <f>VLOOKUP(J403,countries,2,false)</f>
        <v>Lithuania</v>
      </c>
      <c r="L403" s="7" t="str">
        <f>VLOOKUP($J403,countries,5,false)</f>
        <v>Europe</v>
      </c>
      <c r="M403" s="7" t="str">
        <f>VLOOKUP($J403,countries,6,false)</f>
        <v>Northern Europe</v>
      </c>
      <c r="N403" s="7">
        <v>2455.0</v>
      </c>
      <c r="O403" s="7" t="str">
        <f>VLOOKUP(N403, products, 2, FALSE)</f>
        <v>Clothes</v>
      </c>
      <c r="P403" s="7" t="s">
        <v>264</v>
      </c>
      <c r="Q403" s="7">
        <v>1562.0</v>
      </c>
      <c r="R403" s="17">
        <v>109.28</v>
      </c>
      <c r="S403" s="17">
        <v>35.84</v>
      </c>
      <c r="U403" s="18">
        <f t="shared" si="6"/>
        <v>170695.36</v>
      </c>
      <c r="V403" s="18">
        <f t="shared" si="7"/>
        <v>55982.08</v>
      </c>
      <c r="W403" s="19">
        <f t="shared" si="8"/>
        <v>114713.28</v>
      </c>
    </row>
    <row r="404">
      <c r="A404" s="7">
        <v>3.78714883E8</v>
      </c>
      <c r="B404" s="12">
        <v>41229.0</v>
      </c>
      <c r="C404" s="7">
        <f t="shared" si="1"/>
        <v>2012</v>
      </c>
      <c r="D404" s="14" t="str">
        <f t="shared" si="2"/>
        <v>11 - Nov</v>
      </c>
      <c r="E404" s="15" t="str">
        <f t="shared" si="3"/>
        <v>Fri</v>
      </c>
      <c r="F404" s="15">
        <f t="shared" si="4"/>
        <v>5</v>
      </c>
      <c r="G404" s="16">
        <v>41259.0</v>
      </c>
      <c r="H404" s="14">
        <f t="shared" si="5"/>
        <v>30</v>
      </c>
      <c r="I404" s="7" t="s">
        <v>232</v>
      </c>
      <c r="J404" s="7" t="s">
        <v>365</v>
      </c>
      <c r="K404" s="7" t="str">
        <f>VLOOKUP(J404,countries,2,false)</f>
        <v>Montenegro</v>
      </c>
      <c r="L404" s="7" t="str">
        <f>VLOOKUP($J404,countries,5,false)</f>
        <v>Europe</v>
      </c>
      <c r="M404" s="7" t="str">
        <f>VLOOKUP($J404,countries,6,false)</f>
        <v>Southern Europe</v>
      </c>
      <c r="N404" s="7">
        <v>8293.0</v>
      </c>
      <c r="O404" s="7" t="str">
        <f>VLOOKUP(N404, products, 2, FALSE)</f>
        <v>Cosmetics</v>
      </c>
      <c r="P404" s="7" t="s">
        <v>334</v>
      </c>
      <c r="Q404" s="7">
        <v>9005.0</v>
      </c>
      <c r="R404" s="17">
        <v>437.2</v>
      </c>
      <c r="S404" s="17">
        <v>263.33</v>
      </c>
      <c r="U404" s="18">
        <f t="shared" si="6"/>
        <v>3936986</v>
      </c>
      <c r="V404" s="18">
        <f t="shared" si="7"/>
        <v>2371286.65</v>
      </c>
      <c r="W404" s="19">
        <f t="shared" si="8"/>
        <v>1565699.35</v>
      </c>
    </row>
    <row r="405">
      <c r="A405" s="7">
        <v>3.7887324E8</v>
      </c>
      <c r="B405" s="12">
        <v>41238.0</v>
      </c>
      <c r="C405" s="7">
        <f t="shared" si="1"/>
        <v>2012</v>
      </c>
      <c r="D405" s="14" t="str">
        <f t="shared" si="2"/>
        <v>11 - Nov</v>
      </c>
      <c r="E405" s="15" t="str">
        <f t="shared" si="3"/>
        <v>Sun</v>
      </c>
      <c r="F405" s="15">
        <f t="shared" si="4"/>
        <v>7</v>
      </c>
      <c r="G405" s="16">
        <v>41241.0</v>
      </c>
      <c r="H405" s="14">
        <f t="shared" si="5"/>
        <v>3</v>
      </c>
      <c r="I405" s="7" t="s">
        <v>399</v>
      </c>
      <c r="J405" s="7" t="s">
        <v>67</v>
      </c>
      <c r="K405" s="7" t="str">
        <f>VLOOKUP(J405,countries,2,false)</f>
        <v>Andorra</v>
      </c>
      <c r="L405" s="7" t="str">
        <f>VLOOKUP($J405,countries,5,false)</f>
        <v>Europe</v>
      </c>
      <c r="M405" s="7" t="str">
        <f>VLOOKUP($J405,countries,6,false)</f>
        <v>Southern Europe</v>
      </c>
      <c r="N405" s="7">
        <v>1270.0</v>
      </c>
      <c r="O405" s="7" t="str">
        <f>VLOOKUP(N405, products, 2, FALSE)</f>
        <v>Beverages</v>
      </c>
      <c r="P405" s="7" t="s">
        <v>264</v>
      </c>
      <c r="Q405" s="7">
        <v>5866.0</v>
      </c>
      <c r="R405" s="17">
        <v>47.45</v>
      </c>
      <c r="S405" s="17">
        <v>31.79</v>
      </c>
      <c r="U405" s="18">
        <f t="shared" si="6"/>
        <v>278341.7</v>
      </c>
      <c r="V405" s="18">
        <f t="shared" si="7"/>
        <v>186480.14</v>
      </c>
      <c r="W405" s="19">
        <f t="shared" si="8"/>
        <v>91861.56</v>
      </c>
    </row>
    <row r="406">
      <c r="A406" s="7">
        <v>3.79900634E8</v>
      </c>
      <c r="B406" s="12">
        <v>40489.0</v>
      </c>
      <c r="C406" s="7">
        <f t="shared" si="1"/>
        <v>2010</v>
      </c>
      <c r="D406" s="14" t="str">
        <f t="shared" si="2"/>
        <v>11 - Nov</v>
      </c>
      <c r="E406" s="15" t="str">
        <f t="shared" si="3"/>
        <v>Sun</v>
      </c>
      <c r="F406" s="15">
        <f t="shared" si="4"/>
        <v>7</v>
      </c>
      <c r="G406" s="16">
        <v>40514.0</v>
      </c>
      <c r="H406" s="14">
        <f t="shared" si="5"/>
        <v>25</v>
      </c>
      <c r="I406" s="7" t="s">
        <v>364</v>
      </c>
      <c r="J406" s="7" t="s">
        <v>319</v>
      </c>
      <c r="K406" s="7" t="str">
        <f>VLOOKUP(J406,countries,2,false)</f>
        <v>Germany</v>
      </c>
      <c r="L406" s="7" t="str">
        <f>VLOOKUP($J406,countries,5,false)</f>
        <v>Europe</v>
      </c>
      <c r="M406" s="7" t="str">
        <f>VLOOKUP($J406,countries,6,false)</f>
        <v>Western Europe</v>
      </c>
      <c r="N406" s="7">
        <v>2455.0</v>
      </c>
      <c r="O406" s="7" t="str">
        <f>VLOOKUP(N406, products, 2, FALSE)</f>
        <v>Clothes</v>
      </c>
      <c r="P406" s="7" t="s">
        <v>334</v>
      </c>
      <c r="Q406" s="7">
        <v>9895.0</v>
      </c>
      <c r="R406" s="17">
        <v>109.28</v>
      </c>
      <c r="S406" s="17">
        <v>35.84</v>
      </c>
      <c r="U406" s="18">
        <f t="shared" si="6"/>
        <v>1081325.6</v>
      </c>
      <c r="V406" s="18">
        <f t="shared" si="7"/>
        <v>354636.8</v>
      </c>
      <c r="W406" s="19">
        <f t="shared" si="8"/>
        <v>726688.8</v>
      </c>
    </row>
    <row r="407">
      <c r="A407" s="7">
        <v>3.80379998E8</v>
      </c>
      <c r="B407" s="12">
        <v>42930.0</v>
      </c>
      <c r="C407" s="7">
        <f t="shared" si="1"/>
        <v>2017</v>
      </c>
      <c r="D407" s="14" t="str">
        <f t="shared" si="2"/>
        <v>07 - Jul</v>
      </c>
      <c r="E407" s="15" t="str">
        <f t="shared" si="3"/>
        <v>Fri</v>
      </c>
      <c r="F407" s="15">
        <f t="shared" si="4"/>
        <v>5</v>
      </c>
      <c r="G407" s="16">
        <v>42932.0</v>
      </c>
      <c r="H407" s="14">
        <f t="shared" si="5"/>
        <v>2</v>
      </c>
      <c r="I407" s="7" t="s">
        <v>305</v>
      </c>
      <c r="J407" s="7" t="s">
        <v>41</v>
      </c>
      <c r="K407" s="7" t="str">
        <f>VLOOKUP(J407,countries,2,false)</f>
        <v>Albania</v>
      </c>
      <c r="L407" s="7" t="str">
        <f>VLOOKUP($J407,countries,5,false)</f>
        <v>Europe</v>
      </c>
      <c r="M407" s="7" t="str">
        <f>VLOOKUP($J407,countries,6,false)</f>
        <v>Southern Europe</v>
      </c>
      <c r="N407" s="7">
        <v>7940.0</v>
      </c>
      <c r="O407" s="7" t="str">
        <f>VLOOKUP(N407, products, 2, FALSE)</f>
        <v>Household</v>
      </c>
      <c r="P407" s="7" t="s">
        <v>264</v>
      </c>
      <c r="Q407" s="7">
        <v>1749.0</v>
      </c>
      <c r="R407" s="17">
        <v>668.27</v>
      </c>
      <c r="S407" s="17">
        <v>502.54</v>
      </c>
      <c r="U407" s="18">
        <f t="shared" si="6"/>
        <v>1168804.23</v>
      </c>
      <c r="V407" s="18">
        <f t="shared" si="7"/>
        <v>878942.46</v>
      </c>
      <c r="W407" s="19">
        <f t="shared" si="8"/>
        <v>289861.77</v>
      </c>
    </row>
    <row r="408">
      <c r="A408" s="7">
        <v>3.80498874E8</v>
      </c>
      <c r="B408" s="12">
        <v>41753.0</v>
      </c>
      <c r="C408" s="7">
        <f t="shared" si="1"/>
        <v>2014</v>
      </c>
      <c r="D408" s="14" t="str">
        <f t="shared" si="2"/>
        <v>04 - Apr</v>
      </c>
      <c r="E408" s="15" t="str">
        <f t="shared" si="3"/>
        <v>Thu</v>
      </c>
      <c r="F408" s="15">
        <f t="shared" si="4"/>
        <v>4</v>
      </c>
      <c r="G408" s="16">
        <v>41772.0</v>
      </c>
      <c r="H408" s="14">
        <f t="shared" si="5"/>
        <v>19</v>
      </c>
      <c r="I408" s="7" t="s">
        <v>399</v>
      </c>
      <c r="J408" s="7" t="s">
        <v>165</v>
      </c>
      <c r="K408" s="7" t="str">
        <f>VLOOKUP(J408,countries,2,false)</f>
        <v>Bulgaria</v>
      </c>
      <c r="L408" s="7" t="str">
        <f>VLOOKUP($J408,countries,5,false)</f>
        <v>Europe</v>
      </c>
      <c r="M408" s="7" t="str">
        <f>VLOOKUP($J408,countries,6,false)</f>
        <v>Eastern Europe</v>
      </c>
      <c r="N408" s="7">
        <v>2455.0</v>
      </c>
      <c r="O408" s="7" t="str">
        <f>VLOOKUP(N408, products, 2, FALSE)</f>
        <v>Clothes</v>
      </c>
      <c r="P408" s="7" t="s">
        <v>264</v>
      </c>
      <c r="Q408" s="7">
        <v>6927.0</v>
      </c>
      <c r="R408" s="17">
        <v>109.28</v>
      </c>
      <c r="S408" s="17">
        <v>35.84</v>
      </c>
      <c r="U408" s="18">
        <f t="shared" si="6"/>
        <v>756982.56</v>
      </c>
      <c r="V408" s="18">
        <f t="shared" si="7"/>
        <v>248263.68</v>
      </c>
      <c r="W408" s="19">
        <f t="shared" si="8"/>
        <v>508718.88</v>
      </c>
    </row>
    <row r="409">
      <c r="A409" s="7">
        <v>3.80610454E8</v>
      </c>
      <c r="B409" s="12">
        <v>40898.0</v>
      </c>
      <c r="C409" s="7">
        <f t="shared" si="1"/>
        <v>2011</v>
      </c>
      <c r="D409" s="14" t="str">
        <f t="shared" si="2"/>
        <v>12 - Dec</v>
      </c>
      <c r="E409" s="15" t="str">
        <f t="shared" si="3"/>
        <v>Wed</v>
      </c>
      <c r="F409" s="15">
        <f t="shared" si="4"/>
        <v>3</v>
      </c>
      <c r="G409" s="16">
        <v>40906.0</v>
      </c>
      <c r="H409" s="14">
        <f t="shared" si="5"/>
        <v>8</v>
      </c>
      <c r="I409" s="7" t="s">
        <v>305</v>
      </c>
      <c r="J409" s="7" t="s">
        <v>306</v>
      </c>
      <c r="K409" s="7" t="str">
        <f>VLOOKUP(J409,countries,2,false)</f>
        <v>Serbia</v>
      </c>
      <c r="L409" s="7" t="str">
        <f>VLOOKUP($J409,countries,5,false)</f>
        <v>Europe</v>
      </c>
      <c r="M409" s="7" t="str">
        <f>VLOOKUP($J409,countries,6,false)</f>
        <v>Southern Europe</v>
      </c>
      <c r="N409" s="7">
        <v>8875.0</v>
      </c>
      <c r="O409" s="7" t="str">
        <f>VLOOKUP(N409, products, 2, FALSE)</f>
        <v>Meat</v>
      </c>
      <c r="P409" s="7" t="s">
        <v>334</v>
      </c>
      <c r="Q409" s="7">
        <v>9946.0</v>
      </c>
      <c r="R409" s="17">
        <v>421.89</v>
      </c>
      <c r="S409" s="17">
        <v>364.69</v>
      </c>
      <c r="U409" s="18">
        <f t="shared" si="6"/>
        <v>4196117.94</v>
      </c>
      <c r="V409" s="18">
        <f t="shared" si="7"/>
        <v>3627206.74</v>
      </c>
      <c r="W409" s="19">
        <f t="shared" si="8"/>
        <v>568911.2</v>
      </c>
    </row>
    <row r="410">
      <c r="A410" s="7">
        <v>3.80684268E8</v>
      </c>
      <c r="B410" s="12">
        <v>42034.0</v>
      </c>
      <c r="C410" s="7">
        <f t="shared" si="1"/>
        <v>2015</v>
      </c>
      <c r="D410" s="14" t="str">
        <f t="shared" si="2"/>
        <v>01 - Jan</v>
      </c>
      <c r="E410" s="15" t="str">
        <f t="shared" si="3"/>
        <v>Fri</v>
      </c>
      <c r="F410" s="15">
        <f t="shared" si="4"/>
        <v>5</v>
      </c>
      <c r="G410" s="16">
        <v>42058.0</v>
      </c>
      <c r="H410" s="14">
        <f t="shared" si="5"/>
        <v>24</v>
      </c>
      <c r="I410" s="7" t="s">
        <v>232</v>
      </c>
      <c r="J410" s="7" t="s">
        <v>468</v>
      </c>
      <c r="K410" s="7" t="str">
        <f>VLOOKUP(J410,countries,2,false)</f>
        <v>Luxembourg</v>
      </c>
      <c r="L410" s="7" t="str">
        <f>VLOOKUP($J410,countries,5,false)</f>
        <v>Europe</v>
      </c>
      <c r="M410" s="7" t="str">
        <f>VLOOKUP($J410,countries,6,false)</f>
        <v>Western Europe</v>
      </c>
      <c r="N410" s="7">
        <v>8293.0</v>
      </c>
      <c r="O410" s="7" t="str">
        <f>VLOOKUP(N410, products, 2, FALSE)</f>
        <v>Cosmetics</v>
      </c>
      <c r="P410" s="7" t="s">
        <v>334</v>
      </c>
      <c r="Q410" s="7">
        <v>1789.0</v>
      </c>
      <c r="R410" s="17">
        <v>437.2</v>
      </c>
      <c r="S410" s="17">
        <v>263.33</v>
      </c>
      <c r="U410" s="18">
        <f t="shared" si="6"/>
        <v>782150.8</v>
      </c>
      <c r="V410" s="18">
        <f t="shared" si="7"/>
        <v>471097.37</v>
      </c>
      <c r="W410" s="19">
        <f t="shared" si="8"/>
        <v>311053.43</v>
      </c>
    </row>
    <row r="411">
      <c r="A411" s="7">
        <v>3.80733191E8</v>
      </c>
      <c r="B411" s="12">
        <v>41340.0</v>
      </c>
      <c r="C411" s="7">
        <f t="shared" si="1"/>
        <v>2013</v>
      </c>
      <c r="D411" s="14" t="str">
        <f t="shared" si="2"/>
        <v>03 - Mar</v>
      </c>
      <c r="E411" s="15" t="str">
        <f t="shared" si="3"/>
        <v>Thu</v>
      </c>
      <c r="F411" s="15">
        <f t="shared" si="4"/>
        <v>4</v>
      </c>
      <c r="G411" s="16">
        <v>41377.0</v>
      </c>
      <c r="H411" s="14">
        <f t="shared" si="5"/>
        <v>37</v>
      </c>
      <c r="I411" s="7" t="s">
        <v>305</v>
      </c>
      <c r="J411" s="7" t="s">
        <v>67</v>
      </c>
      <c r="K411" s="7" t="str">
        <f>VLOOKUP(J411,countries,2,false)</f>
        <v>Andorra</v>
      </c>
      <c r="L411" s="7" t="str">
        <f>VLOOKUP($J411,countries,5,false)</f>
        <v>Europe</v>
      </c>
      <c r="M411" s="7" t="str">
        <f>VLOOKUP($J411,countries,6,false)</f>
        <v>Southern Europe</v>
      </c>
      <c r="N411" s="7">
        <v>7331.0</v>
      </c>
      <c r="O411" s="7" t="str">
        <f>VLOOKUP(N411, products, 2, FALSE)</f>
        <v>Baby Food</v>
      </c>
      <c r="P411" s="7" t="s">
        <v>334</v>
      </c>
      <c r="Q411" s="7">
        <v>6267.0</v>
      </c>
      <c r="R411" s="17">
        <v>255.28</v>
      </c>
      <c r="S411" s="17">
        <v>159.42</v>
      </c>
      <c r="U411" s="18">
        <f t="shared" si="6"/>
        <v>1599839.76</v>
      </c>
      <c r="V411" s="18">
        <f t="shared" si="7"/>
        <v>999085.14</v>
      </c>
      <c r="W411" s="19">
        <f t="shared" si="8"/>
        <v>600754.62</v>
      </c>
    </row>
    <row r="412">
      <c r="A412" s="7">
        <v>3.81759297E8</v>
      </c>
      <c r="B412" s="12">
        <v>40972.0</v>
      </c>
      <c r="C412" s="7">
        <f t="shared" si="1"/>
        <v>2012</v>
      </c>
      <c r="D412" s="14" t="str">
        <f t="shared" si="2"/>
        <v>03 - Mar</v>
      </c>
      <c r="E412" s="15" t="str">
        <f t="shared" si="3"/>
        <v>Sun</v>
      </c>
      <c r="F412" s="15">
        <f t="shared" si="4"/>
        <v>7</v>
      </c>
      <c r="G412" s="16">
        <v>40993.0</v>
      </c>
      <c r="H412" s="14">
        <f t="shared" si="5"/>
        <v>21</v>
      </c>
      <c r="I412" s="7" t="s">
        <v>305</v>
      </c>
      <c r="J412" s="7" t="s">
        <v>365</v>
      </c>
      <c r="K412" s="7" t="str">
        <f>VLOOKUP(J412,countries,2,false)</f>
        <v>Montenegro</v>
      </c>
      <c r="L412" s="7" t="str">
        <f>VLOOKUP($J412,countries,5,false)</f>
        <v>Europe</v>
      </c>
      <c r="M412" s="7" t="str">
        <f>VLOOKUP($J412,countries,6,false)</f>
        <v>Southern Europe</v>
      </c>
      <c r="N412" s="7">
        <v>2455.0</v>
      </c>
      <c r="O412" s="7" t="str">
        <f>VLOOKUP(N412, products, 2, FALSE)</f>
        <v>Clothes</v>
      </c>
      <c r="P412" s="7" t="s">
        <v>264</v>
      </c>
      <c r="Q412" s="7">
        <v>9914.0</v>
      </c>
      <c r="R412" s="17">
        <v>109.28</v>
      </c>
      <c r="S412" s="17">
        <v>35.84</v>
      </c>
      <c r="U412" s="18">
        <f t="shared" si="6"/>
        <v>1083401.92</v>
      </c>
      <c r="V412" s="18">
        <f t="shared" si="7"/>
        <v>355317.76</v>
      </c>
      <c r="W412" s="19">
        <f t="shared" si="8"/>
        <v>728084.16</v>
      </c>
    </row>
    <row r="413">
      <c r="A413" s="7">
        <v>3.81774747E8</v>
      </c>
      <c r="B413" s="12">
        <v>41918.0</v>
      </c>
      <c r="C413" s="7">
        <f t="shared" si="1"/>
        <v>2014</v>
      </c>
      <c r="D413" s="14" t="str">
        <f t="shared" si="2"/>
        <v>10 - Oct</v>
      </c>
      <c r="E413" s="15" t="str">
        <f t="shared" si="3"/>
        <v>Mon</v>
      </c>
      <c r="F413" s="15">
        <f t="shared" si="4"/>
        <v>1</v>
      </c>
      <c r="G413" s="16">
        <v>41935.0</v>
      </c>
      <c r="H413" s="14">
        <f t="shared" si="5"/>
        <v>17</v>
      </c>
      <c r="I413" s="7" t="s">
        <v>305</v>
      </c>
      <c r="J413" s="7" t="s">
        <v>233</v>
      </c>
      <c r="K413" s="7" t="str">
        <f>VLOOKUP(J413,countries,2,false)</f>
        <v>Norway</v>
      </c>
      <c r="L413" s="7" t="str">
        <f>VLOOKUP($J413,countries,5,false)</f>
        <v>Europe</v>
      </c>
      <c r="M413" s="7" t="str">
        <f>VLOOKUP($J413,countries,6,false)</f>
        <v>Northern Europe</v>
      </c>
      <c r="N413" s="7">
        <v>4594.0</v>
      </c>
      <c r="O413" s="7" t="str">
        <f>VLOOKUP(N413, products, 2, FALSE)</f>
        <v>Fruits</v>
      </c>
      <c r="P413" s="7" t="s">
        <v>334</v>
      </c>
      <c r="Q413" s="7">
        <v>4486.0</v>
      </c>
      <c r="R413" s="17">
        <v>9.33</v>
      </c>
      <c r="S413" s="17">
        <v>6.92</v>
      </c>
      <c r="U413" s="18">
        <f t="shared" si="6"/>
        <v>41854.38</v>
      </c>
      <c r="V413" s="18">
        <f t="shared" si="7"/>
        <v>31043.12</v>
      </c>
      <c r="W413" s="19">
        <f t="shared" si="8"/>
        <v>10811.26</v>
      </c>
    </row>
    <row r="414">
      <c r="A414" s="7">
        <v>3.82581126E8</v>
      </c>
      <c r="B414" s="12">
        <v>41321.0</v>
      </c>
      <c r="C414" s="7">
        <f t="shared" si="1"/>
        <v>2013</v>
      </c>
      <c r="D414" s="14" t="str">
        <f t="shared" si="2"/>
        <v>02 - Feb</v>
      </c>
      <c r="E414" s="15" t="str">
        <f t="shared" si="3"/>
        <v>Sat</v>
      </c>
      <c r="F414" s="15">
        <f t="shared" si="4"/>
        <v>6</v>
      </c>
      <c r="G414" s="16">
        <v>41360.0</v>
      </c>
      <c r="H414" s="14">
        <f t="shared" si="5"/>
        <v>39</v>
      </c>
      <c r="I414" s="7" t="s">
        <v>232</v>
      </c>
      <c r="J414" s="7" t="s">
        <v>396</v>
      </c>
      <c r="K414" s="7" t="str">
        <f>VLOOKUP(J414,countries,2,false)</f>
        <v>Ireland</v>
      </c>
      <c r="L414" s="7" t="str">
        <f>VLOOKUP($J414,countries,5,false)</f>
        <v>Europe</v>
      </c>
      <c r="M414" s="7" t="str">
        <f>VLOOKUP($J414,countries,6,false)</f>
        <v>Northern Europe</v>
      </c>
      <c r="N414" s="7">
        <v>3127.0</v>
      </c>
      <c r="O414" s="7" t="str">
        <f>VLOOKUP(N414, products, 2, FALSE)</f>
        <v>Personal Care</v>
      </c>
      <c r="P414" s="7" t="s">
        <v>334</v>
      </c>
      <c r="Q414" s="7">
        <v>3112.0</v>
      </c>
      <c r="R414" s="17">
        <v>81.73</v>
      </c>
      <c r="S414" s="17">
        <v>56.67</v>
      </c>
      <c r="U414" s="18">
        <f t="shared" si="6"/>
        <v>254343.76</v>
      </c>
      <c r="V414" s="18">
        <f t="shared" si="7"/>
        <v>176357.04</v>
      </c>
      <c r="W414" s="19">
        <f t="shared" si="8"/>
        <v>77986.72</v>
      </c>
    </row>
    <row r="415">
      <c r="A415" s="7">
        <v>3.83611094E8</v>
      </c>
      <c r="B415" s="12">
        <v>42573.0</v>
      </c>
      <c r="C415" s="7">
        <f t="shared" si="1"/>
        <v>2016</v>
      </c>
      <c r="D415" s="14" t="str">
        <f t="shared" si="2"/>
        <v>07 - Jul</v>
      </c>
      <c r="E415" s="15" t="str">
        <f t="shared" si="3"/>
        <v>Fri</v>
      </c>
      <c r="F415" s="15">
        <f t="shared" si="4"/>
        <v>5</v>
      </c>
      <c r="G415" s="16">
        <v>42608.0</v>
      </c>
      <c r="H415" s="14">
        <f t="shared" si="5"/>
        <v>35</v>
      </c>
      <c r="I415" s="7" t="s">
        <v>399</v>
      </c>
      <c r="J415" s="7" t="s">
        <v>120</v>
      </c>
      <c r="K415" s="7" t="str">
        <f>VLOOKUP(J415,countries,2,false)</f>
        <v>Belarus</v>
      </c>
      <c r="L415" s="7" t="str">
        <f>VLOOKUP($J415,countries,5,false)</f>
        <v>Europe</v>
      </c>
      <c r="M415" s="7" t="str">
        <f>VLOOKUP($J415,countries,6,false)</f>
        <v>Eastern Europe</v>
      </c>
      <c r="N415" s="7">
        <v>2455.0</v>
      </c>
      <c r="O415" s="7" t="str">
        <f>VLOOKUP(N415, products, 2, FALSE)</f>
        <v>Clothes</v>
      </c>
      <c r="P415" s="7" t="s">
        <v>264</v>
      </c>
      <c r="Q415" s="7">
        <v>7902.0</v>
      </c>
      <c r="R415" s="17">
        <v>109.28</v>
      </c>
      <c r="S415" s="17">
        <v>35.84</v>
      </c>
      <c r="U415" s="18">
        <f t="shared" si="6"/>
        <v>863530.56</v>
      </c>
      <c r="V415" s="18">
        <f t="shared" si="7"/>
        <v>283207.68</v>
      </c>
      <c r="W415" s="19">
        <f t="shared" si="8"/>
        <v>580322.88</v>
      </c>
    </row>
    <row r="416">
      <c r="A416" s="7">
        <v>3.84128224E8</v>
      </c>
      <c r="B416" s="12">
        <v>40257.0</v>
      </c>
      <c r="C416" s="7">
        <f t="shared" si="1"/>
        <v>2010</v>
      </c>
      <c r="D416" s="14" t="str">
        <f t="shared" si="2"/>
        <v>03 - Mar</v>
      </c>
      <c r="E416" s="15" t="str">
        <f t="shared" si="3"/>
        <v>Sat</v>
      </c>
      <c r="F416" s="15">
        <f t="shared" si="4"/>
        <v>6</v>
      </c>
      <c r="G416" s="16">
        <v>40294.0</v>
      </c>
      <c r="H416" s="14">
        <f t="shared" si="5"/>
        <v>37</v>
      </c>
      <c r="I416" s="7" t="s">
        <v>232</v>
      </c>
      <c r="J416" s="7" t="s">
        <v>233</v>
      </c>
      <c r="K416" s="7" t="str">
        <f>VLOOKUP(J416,countries,2,false)</f>
        <v>Norway</v>
      </c>
      <c r="L416" s="7" t="str">
        <f>VLOOKUP($J416,countries,5,false)</f>
        <v>Europe</v>
      </c>
      <c r="M416" s="7" t="str">
        <f>VLOOKUP($J416,countries,6,false)</f>
        <v>Northern Europe</v>
      </c>
      <c r="N416" s="7">
        <v>7940.0</v>
      </c>
      <c r="O416" s="7" t="str">
        <f>VLOOKUP(N416, products, 2, FALSE)</f>
        <v>Household</v>
      </c>
      <c r="P416" s="7" t="s">
        <v>334</v>
      </c>
      <c r="Q416" s="7">
        <v>933.0</v>
      </c>
      <c r="R416" s="17">
        <v>668.27</v>
      </c>
      <c r="S416" s="17">
        <v>502.54</v>
      </c>
      <c r="U416" s="18">
        <f t="shared" si="6"/>
        <v>623495.91</v>
      </c>
      <c r="V416" s="18">
        <f t="shared" si="7"/>
        <v>468869.82</v>
      </c>
      <c r="W416" s="19">
        <f t="shared" si="8"/>
        <v>154626.09</v>
      </c>
    </row>
    <row r="417">
      <c r="A417" s="7">
        <v>3.84483993E8</v>
      </c>
      <c r="B417" s="12">
        <v>40668.0</v>
      </c>
      <c r="C417" s="7">
        <f t="shared" si="1"/>
        <v>2011</v>
      </c>
      <c r="D417" s="14" t="str">
        <f t="shared" si="2"/>
        <v>05 - May</v>
      </c>
      <c r="E417" s="15" t="str">
        <f t="shared" si="3"/>
        <v>Thu</v>
      </c>
      <c r="F417" s="15">
        <f t="shared" si="4"/>
        <v>4</v>
      </c>
      <c r="G417" s="16">
        <v>40713.0</v>
      </c>
      <c r="H417" s="14">
        <f t="shared" si="5"/>
        <v>45</v>
      </c>
      <c r="I417" s="7" t="s">
        <v>364</v>
      </c>
      <c r="J417" s="7" t="s">
        <v>101</v>
      </c>
      <c r="K417" s="7" t="str">
        <f>VLOOKUP(J417,countries,2,false)</f>
        <v>Austria</v>
      </c>
      <c r="L417" s="7" t="str">
        <f>VLOOKUP($J417,countries,5,false)</f>
        <v>Europe</v>
      </c>
      <c r="M417" s="7" t="str">
        <f>VLOOKUP($J417,countries,6,false)</f>
        <v>Western Europe</v>
      </c>
      <c r="N417" s="7">
        <v>5988.0</v>
      </c>
      <c r="O417" s="7" t="str">
        <f>VLOOKUP(N417, products, 2, FALSE)</f>
        <v>Vegetables</v>
      </c>
      <c r="P417" s="7" t="s">
        <v>334</v>
      </c>
      <c r="Q417" s="7">
        <v>6212.0</v>
      </c>
      <c r="R417" s="17">
        <v>154.06</v>
      </c>
      <c r="S417" s="17">
        <v>90.93</v>
      </c>
      <c r="U417" s="18">
        <f t="shared" si="6"/>
        <v>957020.72</v>
      </c>
      <c r="V417" s="18">
        <f t="shared" si="7"/>
        <v>564857.16</v>
      </c>
      <c r="W417" s="19">
        <f t="shared" si="8"/>
        <v>392163.56</v>
      </c>
    </row>
    <row r="418">
      <c r="A418" s="7">
        <v>3.84601581E8</v>
      </c>
      <c r="B418" s="12">
        <v>42638.0</v>
      </c>
      <c r="C418" s="7">
        <f t="shared" si="1"/>
        <v>2016</v>
      </c>
      <c r="D418" s="14" t="str">
        <f t="shared" si="2"/>
        <v>09 - Sep</v>
      </c>
      <c r="E418" s="15" t="str">
        <f t="shared" si="3"/>
        <v>Sun</v>
      </c>
      <c r="F418" s="15">
        <f t="shared" si="4"/>
        <v>7</v>
      </c>
      <c r="G418" s="16">
        <v>42662.0</v>
      </c>
      <c r="H418" s="14">
        <f t="shared" si="5"/>
        <v>24</v>
      </c>
      <c r="I418" s="7" t="s">
        <v>232</v>
      </c>
      <c r="J418" s="7" t="s">
        <v>468</v>
      </c>
      <c r="K418" s="7" t="str">
        <f>VLOOKUP(J418,countries,2,false)</f>
        <v>Luxembourg</v>
      </c>
      <c r="L418" s="7" t="str">
        <f>VLOOKUP($J418,countries,5,false)</f>
        <v>Europe</v>
      </c>
      <c r="M418" s="7" t="str">
        <f>VLOOKUP($J418,countries,6,false)</f>
        <v>Western Europe</v>
      </c>
      <c r="N418" s="7">
        <v>4594.0</v>
      </c>
      <c r="O418" s="7" t="str">
        <f>VLOOKUP(N418, products, 2, FALSE)</f>
        <v>Fruits</v>
      </c>
      <c r="P418" s="7" t="s">
        <v>264</v>
      </c>
      <c r="Q418" s="7">
        <v>1009.0</v>
      </c>
      <c r="R418" s="17">
        <v>9.33</v>
      </c>
      <c r="S418" s="17">
        <v>6.92</v>
      </c>
      <c r="U418" s="18">
        <f t="shared" si="6"/>
        <v>9413.97</v>
      </c>
      <c r="V418" s="18">
        <f t="shared" si="7"/>
        <v>6982.28</v>
      </c>
      <c r="W418" s="19">
        <f t="shared" si="8"/>
        <v>2431.69</v>
      </c>
    </row>
    <row r="419">
      <c r="A419" s="7">
        <v>3.84976232E8</v>
      </c>
      <c r="B419" s="12">
        <v>42053.0</v>
      </c>
      <c r="C419" s="7">
        <f t="shared" si="1"/>
        <v>2015</v>
      </c>
      <c r="D419" s="14" t="str">
        <f t="shared" si="2"/>
        <v>02 - Feb</v>
      </c>
      <c r="E419" s="15" t="str">
        <f t="shared" si="3"/>
        <v>Wed</v>
      </c>
      <c r="F419" s="15">
        <f t="shared" si="4"/>
        <v>3</v>
      </c>
      <c r="G419" s="16">
        <v>42097.0</v>
      </c>
      <c r="H419" s="14">
        <f t="shared" si="5"/>
        <v>44</v>
      </c>
      <c r="I419" s="7" t="s">
        <v>364</v>
      </c>
      <c r="J419" s="7" t="s">
        <v>381</v>
      </c>
      <c r="K419" s="7" t="str">
        <f>VLOOKUP(J419,countries,2,false)</f>
        <v>Iceland</v>
      </c>
      <c r="L419" s="7" t="str">
        <f>VLOOKUP($J419,countries,5,false)</f>
        <v>Europe</v>
      </c>
      <c r="M419" s="7" t="str">
        <f>VLOOKUP($J419,countries,6,false)</f>
        <v>Northern Europe</v>
      </c>
      <c r="N419" s="7">
        <v>8681.0</v>
      </c>
      <c r="O419" s="7" t="str">
        <f>VLOOKUP(N419, products, 2, FALSE)</f>
        <v>Office Supplies</v>
      </c>
      <c r="P419" s="7" t="s">
        <v>264</v>
      </c>
      <c r="Q419" s="7">
        <v>1877.0</v>
      </c>
      <c r="R419" s="17">
        <v>651.21</v>
      </c>
      <c r="S419" s="17">
        <v>524.96</v>
      </c>
      <c r="U419" s="18">
        <f t="shared" si="6"/>
        <v>1222321.17</v>
      </c>
      <c r="V419" s="18">
        <f t="shared" si="7"/>
        <v>985349.92</v>
      </c>
      <c r="W419" s="19">
        <f t="shared" si="8"/>
        <v>236971.25</v>
      </c>
    </row>
    <row r="420">
      <c r="A420" s="7">
        <v>3.85080945E8</v>
      </c>
      <c r="B420" s="12">
        <v>42314.0</v>
      </c>
      <c r="C420" s="7">
        <f t="shared" si="1"/>
        <v>2015</v>
      </c>
      <c r="D420" s="14" t="str">
        <f t="shared" si="2"/>
        <v>11 - Nov</v>
      </c>
      <c r="E420" s="15" t="str">
        <f t="shared" si="3"/>
        <v>Fri</v>
      </c>
      <c r="F420" s="15">
        <f t="shared" si="4"/>
        <v>5</v>
      </c>
      <c r="G420" s="16">
        <v>42315.0</v>
      </c>
      <c r="H420" s="14">
        <f t="shared" si="5"/>
        <v>1</v>
      </c>
      <c r="I420" s="7" t="s">
        <v>232</v>
      </c>
      <c r="J420" s="7" t="s">
        <v>240</v>
      </c>
      <c r="K420" s="7" t="str">
        <f>VLOOKUP(J420,countries,2,false)</f>
        <v>Cyprus</v>
      </c>
      <c r="L420" s="7" t="str">
        <f>VLOOKUP($J420,countries,5,false)</f>
        <v>Asia</v>
      </c>
      <c r="M420" s="7" t="str">
        <f>VLOOKUP($J420,countries,6,false)</f>
        <v>Western Asia</v>
      </c>
      <c r="N420" s="7">
        <v>8293.0</v>
      </c>
      <c r="O420" s="7" t="str">
        <f>VLOOKUP(N420, products, 2, FALSE)</f>
        <v>Cosmetics</v>
      </c>
      <c r="P420" s="7" t="s">
        <v>334</v>
      </c>
      <c r="Q420" s="7">
        <v>2864.0</v>
      </c>
      <c r="R420" s="17">
        <v>437.2</v>
      </c>
      <c r="S420" s="17">
        <v>263.33</v>
      </c>
      <c r="U420" s="18">
        <f t="shared" si="6"/>
        <v>1252140.8</v>
      </c>
      <c r="V420" s="18">
        <f t="shared" si="7"/>
        <v>754177.12</v>
      </c>
      <c r="W420" s="19">
        <f t="shared" si="8"/>
        <v>497963.68</v>
      </c>
    </row>
    <row r="421">
      <c r="A421" s="7">
        <v>3.85340154E8</v>
      </c>
      <c r="B421" s="12">
        <v>40965.0</v>
      </c>
      <c r="C421" s="7">
        <f t="shared" si="1"/>
        <v>2012</v>
      </c>
      <c r="D421" s="14" t="str">
        <f t="shared" si="2"/>
        <v>02 - Feb</v>
      </c>
      <c r="E421" s="15" t="str">
        <f t="shared" si="3"/>
        <v>Sun</v>
      </c>
      <c r="F421" s="15">
        <f t="shared" si="4"/>
        <v>7</v>
      </c>
      <c r="G421" s="16">
        <v>40986.0</v>
      </c>
      <c r="H421" s="14">
        <f t="shared" si="5"/>
        <v>21</v>
      </c>
      <c r="I421" s="7" t="s">
        <v>232</v>
      </c>
      <c r="J421" s="7" t="s">
        <v>319</v>
      </c>
      <c r="K421" s="7" t="str">
        <f>VLOOKUP(J421,countries,2,false)</f>
        <v>Germany</v>
      </c>
      <c r="L421" s="7" t="str">
        <f>VLOOKUP($J421,countries,5,false)</f>
        <v>Europe</v>
      </c>
      <c r="M421" s="7" t="str">
        <f>VLOOKUP($J421,countries,6,false)</f>
        <v>Western Europe</v>
      </c>
      <c r="N421" s="7">
        <v>8293.0</v>
      </c>
      <c r="O421" s="7" t="str">
        <f>VLOOKUP(N421, products, 2, FALSE)</f>
        <v>Cosmetics</v>
      </c>
      <c r="P421" s="7" t="s">
        <v>334</v>
      </c>
      <c r="Q421" s="7">
        <v>9569.0</v>
      </c>
      <c r="R421" s="17">
        <v>437.2</v>
      </c>
      <c r="S421" s="17">
        <v>263.33</v>
      </c>
      <c r="U421" s="18">
        <f t="shared" si="6"/>
        <v>4183566.8</v>
      </c>
      <c r="V421" s="18">
        <f t="shared" si="7"/>
        <v>2519804.77</v>
      </c>
      <c r="W421" s="19">
        <f t="shared" si="8"/>
        <v>1663762.03</v>
      </c>
    </row>
    <row r="422">
      <c r="A422" s="7">
        <v>3.86009633E8</v>
      </c>
      <c r="B422" s="12">
        <v>41364.0</v>
      </c>
      <c r="C422" s="7">
        <f t="shared" si="1"/>
        <v>2013</v>
      </c>
      <c r="D422" s="14" t="str">
        <f t="shared" si="2"/>
        <v>03 - Mar</v>
      </c>
      <c r="E422" s="15" t="str">
        <f t="shared" si="3"/>
        <v>Sun</v>
      </c>
      <c r="F422" s="15">
        <f t="shared" si="4"/>
        <v>7</v>
      </c>
      <c r="G422" s="16">
        <v>41369.0</v>
      </c>
      <c r="H422" s="14">
        <f t="shared" si="5"/>
        <v>5</v>
      </c>
      <c r="I422" s="7" t="s">
        <v>232</v>
      </c>
      <c r="J422" s="7" t="s">
        <v>465</v>
      </c>
      <c r="K422" s="7" t="str">
        <f>VLOOKUP(J422,countries,2,false)</f>
        <v>Lithuania</v>
      </c>
      <c r="L422" s="7" t="str">
        <f>VLOOKUP($J422,countries,5,false)</f>
        <v>Europe</v>
      </c>
      <c r="M422" s="7" t="str">
        <f>VLOOKUP($J422,countries,6,false)</f>
        <v>Northern Europe</v>
      </c>
      <c r="N422" s="7">
        <v>3127.0</v>
      </c>
      <c r="O422" s="7" t="str">
        <f>VLOOKUP(N422, products, 2, FALSE)</f>
        <v>Personal Care</v>
      </c>
      <c r="P422" s="7" t="s">
        <v>334</v>
      </c>
      <c r="Q422" s="7">
        <v>7683.0</v>
      </c>
      <c r="R422" s="17">
        <v>81.73</v>
      </c>
      <c r="S422" s="17">
        <v>56.67</v>
      </c>
      <c r="U422" s="18">
        <f t="shared" si="6"/>
        <v>627931.59</v>
      </c>
      <c r="V422" s="18">
        <f t="shared" si="7"/>
        <v>435395.61</v>
      </c>
      <c r="W422" s="19">
        <f t="shared" si="8"/>
        <v>192535.98</v>
      </c>
    </row>
    <row r="423">
      <c r="A423" s="7">
        <v>3.86319911E8</v>
      </c>
      <c r="B423" s="12">
        <v>40528.0</v>
      </c>
      <c r="C423" s="7">
        <f t="shared" si="1"/>
        <v>2010</v>
      </c>
      <c r="D423" s="14" t="str">
        <f t="shared" si="2"/>
        <v>12 - Dec</v>
      </c>
      <c r="E423" s="15" t="str">
        <f t="shared" si="3"/>
        <v>Thu</v>
      </c>
      <c r="F423" s="15">
        <f t="shared" si="4"/>
        <v>4</v>
      </c>
      <c r="G423" s="16">
        <v>40545.0</v>
      </c>
      <c r="H423" s="14">
        <f t="shared" si="5"/>
        <v>17</v>
      </c>
      <c r="I423" s="7" t="s">
        <v>305</v>
      </c>
      <c r="J423" s="7" t="s">
        <v>517</v>
      </c>
      <c r="K423" s="7" t="str">
        <f>VLOOKUP(J423,countries,2,false)</f>
        <v>Spain</v>
      </c>
      <c r="L423" s="7" t="str">
        <f>VLOOKUP($J423,countries,5,false)</f>
        <v>Europe</v>
      </c>
      <c r="M423" s="7" t="str">
        <f>VLOOKUP($J423,countries,6,false)</f>
        <v>Southern Europe</v>
      </c>
      <c r="N423" s="7">
        <v>5988.0</v>
      </c>
      <c r="O423" s="7" t="str">
        <f>VLOOKUP(N423, products, 2, FALSE)</f>
        <v>Vegetables</v>
      </c>
      <c r="P423" s="7" t="s">
        <v>264</v>
      </c>
      <c r="Q423" s="7">
        <v>9501.0</v>
      </c>
      <c r="R423" s="17">
        <v>154.06</v>
      </c>
      <c r="S423" s="17">
        <v>90.93</v>
      </c>
      <c r="U423" s="18">
        <f t="shared" si="6"/>
        <v>1463724.06</v>
      </c>
      <c r="V423" s="18">
        <f t="shared" si="7"/>
        <v>863925.93</v>
      </c>
      <c r="W423" s="19">
        <f t="shared" si="8"/>
        <v>599798.13</v>
      </c>
    </row>
    <row r="424">
      <c r="A424" s="7">
        <v>3.86440074E8</v>
      </c>
      <c r="B424" s="12">
        <v>41734.0</v>
      </c>
      <c r="C424" s="7">
        <f t="shared" si="1"/>
        <v>2014</v>
      </c>
      <c r="D424" s="14" t="str">
        <f t="shared" si="2"/>
        <v>04 - Apr</v>
      </c>
      <c r="E424" s="15" t="str">
        <f t="shared" si="3"/>
        <v>Sat</v>
      </c>
      <c r="F424" s="15">
        <f t="shared" si="4"/>
        <v>6</v>
      </c>
      <c r="G424" s="16">
        <v>41754.0</v>
      </c>
      <c r="H424" s="14">
        <f t="shared" si="5"/>
        <v>20</v>
      </c>
      <c r="I424" s="7" t="s">
        <v>305</v>
      </c>
      <c r="J424" s="7" t="s">
        <v>608</v>
      </c>
      <c r="K424" s="7" t="str">
        <f>VLOOKUP(J424,countries,2,false)</f>
        <v>Poland</v>
      </c>
      <c r="L424" s="7" t="str">
        <f>VLOOKUP($J424,countries,5,false)</f>
        <v>Europe</v>
      </c>
      <c r="M424" s="7" t="str">
        <f>VLOOKUP($J424,countries,6,false)</f>
        <v>Eastern Europe</v>
      </c>
      <c r="N424" s="7">
        <v>3127.0</v>
      </c>
      <c r="O424" s="7" t="str">
        <f>VLOOKUP(N424, products, 2, FALSE)</f>
        <v>Personal Care</v>
      </c>
      <c r="P424" s="7" t="s">
        <v>334</v>
      </c>
      <c r="Q424" s="7">
        <v>5060.0</v>
      </c>
      <c r="R424" s="17">
        <v>81.73</v>
      </c>
      <c r="S424" s="17">
        <v>56.67</v>
      </c>
      <c r="U424" s="18">
        <f t="shared" si="6"/>
        <v>413553.8</v>
      </c>
      <c r="V424" s="18">
        <f t="shared" si="7"/>
        <v>286750.2</v>
      </c>
      <c r="W424" s="19">
        <f t="shared" si="8"/>
        <v>126803.6</v>
      </c>
    </row>
    <row r="425">
      <c r="A425" s="7">
        <v>3.86601865E8</v>
      </c>
      <c r="B425" s="12">
        <v>42568.0</v>
      </c>
      <c r="C425" s="7">
        <f t="shared" si="1"/>
        <v>2016</v>
      </c>
      <c r="D425" s="14" t="str">
        <f t="shared" si="2"/>
        <v>07 - Jul</v>
      </c>
      <c r="E425" s="15" t="str">
        <f t="shared" si="3"/>
        <v>Sun</v>
      </c>
      <c r="F425" s="15">
        <f t="shared" si="4"/>
        <v>7</v>
      </c>
      <c r="G425" s="16">
        <v>42577.0</v>
      </c>
      <c r="H425" s="14">
        <f t="shared" si="5"/>
        <v>9</v>
      </c>
      <c r="I425" s="7" t="s">
        <v>364</v>
      </c>
      <c r="J425" s="7" t="s">
        <v>465</v>
      </c>
      <c r="K425" s="7" t="str">
        <f>VLOOKUP(J425,countries,2,false)</f>
        <v>Lithuania</v>
      </c>
      <c r="L425" s="7" t="str">
        <f>VLOOKUP($J425,countries,5,false)</f>
        <v>Europe</v>
      </c>
      <c r="M425" s="7" t="str">
        <f>VLOOKUP($J425,countries,6,false)</f>
        <v>Northern Europe</v>
      </c>
      <c r="N425" s="7">
        <v>5988.0</v>
      </c>
      <c r="O425" s="7" t="str">
        <f>VLOOKUP(N425, products, 2, FALSE)</f>
        <v>Vegetables</v>
      </c>
      <c r="P425" s="7" t="s">
        <v>264</v>
      </c>
      <c r="Q425" s="7">
        <v>2938.0</v>
      </c>
      <c r="R425" s="17">
        <v>154.06</v>
      </c>
      <c r="S425" s="17">
        <v>90.93</v>
      </c>
      <c r="U425" s="18">
        <f t="shared" si="6"/>
        <v>452628.28</v>
      </c>
      <c r="V425" s="18">
        <f t="shared" si="7"/>
        <v>267152.34</v>
      </c>
      <c r="W425" s="19">
        <f t="shared" si="8"/>
        <v>185475.94</v>
      </c>
    </row>
    <row r="426">
      <c r="A426" s="7">
        <v>3.87098824E8</v>
      </c>
      <c r="B426" s="12">
        <v>41631.0</v>
      </c>
      <c r="C426" s="7">
        <f t="shared" si="1"/>
        <v>2013</v>
      </c>
      <c r="D426" s="14" t="str">
        <f t="shared" si="2"/>
        <v>12 - Dec</v>
      </c>
      <c r="E426" s="15" t="str">
        <f t="shared" si="3"/>
        <v>Mon</v>
      </c>
      <c r="F426" s="15">
        <f t="shared" si="4"/>
        <v>1</v>
      </c>
      <c r="G426" s="16">
        <v>41643.0</v>
      </c>
      <c r="H426" s="14">
        <f t="shared" si="5"/>
        <v>12</v>
      </c>
      <c r="I426" s="7" t="s">
        <v>399</v>
      </c>
      <c r="J426" s="7" t="s">
        <v>681</v>
      </c>
      <c r="K426" s="7" t="str">
        <f>VLOOKUP(J426,countries,2,false)</f>
        <v>United Kingdom</v>
      </c>
      <c r="L426" s="7" t="str">
        <f>VLOOKUP($J426,countries,5,false)</f>
        <v>Europe</v>
      </c>
      <c r="M426" s="7" t="str">
        <f>VLOOKUP($J426,countries,6,false)</f>
        <v>Northern Europe</v>
      </c>
      <c r="N426" s="7">
        <v>3127.0</v>
      </c>
      <c r="O426" s="7" t="str">
        <f>VLOOKUP(N426, products, 2, FALSE)</f>
        <v>Personal Care</v>
      </c>
      <c r="P426" s="7" t="s">
        <v>334</v>
      </c>
      <c r="Q426" s="7">
        <v>9999.0</v>
      </c>
      <c r="R426" s="17">
        <v>81.73</v>
      </c>
      <c r="S426" s="17">
        <v>56.67</v>
      </c>
      <c r="U426" s="18">
        <f t="shared" si="6"/>
        <v>817218.27</v>
      </c>
      <c r="V426" s="18">
        <f t="shared" si="7"/>
        <v>566643.33</v>
      </c>
      <c r="W426" s="19">
        <f t="shared" si="8"/>
        <v>250574.94</v>
      </c>
    </row>
    <row r="427">
      <c r="A427" s="7">
        <v>3.8872832E8</v>
      </c>
      <c r="B427" s="12">
        <v>40999.0</v>
      </c>
      <c r="C427" s="7">
        <f t="shared" si="1"/>
        <v>2012</v>
      </c>
      <c r="D427" s="14" t="str">
        <f t="shared" si="2"/>
        <v>03 - Mar</v>
      </c>
      <c r="E427" s="15" t="str">
        <f t="shared" si="3"/>
        <v>Sat</v>
      </c>
      <c r="F427" s="15">
        <f t="shared" si="4"/>
        <v>6</v>
      </c>
      <c r="G427" s="16">
        <v>41039.0</v>
      </c>
      <c r="H427" s="14">
        <f t="shared" si="5"/>
        <v>40</v>
      </c>
      <c r="I427" s="7" t="s">
        <v>305</v>
      </c>
      <c r="J427" s="7" t="s">
        <v>146</v>
      </c>
      <c r="K427" s="7" t="str">
        <f>VLOOKUP(J427,countries,2,false)</f>
        <v>Bosnia and Herzegovina</v>
      </c>
      <c r="L427" s="7" t="str">
        <f>VLOOKUP($J427,countries,5,false)</f>
        <v>Europe</v>
      </c>
      <c r="M427" s="7" t="str">
        <f>VLOOKUP($J427,countries,6,false)</f>
        <v>Southern Europe</v>
      </c>
      <c r="N427" s="7">
        <v>8969.0</v>
      </c>
      <c r="O427" s="7" t="str">
        <f>VLOOKUP(N427, products, 2, FALSE)</f>
        <v>Snacks</v>
      </c>
      <c r="P427" s="7" t="s">
        <v>334</v>
      </c>
      <c r="Q427" s="7">
        <v>2203.0</v>
      </c>
      <c r="R427" s="17">
        <v>152.58</v>
      </c>
      <c r="S427" s="17">
        <v>97.44</v>
      </c>
      <c r="U427" s="18">
        <f t="shared" si="6"/>
        <v>336133.74</v>
      </c>
      <c r="V427" s="18">
        <f t="shared" si="7"/>
        <v>214660.32</v>
      </c>
      <c r="W427" s="19">
        <f t="shared" si="8"/>
        <v>121473.42</v>
      </c>
    </row>
    <row r="428">
      <c r="A428" s="7">
        <v>3.91026866E8</v>
      </c>
      <c r="B428" s="12">
        <v>42738.0</v>
      </c>
      <c r="C428" s="7">
        <f t="shared" si="1"/>
        <v>2017</v>
      </c>
      <c r="D428" s="14" t="str">
        <f t="shared" si="2"/>
        <v>01 - Jan</v>
      </c>
      <c r="E428" s="15" t="str">
        <f t="shared" si="3"/>
        <v>Tue</v>
      </c>
      <c r="F428" s="15">
        <f t="shared" si="4"/>
        <v>2</v>
      </c>
      <c r="G428" s="16">
        <v>42743.0</v>
      </c>
      <c r="H428" s="14">
        <f t="shared" si="5"/>
        <v>5</v>
      </c>
      <c r="I428" s="7" t="s">
        <v>305</v>
      </c>
      <c r="J428" s="7" t="s">
        <v>517</v>
      </c>
      <c r="K428" s="7" t="str">
        <f>VLOOKUP(J428,countries,2,false)</f>
        <v>Spain</v>
      </c>
      <c r="L428" s="7" t="str">
        <f>VLOOKUP($J428,countries,5,false)</f>
        <v>Europe</v>
      </c>
      <c r="M428" s="7" t="str">
        <f>VLOOKUP($J428,countries,6,false)</f>
        <v>Southern Europe</v>
      </c>
      <c r="N428" s="7">
        <v>8293.0</v>
      </c>
      <c r="O428" s="7" t="str">
        <f>VLOOKUP(N428, products, 2, FALSE)</f>
        <v>Cosmetics</v>
      </c>
      <c r="P428" s="7" t="s">
        <v>334</v>
      </c>
      <c r="Q428" s="7">
        <v>2394.0</v>
      </c>
      <c r="R428" s="17">
        <v>437.2</v>
      </c>
      <c r="S428" s="17">
        <v>263.33</v>
      </c>
      <c r="U428" s="18">
        <f t="shared" si="6"/>
        <v>1046656.8</v>
      </c>
      <c r="V428" s="18">
        <f t="shared" si="7"/>
        <v>630412.02</v>
      </c>
      <c r="W428" s="19">
        <f t="shared" si="8"/>
        <v>416244.78</v>
      </c>
    </row>
    <row r="429">
      <c r="A429" s="7">
        <v>3.91200673E8</v>
      </c>
      <c r="B429" s="12">
        <v>40927.0</v>
      </c>
      <c r="C429" s="7">
        <f t="shared" si="1"/>
        <v>2012</v>
      </c>
      <c r="D429" s="14" t="str">
        <f t="shared" si="2"/>
        <v>01 - Jan</v>
      </c>
      <c r="E429" s="15" t="str">
        <f t="shared" si="3"/>
        <v>Thu</v>
      </c>
      <c r="F429" s="15">
        <f t="shared" si="4"/>
        <v>4</v>
      </c>
      <c r="G429" s="16">
        <v>40952.0</v>
      </c>
      <c r="H429" s="14">
        <f t="shared" si="5"/>
        <v>25</v>
      </c>
      <c r="I429" s="7" t="s">
        <v>364</v>
      </c>
      <c r="J429" s="7" t="s">
        <v>296</v>
      </c>
      <c r="K429" s="7" t="str">
        <f>VLOOKUP(J429,countries,2,false)</f>
        <v>France</v>
      </c>
      <c r="L429" s="7" t="str">
        <f>VLOOKUP($J429,countries,5,false)</f>
        <v>Europe</v>
      </c>
      <c r="M429" s="7" t="str">
        <f>VLOOKUP($J429,countries,6,false)</f>
        <v>Western Europe</v>
      </c>
      <c r="N429" s="7">
        <v>8681.0</v>
      </c>
      <c r="O429" s="7" t="str">
        <f>VLOOKUP(N429, products, 2, FALSE)</f>
        <v>Office Supplies</v>
      </c>
      <c r="P429" s="7" t="s">
        <v>264</v>
      </c>
      <c r="Q429" s="7">
        <v>3827.0</v>
      </c>
      <c r="R429" s="17">
        <v>651.21</v>
      </c>
      <c r="S429" s="17">
        <v>524.96</v>
      </c>
      <c r="U429" s="18">
        <f t="shared" si="6"/>
        <v>2492180.67</v>
      </c>
      <c r="V429" s="18">
        <f t="shared" si="7"/>
        <v>2009021.92</v>
      </c>
      <c r="W429" s="19">
        <f t="shared" si="8"/>
        <v>483158.75</v>
      </c>
    </row>
    <row r="430">
      <c r="A430" s="7">
        <v>3.91849982E8</v>
      </c>
      <c r="B430" s="12">
        <v>42704.0</v>
      </c>
      <c r="C430" s="7">
        <f t="shared" si="1"/>
        <v>2016</v>
      </c>
      <c r="D430" s="14" t="str">
        <f t="shared" si="2"/>
        <v>11 - Nov</v>
      </c>
      <c r="E430" s="15" t="str">
        <f t="shared" si="3"/>
        <v>Wed</v>
      </c>
      <c r="F430" s="15">
        <f t="shared" si="4"/>
        <v>3</v>
      </c>
      <c r="G430" s="16">
        <v>42715.0</v>
      </c>
      <c r="H430" s="14">
        <f t="shared" si="5"/>
        <v>11</v>
      </c>
      <c r="I430" s="7" t="s">
        <v>399</v>
      </c>
      <c r="J430" s="7" t="s">
        <v>316</v>
      </c>
      <c r="K430" s="7" t="str">
        <f>VLOOKUP(J430,countries,2,false)</f>
        <v>Georgia</v>
      </c>
      <c r="L430" s="7" t="str">
        <f>VLOOKUP($J430,countries,5,false)</f>
        <v>Asia</v>
      </c>
      <c r="M430" s="7" t="str">
        <f>VLOOKUP($J430,countries,6,false)</f>
        <v>Western Asia</v>
      </c>
      <c r="N430" s="7">
        <v>2103.0</v>
      </c>
      <c r="O430" s="7" t="str">
        <f>VLOOKUP(N430, products, 2, FALSE)</f>
        <v>Cereal</v>
      </c>
      <c r="P430" s="7" t="s">
        <v>334</v>
      </c>
      <c r="Q430" s="7">
        <v>5972.0</v>
      </c>
      <c r="R430" s="17">
        <v>205.7</v>
      </c>
      <c r="S430" s="17">
        <v>117.11</v>
      </c>
      <c r="U430" s="18">
        <f t="shared" si="6"/>
        <v>1228440.4</v>
      </c>
      <c r="V430" s="18">
        <f t="shared" si="7"/>
        <v>699380.92</v>
      </c>
      <c r="W430" s="19">
        <f t="shared" si="8"/>
        <v>529059.48</v>
      </c>
    </row>
    <row r="431">
      <c r="A431" s="7">
        <v>3.92217338E8</v>
      </c>
      <c r="B431" s="12">
        <v>42441.0</v>
      </c>
      <c r="C431" s="7">
        <f t="shared" si="1"/>
        <v>2016</v>
      </c>
      <c r="D431" s="14" t="str">
        <f t="shared" si="2"/>
        <v>03 - Mar</v>
      </c>
      <c r="E431" s="15" t="str">
        <f t="shared" si="3"/>
        <v>Sat</v>
      </c>
      <c r="F431" s="15">
        <f t="shared" si="4"/>
        <v>6</v>
      </c>
      <c r="G431" s="16">
        <v>42444.0</v>
      </c>
      <c r="H431" s="14">
        <f t="shared" si="5"/>
        <v>3</v>
      </c>
      <c r="I431" s="7" t="s">
        <v>364</v>
      </c>
      <c r="J431" s="7" t="s">
        <v>233</v>
      </c>
      <c r="K431" s="7" t="str">
        <f>VLOOKUP(J431,countries,2,false)</f>
        <v>Norway</v>
      </c>
      <c r="L431" s="7" t="str">
        <f>VLOOKUP($J431,countries,5,false)</f>
        <v>Europe</v>
      </c>
      <c r="M431" s="7" t="str">
        <f>VLOOKUP($J431,countries,6,false)</f>
        <v>Northern Europe</v>
      </c>
      <c r="N431" s="7">
        <v>8969.0</v>
      </c>
      <c r="O431" s="7" t="str">
        <f>VLOOKUP(N431, products, 2, FALSE)</f>
        <v>Snacks</v>
      </c>
      <c r="P431" s="7" t="s">
        <v>334</v>
      </c>
      <c r="Q431" s="7">
        <v>4681.0</v>
      </c>
      <c r="R431" s="17">
        <v>152.58</v>
      </c>
      <c r="S431" s="17">
        <v>97.44</v>
      </c>
      <c r="U431" s="18">
        <f t="shared" si="6"/>
        <v>714226.98</v>
      </c>
      <c r="V431" s="18">
        <f t="shared" si="7"/>
        <v>456116.64</v>
      </c>
      <c r="W431" s="19">
        <f t="shared" si="8"/>
        <v>258110.34</v>
      </c>
    </row>
    <row r="432">
      <c r="A432" s="7">
        <v>3.92252957E8</v>
      </c>
      <c r="B432" s="12">
        <v>42008.0</v>
      </c>
      <c r="C432" s="7">
        <f t="shared" si="1"/>
        <v>2015</v>
      </c>
      <c r="D432" s="14" t="str">
        <f t="shared" si="2"/>
        <v>01 - Jan</v>
      </c>
      <c r="E432" s="15" t="str">
        <f t="shared" si="3"/>
        <v>Sun</v>
      </c>
      <c r="F432" s="15">
        <f t="shared" si="4"/>
        <v>7</v>
      </c>
      <c r="G432" s="16">
        <v>42057.0</v>
      </c>
      <c r="H432" s="14">
        <f t="shared" si="5"/>
        <v>49</v>
      </c>
      <c r="I432" s="7" t="s">
        <v>232</v>
      </c>
      <c r="J432" s="7" t="s">
        <v>517</v>
      </c>
      <c r="K432" s="7" t="str">
        <f>VLOOKUP(J432,countries,2,false)</f>
        <v>Spain</v>
      </c>
      <c r="L432" s="7" t="str">
        <f>VLOOKUP($J432,countries,5,false)</f>
        <v>Europe</v>
      </c>
      <c r="M432" s="7" t="str">
        <f>VLOOKUP($J432,countries,6,false)</f>
        <v>Southern Europe</v>
      </c>
      <c r="N432" s="7">
        <v>2103.0</v>
      </c>
      <c r="O432" s="7" t="str">
        <f>VLOOKUP(N432, products, 2, FALSE)</f>
        <v>Cereal</v>
      </c>
      <c r="P432" s="7" t="s">
        <v>334</v>
      </c>
      <c r="Q432" s="7">
        <v>5222.0</v>
      </c>
      <c r="R432" s="17">
        <v>205.7</v>
      </c>
      <c r="S432" s="17">
        <v>117.11</v>
      </c>
      <c r="U432" s="18">
        <f t="shared" si="6"/>
        <v>1074165.4</v>
      </c>
      <c r="V432" s="18">
        <f t="shared" si="7"/>
        <v>611548.42</v>
      </c>
      <c r="W432" s="19">
        <f t="shared" si="8"/>
        <v>462616.98</v>
      </c>
    </row>
    <row r="433">
      <c r="A433" s="7">
        <v>3.92518174E8</v>
      </c>
      <c r="B433" s="12">
        <v>40719.0</v>
      </c>
      <c r="C433" s="7">
        <f t="shared" si="1"/>
        <v>2011</v>
      </c>
      <c r="D433" s="14" t="str">
        <f t="shared" si="2"/>
        <v>06 - Jun</v>
      </c>
      <c r="E433" s="15" t="str">
        <f t="shared" si="3"/>
        <v>Sat</v>
      </c>
      <c r="F433" s="15">
        <f t="shared" si="4"/>
        <v>6</v>
      </c>
      <c r="G433" s="16">
        <v>40727.0</v>
      </c>
      <c r="H433" s="14">
        <f t="shared" si="5"/>
        <v>8</v>
      </c>
      <c r="I433" s="7" t="s">
        <v>232</v>
      </c>
      <c r="J433" s="7" t="s">
        <v>306</v>
      </c>
      <c r="K433" s="7" t="str">
        <f>VLOOKUP(J433,countries,2,false)</f>
        <v>Serbia</v>
      </c>
      <c r="L433" s="7" t="str">
        <f>VLOOKUP($J433,countries,5,false)</f>
        <v>Europe</v>
      </c>
      <c r="M433" s="7" t="str">
        <f>VLOOKUP($J433,countries,6,false)</f>
        <v>Southern Europe</v>
      </c>
      <c r="N433" s="7">
        <v>5988.0</v>
      </c>
      <c r="O433" s="7" t="str">
        <f>VLOOKUP(N433, products, 2, FALSE)</f>
        <v>Vegetables</v>
      </c>
      <c r="P433" s="7" t="s">
        <v>334</v>
      </c>
      <c r="Q433" s="7">
        <v>3705.0</v>
      </c>
      <c r="R433" s="17">
        <v>154.06</v>
      </c>
      <c r="S433" s="17">
        <v>90.93</v>
      </c>
      <c r="U433" s="18">
        <f t="shared" si="6"/>
        <v>570792.3</v>
      </c>
      <c r="V433" s="18">
        <f t="shared" si="7"/>
        <v>336895.65</v>
      </c>
      <c r="W433" s="19">
        <f t="shared" si="8"/>
        <v>233896.65</v>
      </c>
    </row>
    <row r="434">
      <c r="A434" s="7">
        <v>3.92676532E8</v>
      </c>
      <c r="B434" s="12">
        <v>40729.0</v>
      </c>
      <c r="C434" s="7">
        <f t="shared" si="1"/>
        <v>2011</v>
      </c>
      <c r="D434" s="14" t="str">
        <f t="shared" si="2"/>
        <v>07 - Jul</v>
      </c>
      <c r="E434" s="15" t="str">
        <f t="shared" si="3"/>
        <v>Tue</v>
      </c>
      <c r="F434" s="15">
        <f t="shared" si="4"/>
        <v>2</v>
      </c>
      <c r="G434" s="16">
        <v>40761.0</v>
      </c>
      <c r="H434" s="14">
        <f t="shared" si="5"/>
        <v>32</v>
      </c>
      <c r="I434" s="7" t="s">
        <v>399</v>
      </c>
      <c r="J434" s="7" t="s">
        <v>240</v>
      </c>
      <c r="K434" s="7" t="str">
        <f>VLOOKUP(J434,countries,2,false)</f>
        <v>Cyprus</v>
      </c>
      <c r="L434" s="7" t="str">
        <f>VLOOKUP($J434,countries,5,false)</f>
        <v>Asia</v>
      </c>
      <c r="M434" s="7" t="str">
        <f>VLOOKUP($J434,countries,6,false)</f>
        <v>Western Asia</v>
      </c>
      <c r="N434" s="7">
        <v>2103.0</v>
      </c>
      <c r="O434" s="7" t="str">
        <f>VLOOKUP(N434, products, 2, FALSE)</f>
        <v>Cereal</v>
      </c>
      <c r="P434" s="7" t="s">
        <v>334</v>
      </c>
      <c r="Q434" s="7">
        <v>567.0</v>
      </c>
      <c r="R434" s="17">
        <v>205.7</v>
      </c>
      <c r="S434" s="17">
        <v>117.11</v>
      </c>
      <c r="U434" s="18">
        <f t="shared" si="6"/>
        <v>116631.9</v>
      </c>
      <c r="V434" s="18">
        <f t="shared" si="7"/>
        <v>66401.37</v>
      </c>
      <c r="W434" s="19">
        <f t="shared" si="8"/>
        <v>50230.53</v>
      </c>
    </row>
    <row r="435">
      <c r="A435" s="7">
        <v>3.92752492E8</v>
      </c>
      <c r="B435" s="12">
        <v>40306.0</v>
      </c>
      <c r="C435" s="7">
        <f t="shared" si="1"/>
        <v>2010</v>
      </c>
      <c r="D435" s="14" t="str">
        <f t="shared" si="2"/>
        <v>05 - May</v>
      </c>
      <c r="E435" s="15" t="str">
        <f t="shared" si="3"/>
        <v>Sat</v>
      </c>
      <c r="F435" s="15">
        <f t="shared" si="4"/>
        <v>6</v>
      </c>
      <c r="G435" s="16">
        <v>40332.0</v>
      </c>
      <c r="H435" s="14">
        <f t="shared" si="5"/>
        <v>26</v>
      </c>
      <c r="I435" s="7" t="s">
        <v>399</v>
      </c>
      <c r="J435" s="7" t="s">
        <v>546</v>
      </c>
      <c r="K435" s="7" t="str">
        <f>VLOOKUP(J435,countries,2,false)</f>
        <v>Netherlands</v>
      </c>
      <c r="L435" s="7" t="str">
        <f>VLOOKUP($J435,countries,5,false)</f>
        <v>Europe</v>
      </c>
      <c r="M435" s="7" t="str">
        <f>VLOOKUP($J435,countries,6,false)</f>
        <v>Western Europe</v>
      </c>
      <c r="N435" s="7">
        <v>3127.0</v>
      </c>
      <c r="O435" s="7" t="str">
        <f>VLOOKUP(N435, products, 2, FALSE)</f>
        <v>Personal Care</v>
      </c>
      <c r="P435" s="7" t="s">
        <v>334</v>
      </c>
      <c r="Q435" s="7">
        <v>3045.0</v>
      </c>
      <c r="R435" s="17">
        <v>81.73</v>
      </c>
      <c r="S435" s="17">
        <v>56.67</v>
      </c>
      <c r="U435" s="18">
        <f t="shared" si="6"/>
        <v>248867.85</v>
      </c>
      <c r="V435" s="18">
        <f t="shared" si="7"/>
        <v>172560.15</v>
      </c>
      <c r="W435" s="19">
        <f t="shared" si="8"/>
        <v>76307.7</v>
      </c>
    </row>
    <row r="436">
      <c r="A436" s="7">
        <v>3.93709933E8</v>
      </c>
      <c r="B436" s="12">
        <v>42806.0</v>
      </c>
      <c r="C436" s="7">
        <f t="shared" si="1"/>
        <v>2017</v>
      </c>
      <c r="D436" s="14" t="str">
        <f t="shared" si="2"/>
        <v>03 - Mar</v>
      </c>
      <c r="E436" s="15" t="str">
        <f t="shared" si="3"/>
        <v>Sun</v>
      </c>
      <c r="F436" s="15">
        <f t="shared" si="4"/>
        <v>7</v>
      </c>
      <c r="G436" s="16">
        <v>42850.0</v>
      </c>
      <c r="H436" s="14">
        <f t="shared" si="5"/>
        <v>44</v>
      </c>
      <c r="I436" s="7" t="s">
        <v>305</v>
      </c>
      <c r="J436" s="7" t="s">
        <v>296</v>
      </c>
      <c r="K436" s="7" t="str">
        <f>VLOOKUP(J436,countries,2,false)</f>
        <v>France</v>
      </c>
      <c r="L436" s="7" t="str">
        <f>VLOOKUP($J436,countries,5,false)</f>
        <v>Europe</v>
      </c>
      <c r="M436" s="7" t="str">
        <f>VLOOKUP($J436,countries,6,false)</f>
        <v>Western Europe</v>
      </c>
      <c r="N436" s="7">
        <v>4594.0</v>
      </c>
      <c r="O436" s="7" t="str">
        <f>VLOOKUP(N436, products, 2, FALSE)</f>
        <v>Fruits</v>
      </c>
      <c r="P436" s="7" t="s">
        <v>334</v>
      </c>
      <c r="Q436" s="7">
        <v>6373.0</v>
      </c>
      <c r="R436" s="17">
        <v>9.33</v>
      </c>
      <c r="S436" s="17">
        <v>6.92</v>
      </c>
      <c r="U436" s="18">
        <f t="shared" si="6"/>
        <v>59460.09</v>
      </c>
      <c r="V436" s="18">
        <f t="shared" si="7"/>
        <v>44101.16</v>
      </c>
      <c r="W436" s="19">
        <f t="shared" si="8"/>
        <v>15358.93</v>
      </c>
    </row>
    <row r="437">
      <c r="A437" s="7">
        <v>3.93842971E8</v>
      </c>
      <c r="B437" s="12">
        <v>40190.0</v>
      </c>
      <c r="C437" s="7">
        <f t="shared" si="1"/>
        <v>2010</v>
      </c>
      <c r="D437" s="14" t="str">
        <f t="shared" si="2"/>
        <v>01 - Jan</v>
      </c>
      <c r="E437" s="15" t="str">
        <f t="shared" si="3"/>
        <v>Tue</v>
      </c>
      <c r="F437" s="15">
        <f t="shared" si="4"/>
        <v>2</v>
      </c>
      <c r="G437" s="16">
        <v>40209.0</v>
      </c>
      <c r="H437" s="14">
        <f t="shared" si="5"/>
        <v>19</v>
      </c>
      <c r="I437" s="7" t="s">
        <v>364</v>
      </c>
      <c r="J437" s="7" t="s">
        <v>306</v>
      </c>
      <c r="K437" s="7" t="str">
        <f>VLOOKUP(J437,countries,2,false)</f>
        <v>Serbia</v>
      </c>
      <c r="L437" s="7" t="str">
        <f>VLOOKUP($J437,countries,5,false)</f>
        <v>Europe</v>
      </c>
      <c r="M437" s="7" t="str">
        <f>VLOOKUP($J437,countries,6,false)</f>
        <v>Southern Europe</v>
      </c>
      <c r="N437" s="7">
        <v>2455.0</v>
      </c>
      <c r="O437" s="7" t="str">
        <f>VLOOKUP(N437, products, 2, FALSE)</f>
        <v>Clothes</v>
      </c>
      <c r="P437" s="7" t="s">
        <v>334</v>
      </c>
      <c r="Q437" s="7">
        <v>5742.0</v>
      </c>
      <c r="R437" s="17">
        <v>109.28</v>
      </c>
      <c r="S437" s="17">
        <v>35.84</v>
      </c>
      <c r="U437" s="18">
        <f t="shared" si="6"/>
        <v>627485.76</v>
      </c>
      <c r="V437" s="18">
        <f t="shared" si="7"/>
        <v>205793.28</v>
      </c>
      <c r="W437" s="19">
        <f t="shared" si="8"/>
        <v>421692.48</v>
      </c>
    </row>
    <row r="438">
      <c r="A438" s="7">
        <v>3.9385842E8</v>
      </c>
      <c r="B438" s="12">
        <v>41135.0</v>
      </c>
      <c r="C438" s="7">
        <f t="shared" si="1"/>
        <v>2012</v>
      </c>
      <c r="D438" s="14" t="str">
        <f t="shared" si="2"/>
        <v>08 - Aug</v>
      </c>
      <c r="E438" s="15" t="str">
        <f t="shared" si="3"/>
        <v>Tue</v>
      </c>
      <c r="F438" s="15">
        <f t="shared" si="4"/>
        <v>2</v>
      </c>
      <c r="G438" s="16">
        <v>41150.0</v>
      </c>
      <c r="H438" s="14">
        <f t="shared" si="5"/>
        <v>15</v>
      </c>
      <c r="I438" s="7" t="s">
        <v>364</v>
      </c>
      <c r="J438" s="7" t="s">
        <v>435</v>
      </c>
      <c r="K438" s="7" t="str">
        <f>VLOOKUP(J438,countries,2,false)</f>
        <v>Slovakia</v>
      </c>
      <c r="L438" s="7" t="str">
        <f>VLOOKUP($J438,countries,5,false)</f>
        <v>Europe</v>
      </c>
      <c r="M438" s="7" t="str">
        <f>VLOOKUP($J438,countries,6,false)</f>
        <v>Eastern Europe</v>
      </c>
      <c r="N438" s="7">
        <v>4594.0</v>
      </c>
      <c r="O438" s="7" t="str">
        <f>VLOOKUP(N438, products, 2, FALSE)</f>
        <v>Fruits</v>
      </c>
      <c r="P438" s="7" t="s">
        <v>334</v>
      </c>
      <c r="Q438" s="7">
        <v>314.0</v>
      </c>
      <c r="R438" s="17">
        <v>9.33</v>
      </c>
      <c r="S438" s="17">
        <v>6.92</v>
      </c>
      <c r="U438" s="18">
        <f t="shared" si="6"/>
        <v>2929.62</v>
      </c>
      <c r="V438" s="18">
        <f t="shared" si="7"/>
        <v>2172.88</v>
      </c>
      <c r="W438" s="19">
        <f t="shared" si="8"/>
        <v>756.74</v>
      </c>
    </row>
    <row r="439">
      <c r="A439" s="7">
        <v>3.94110763E8</v>
      </c>
      <c r="B439" s="12">
        <v>40903.0</v>
      </c>
      <c r="C439" s="7">
        <f t="shared" si="1"/>
        <v>2011</v>
      </c>
      <c r="D439" s="14" t="str">
        <f t="shared" si="2"/>
        <v>12 - Dec</v>
      </c>
      <c r="E439" s="15" t="str">
        <f t="shared" si="3"/>
        <v>Mon</v>
      </c>
      <c r="F439" s="15">
        <f t="shared" si="4"/>
        <v>1</v>
      </c>
      <c r="G439" s="16">
        <v>40906.0</v>
      </c>
      <c r="H439" s="14">
        <f t="shared" si="5"/>
        <v>3</v>
      </c>
      <c r="I439" s="7" t="s">
        <v>305</v>
      </c>
      <c r="J439" s="7" t="s">
        <v>124</v>
      </c>
      <c r="K439" s="7" t="str">
        <f>VLOOKUP(J439,countries,2,false)</f>
        <v>Belgium</v>
      </c>
      <c r="L439" s="7" t="str">
        <f>VLOOKUP($J439,countries,5,false)</f>
        <v>Europe</v>
      </c>
      <c r="M439" s="7" t="str">
        <f>VLOOKUP($J439,countries,6,false)</f>
        <v>Western Europe</v>
      </c>
      <c r="N439" s="7">
        <v>5988.0</v>
      </c>
      <c r="O439" s="7" t="str">
        <f>VLOOKUP(N439, products, 2, FALSE)</f>
        <v>Vegetables</v>
      </c>
      <c r="P439" s="7" t="s">
        <v>334</v>
      </c>
      <c r="Q439" s="7">
        <v>4988.0</v>
      </c>
      <c r="R439" s="17">
        <v>154.06</v>
      </c>
      <c r="S439" s="17">
        <v>90.93</v>
      </c>
      <c r="U439" s="18">
        <f t="shared" si="6"/>
        <v>768451.28</v>
      </c>
      <c r="V439" s="18">
        <f t="shared" si="7"/>
        <v>453558.84</v>
      </c>
      <c r="W439" s="19">
        <f t="shared" si="8"/>
        <v>314892.44</v>
      </c>
    </row>
    <row r="440">
      <c r="A440" s="7">
        <v>3.94356667E8</v>
      </c>
      <c r="B440" s="12">
        <v>42581.0</v>
      </c>
      <c r="C440" s="7">
        <f t="shared" si="1"/>
        <v>2016</v>
      </c>
      <c r="D440" s="14" t="str">
        <f t="shared" si="2"/>
        <v>07 - Jul</v>
      </c>
      <c r="E440" s="15" t="str">
        <f t="shared" si="3"/>
        <v>Sat</v>
      </c>
      <c r="F440" s="15">
        <f t="shared" si="4"/>
        <v>6</v>
      </c>
      <c r="G440" s="16">
        <v>42586.0</v>
      </c>
      <c r="H440" s="14">
        <f t="shared" si="5"/>
        <v>5</v>
      </c>
      <c r="I440" s="7" t="s">
        <v>305</v>
      </c>
      <c r="J440" s="7" t="s">
        <v>681</v>
      </c>
      <c r="K440" s="7" t="str">
        <f>VLOOKUP(J440,countries,2,false)</f>
        <v>United Kingdom</v>
      </c>
      <c r="L440" s="7" t="str">
        <f>VLOOKUP($J440,countries,5,false)</f>
        <v>Europe</v>
      </c>
      <c r="M440" s="7" t="str">
        <f>VLOOKUP($J440,countries,6,false)</f>
        <v>Northern Europe</v>
      </c>
      <c r="N440" s="7">
        <v>7940.0</v>
      </c>
      <c r="O440" s="7" t="str">
        <f>VLOOKUP(N440, products, 2, FALSE)</f>
        <v>Household</v>
      </c>
      <c r="P440" s="7" t="s">
        <v>264</v>
      </c>
      <c r="Q440" s="7">
        <v>7756.0</v>
      </c>
      <c r="R440" s="17">
        <v>668.27</v>
      </c>
      <c r="S440" s="17">
        <v>502.54</v>
      </c>
      <c r="U440" s="18">
        <f t="shared" si="6"/>
        <v>5183102.12</v>
      </c>
      <c r="V440" s="18">
        <f t="shared" si="7"/>
        <v>3897700.24</v>
      </c>
      <c r="W440" s="19">
        <f t="shared" si="8"/>
        <v>1285401.88</v>
      </c>
    </row>
    <row r="441">
      <c r="A441" s="7">
        <v>3.9445666E8</v>
      </c>
      <c r="B441" s="12">
        <v>42400.0</v>
      </c>
      <c r="C441" s="7">
        <f t="shared" si="1"/>
        <v>2016</v>
      </c>
      <c r="D441" s="14" t="str">
        <f t="shared" si="2"/>
        <v>01 - Jan</v>
      </c>
      <c r="E441" s="15" t="str">
        <f t="shared" si="3"/>
        <v>Sun</v>
      </c>
      <c r="F441" s="15">
        <f t="shared" si="4"/>
        <v>7</v>
      </c>
      <c r="G441" s="16">
        <v>42409.0</v>
      </c>
      <c r="H441" s="14">
        <f t="shared" si="5"/>
        <v>9</v>
      </c>
      <c r="I441" s="7" t="s">
        <v>399</v>
      </c>
      <c r="J441" s="7" t="s">
        <v>365</v>
      </c>
      <c r="K441" s="7" t="str">
        <f>VLOOKUP(J441,countries,2,false)</f>
        <v>Montenegro</v>
      </c>
      <c r="L441" s="7" t="str">
        <f>VLOOKUP($J441,countries,5,false)</f>
        <v>Europe</v>
      </c>
      <c r="M441" s="7" t="str">
        <f>VLOOKUP($J441,countries,6,false)</f>
        <v>Southern Europe</v>
      </c>
      <c r="N441" s="7">
        <v>4594.0</v>
      </c>
      <c r="O441" s="7" t="str">
        <f>VLOOKUP(N441, products, 2, FALSE)</f>
        <v>Fruits</v>
      </c>
      <c r="P441" s="7" t="s">
        <v>264</v>
      </c>
      <c r="Q441" s="7">
        <v>7346.0</v>
      </c>
      <c r="R441" s="17">
        <v>9.33</v>
      </c>
      <c r="S441" s="17">
        <v>6.92</v>
      </c>
      <c r="U441" s="18">
        <f t="shared" si="6"/>
        <v>68538.18</v>
      </c>
      <c r="V441" s="18">
        <f t="shared" si="7"/>
        <v>50834.32</v>
      </c>
      <c r="W441" s="19">
        <f t="shared" si="8"/>
        <v>17703.86</v>
      </c>
    </row>
    <row r="442">
      <c r="A442" s="7">
        <v>3.95562589E8</v>
      </c>
      <c r="B442" s="12">
        <v>40463.0</v>
      </c>
      <c r="C442" s="7">
        <f t="shared" si="1"/>
        <v>2010</v>
      </c>
      <c r="D442" s="14" t="str">
        <f t="shared" si="2"/>
        <v>10 - Oct</v>
      </c>
      <c r="E442" s="15" t="str">
        <f t="shared" si="3"/>
        <v>Tue</v>
      </c>
      <c r="F442" s="15">
        <f t="shared" si="4"/>
        <v>2</v>
      </c>
      <c r="G442" s="16">
        <v>40513.0</v>
      </c>
      <c r="H442" s="14">
        <f t="shared" si="5"/>
        <v>50</v>
      </c>
      <c r="I442" s="7" t="s">
        <v>305</v>
      </c>
      <c r="J442" s="7" t="s">
        <v>306</v>
      </c>
      <c r="K442" s="7" t="str">
        <f>VLOOKUP(J442,countries,2,false)</f>
        <v>Serbia</v>
      </c>
      <c r="L442" s="7" t="str">
        <f>VLOOKUP($J442,countries,5,false)</f>
        <v>Europe</v>
      </c>
      <c r="M442" s="7" t="str">
        <f>VLOOKUP($J442,countries,6,false)</f>
        <v>Southern Europe</v>
      </c>
      <c r="N442" s="7">
        <v>1270.0</v>
      </c>
      <c r="O442" s="7" t="str">
        <f>VLOOKUP(N442, products, 2, FALSE)</f>
        <v>Beverages</v>
      </c>
      <c r="P442" s="7" t="s">
        <v>264</v>
      </c>
      <c r="Q442" s="7">
        <v>4615.0</v>
      </c>
      <c r="R442" s="17">
        <v>47.45</v>
      </c>
      <c r="S442" s="17">
        <v>31.79</v>
      </c>
      <c r="U442" s="18">
        <f t="shared" si="6"/>
        <v>218981.75</v>
      </c>
      <c r="V442" s="18">
        <f t="shared" si="7"/>
        <v>146710.85</v>
      </c>
      <c r="W442" s="19">
        <f t="shared" si="8"/>
        <v>72270.9</v>
      </c>
    </row>
    <row r="443">
      <c r="A443" s="7">
        <v>3.96462953E8</v>
      </c>
      <c r="B443" s="12">
        <v>42390.0</v>
      </c>
      <c r="C443" s="7">
        <f t="shared" si="1"/>
        <v>2016</v>
      </c>
      <c r="D443" s="14" t="str">
        <f t="shared" si="2"/>
        <v>01 - Jan</v>
      </c>
      <c r="E443" s="15" t="str">
        <f t="shared" si="3"/>
        <v>Thu</v>
      </c>
      <c r="F443" s="15">
        <f t="shared" si="4"/>
        <v>4</v>
      </c>
      <c r="G443" s="16">
        <v>42426.0</v>
      </c>
      <c r="H443" s="14">
        <f t="shared" si="5"/>
        <v>36</v>
      </c>
      <c r="I443" s="7" t="s">
        <v>364</v>
      </c>
      <c r="J443" s="7" t="s">
        <v>396</v>
      </c>
      <c r="K443" s="7" t="str">
        <f>VLOOKUP(J443,countries,2,false)</f>
        <v>Ireland</v>
      </c>
      <c r="L443" s="7" t="str">
        <f>VLOOKUP($J443,countries,5,false)</f>
        <v>Europe</v>
      </c>
      <c r="M443" s="7" t="str">
        <f>VLOOKUP($J443,countries,6,false)</f>
        <v>Northern Europe</v>
      </c>
      <c r="N443" s="7">
        <v>3127.0</v>
      </c>
      <c r="O443" s="7" t="str">
        <f>VLOOKUP(N443, products, 2, FALSE)</f>
        <v>Personal Care</v>
      </c>
      <c r="P443" s="7" t="s">
        <v>334</v>
      </c>
      <c r="Q443" s="7">
        <v>1053.0</v>
      </c>
      <c r="R443" s="17">
        <v>81.73</v>
      </c>
      <c r="S443" s="17">
        <v>56.67</v>
      </c>
      <c r="U443" s="18">
        <f t="shared" si="6"/>
        <v>86061.69</v>
      </c>
      <c r="V443" s="18">
        <f t="shared" si="7"/>
        <v>59673.51</v>
      </c>
      <c r="W443" s="19">
        <f t="shared" si="8"/>
        <v>26388.18</v>
      </c>
    </row>
    <row r="444">
      <c r="A444" s="7">
        <v>3.96552217E8</v>
      </c>
      <c r="B444" s="12">
        <v>41706.0</v>
      </c>
      <c r="C444" s="7">
        <f t="shared" si="1"/>
        <v>2014</v>
      </c>
      <c r="D444" s="14" t="str">
        <f t="shared" si="2"/>
        <v>03 - Mar</v>
      </c>
      <c r="E444" s="15" t="str">
        <f t="shared" si="3"/>
        <v>Sat</v>
      </c>
      <c r="F444" s="15">
        <f t="shared" si="4"/>
        <v>6</v>
      </c>
      <c r="G444" s="16">
        <v>41753.0</v>
      </c>
      <c r="H444" s="14">
        <f t="shared" si="5"/>
        <v>47</v>
      </c>
      <c r="I444" s="7" t="s">
        <v>232</v>
      </c>
      <c r="J444" s="7" t="s">
        <v>240</v>
      </c>
      <c r="K444" s="7" t="str">
        <f>VLOOKUP(J444,countries,2,false)</f>
        <v>Cyprus</v>
      </c>
      <c r="L444" s="7" t="str">
        <f>VLOOKUP($J444,countries,5,false)</f>
        <v>Asia</v>
      </c>
      <c r="M444" s="7" t="str">
        <f>VLOOKUP($J444,countries,6,false)</f>
        <v>Western Asia</v>
      </c>
      <c r="N444" s="7">
        <v>2455.0</v>
      </c>
      <c r="O444" s="7" t="str">
        <f>VLOOKUP(N444, products, 2, FALSE)</f>
        <v>Clothes</v>
      </c>
      <c r="P444" s="7" t="s">
        <v>334</v>
      </c>
      <c r="Q444" s="7">
        <v>7468.0</v>
      </c>
      <c r="R444" s="17">
        <v>109.28</v>
      </c>
      <c r="S444" s="17">
        <v>35.84</v>
      </c>
      <c r="U444" s="18">
        <f t="shared" si="6"/>
        <v>816103.04</v>
      </c>
      <c r="V444" s="18">
        <f t="shared" si="7"/>
        <v>267653.12</v>
      </c>
      <c r="W444" s="19">
        <f t="shared" si="8"/>
        <v>548449.92</v>
      </c>
    </row>
    <row r="445">
      <c r="A445" s="7">
        <v>3.96718728E8</v>
      </c>
      <c r="B445" s="12">
        <v>40216.0</v>
      </c>
      <c r="C445" s="7">
        <f t="shared" si="1"/>
        <v>2010</v>
      </c>
      <c r="D445" s="14" t="str">
        <f t="shared" si="2"/>
        <v>02 - Feb</v>
      </c>
      <c r="E445" s="15" t="str">
        <f t="shared" si="3"/>
        <v>Sun</v>
      </c>
      <c r="F445" s="15">
        <f t="shared" si="4"/>
        <v>7</v>
      </c>
      <c r="G445" s="16">
        <v>40255.0</v>
      </c>
      <c r="H445" s="14">
        <f t="shared" si="5"/>
        <v>39</v>
      </c>
      <c r="I445" s="7" t="s">
        <v>364</v>
      </c>
      <c r="J445" s="7" t="s">
        <v>146</v>
      </c>
      <c r="K445" s="7" t="str">
        <f>VLOOKUP(J445,countries,2,false)</f>
        <v>Bosnia and Herzegovina</v>
      </c>
      <c r="L445" s="7" t="str">
        <f>VLOOKUP($J445,countries,5,false)</f>
        <v>Europe</v>
      </c>
      <c r="M445" s="7" t="str">
        <f>VLOOKUP($J445,countries,6,false)</f>
        <v>Southern Europe</v>
      </c>
      <c r="N445" s="7">
        <v>3127.0</v>
      </c>
      <c r="O445" s="7" t="str">
        <f>VLOOKUP(N445, products, 2, FALSE)</f>
        <v>Personal Care</v>
      </c>
      <c r="P445" s="7" t="s">
        <v>334</v>
      </c>
      <c r="Q445" s="7">
        <v>6742.0</v>
      </c>
      <c r="R445" s="17">
        <v>81.73</v>
      </c>
      <c r="S445" s="17">
        <v>56.67</v>
      </c>
      <c r="U445" s="18">
        <f t="shared" si="6"/>
        <v>551023.66</v>
      </c>
      <c r="V445" s="18">
        <f t="shared" si="7"/>
        <v>382069.14</v>
      </c>
      <c r="W445" s="19">
        <f t="shared" si="8"/>
        <v>168954.52</v>
      </c>
    </row>
    <row r="446">
      <c r="A446" s="7">
        <v>3.96832883E8</v>
      </c>
      <c r="B446" s="12">
        <v>41362.0</v>
      </c>
      <c r="C446" s="7">
        <f t="shared" si="1"/>
        <v>2013</v>
      </c>
      <c r="D446" s="14" t="str">
        <f t="shared" si="2"/>
        <v>03 - Mar</v>
      </c>
      <c r="E446" s="15" t="str">
        <f t="shared" si="3"/>
        <v>Fri</v>
      </c>
      <c r="F446" s="15">
        <f t="shared" si="4"/>
        <v>5</v>
      </c>
      <c r="G446" s="16">
        <v>41364.0</v>
      </c>
      <c r="H446" s="14">
        <f t="shared" si="5"/>
        <v>2</v>
      </c>
      <c r="I446" s="7" t="s">
        <v>232</v>
      </c>
      <c r="J446" s="7" t="s">
        <v>229</v>
      </c>
      <c r="K446" s="7" t="str">
        <f>VLOOKUP(J446,countries,2,false)</f>
        <v>Croatia</v>
      </c>
      <c r="L446" s="7" t="str">
        <f>VLOOKUP($J446,countries,5,false)</f>
        <v>Europe</v>
      </c>
      <c r="M446" s="7" t="str">
        <f>VLOOKUP($J446,countries,6,false)</f>
        <v>Southern Europe</v>
      </c>
      <c r="N446" s="7">
        <v>3127.0</v>
      </c>
      <c r="O446" s="7" t="str">
        <f>VLOOKUP(N446, products, 2, FALSE)</f>
        <v>Personal Care</v>
      </c>
      <c r="P446" s="7" t="s">
        <v>334</v>
      </c>
      <c r="Q446" s="7">
        <v>523.0</v>
      </c>
      <c r="R446" s="17">
        <v>81.73</v>
      </c>
      <c r="S446" s="17">
        <v>56.67</v>
      </c>
      <c r="U446" s="18">
        <f t="shared" si="6"/>
        <v>42744.79</v>
      </c>
      <c r="V446" s="18">
        <f t="shared" si="7"/>
        <v>29638.41</v>
      </c>
      <c r="W446" s="19">
        <f t="shared" si="8"/>
        <v>13106.38</v>
      </c>
    </row>
    <row r="447">
      <c r="A447" s="7">
        <v>3.97874438E8</v>
      </c>
      <c r="B447" s="12">
        <v>41941.0</v>
      </c>
      <c r="C447" s="7">
        <f t="shared" si="1"/>
        <v>2014</v>
      </c>
      <c r="D447" s="14" t="str">
        <f t="shared" si="2"/>
        <v>10 - Oct</v>
      </c>
      <c r="E447" s="15" t="str">
        <f t="shared" si="3"/>
        <v>Wed</v>
      </c>
      <c r="F447" s="15">
        <f t="shared" si="4"/>
        <v>3</v>
      </c>
      <c r="G447" s="16">
        <v>41974.0</v>
      </c>
      <c r="H447" s="14">
        <f t="shared" si="5"/>
        <v>33</v>
      </c>
      <c r="I447" s="7" t="s">
        <v>232</v>
      </c>
      <c r="J447" s="7" t="s">
        <v>435</v>
      </c>
      <c r="K447" s="7" t="str">
        <f>VLOOKUP(J447,countries,2,false)</f>
        <v>Slovakia</v>
      </c>
      <c r="L447" s="7" t="str">
        <f>VLOOKUP($J447,countries,5,false)</f>
        <v>Europe</v>
      </c>
      <c r="M447" s="7" t="str">
        <f>VLOOKUP($J447,countries,6,false)</f>
        <v>Eastern Europe</v>
      </c>
      <c r="N447" s="7">
        <v>1270.0</v>
      </c>
      <c r="O447" s="7" t="str">
        <f>VLOOKUP(N447, products, 2, FALSE)</f>
        <v>Beverages</v>
      </c>
      <c r="P447" s="7" t="s">
        <v>264</v>
      </c>
      <c r="Q447" s="7">
        <v>8743.0</v>
      </c>
      <c r="R447" s="17">
        <v>47.45</v>
      </c>
      <c r="S447" s="17">
        <v>31.79</v>
      </c>
      <c r="U447" s="18">
        <f t="shared" si="6"/>
        <v>414855.35</v>
      </c>
      <c r="V447" s="18">
        <f t="shared" si="7"/>
        <v>277939.97</v>
      </c>
      <c r="W447" s="19">
        <f t="shared" si="8"/>
        <v>136915.38</v>
      </c>
    </row>
    <row r="448">
      <c r="A448" s="7">
        <v>3.98104035E8</v>
      </c>
      <c r="B448" s="12">
        <v>41085.0</v>
      </c>
      <c r="C448" s="7">
        <f t="shared" si="1"/>
        <v>2012</v>
      </c>
      <c r="D448" s="14" t="str">
        <f t="shared" si="2"/>
        <v>06 - Jun</v>
      </c>
      <c r="E448" s="15" t="str">
        <f t="shared" si="3"/>
        <v>Mon</v>
      </c>
      <c r="F448" s="15">
        <f t="shared" si="4"/>
        <v>1</v>
      </c>
      <c r="G448" s="16">
        <v>41133.0</v>
      </c>
      <c r="H448" s="14">
        <f t="shared" si="5"/>
        <v>48</v>
      </c>
      <c r="I448" s="7" t="s">
        <v>364</v>
      </c>
      <c r="J448" s="7" t="s">
        <v>489</v>
      </c>
      <c r="K448" s="7" t="str">
        <f>VLOOKUP(J448,countries,2,false)</f>
        <v>Malta</v>
      </c>
      <c r="L448" s="7" t="str">
        <f>VLOOKUP($J448,countries,5,false)</f>
        <v>Europe</v>
      </c>
      <c r="M448" s="7" t="str">
        <f>VLOOKUP($J448,countries,6,false)</f>
        <v>Southern Europe</v>
      </c>
      <c r="N448" s="7">
        <v>7331.0</v>
      </c>
      <c r="O448" s="7" t="str">
        <f>VLOOKUP(N448, products, 2, FALSE)</f>
        <v>Baby Food</v>
      </c>
      <c r="P448" s="7" t="s">
        <v>334</v>
      </c>
      <c r="Q448" s="7">
        <v>6686.0</v>
      </c>
      <c r="R448" s="17">
        <v>255.28</v>
      </c>
      <c r="S448" s="17">
        <v>159.42</v>
      </c>
      <c r="U448" s="18">
        <f t="shared" si="6"/>
        <v>1706802.08</v>
      </c>
      <c r="V448" s="18">
        <f t="shared" si="7"/>
        <v>1065882.12</v>
      </c>
      <c r="W448" s="19">
        <f t="shared" si="8"/>
        <v>640919.96</v>
      </c>
    </row>
    <row r="449">
      <c r="A449" s="7">
        <v>3.98333632E8</v>
      </c>
      <c r="B449" s="12">
        <v>40228.0</v>
      </c>
      <c r="C449" s="7">
        <f t="shared" si="1"/>
        <v>2010</v>
      </c>
      <c r="D449" s="14" t="str">
        <f t="shared" si="2"/>
        <v>02 - Feb</v>
      </c>
      <c r="E449" s="15" t="str">
        <f t="shared" si="3"/>
        <v>Fri</v>
      </c>
      <c r="F449" s="15">
        <f t="shared" si="4"/>
        <v>5</v>
      </c>
      <c r="G449" s="16">
        <v>40239.0</v>
      </c>
      <c r="H449" s="14">
        <f t="shared" si="5"/>
        <v>11</v>
      </c>
      <c r="I449" s="7" t="s">
        <v>305</v>
      </c>
      <c r="J449" s="7" t="s">
        <v>319</v>
      </c>
      <c r="K449" s="7" t="str">
        <f>VLOOKUP(J449,countries,2,false)</f>
        <v>Germany</v>
      </c>
      <c r="L449" s="7" t="str">
        <f>VLOOKUP($J449,countries,5,false)</f>
        <v>Europe</v>
      </c>
      <c r="M449" s="7" t="str">
        <f>VLOOKUP($J449,countries,6,false)</f>
        <v>Western Europe</v>
      </c>
      <c r="N449" s="7">
        <v>2103.0</v>
      </c>
      <c r="O449" s="7" t="str">
        <f>VLOOKUP(N449, products, 2, FALSE)</f>
        <v>Cereal</v>
      </c>
      <c r="P449" s="7" t="s">
        <v>334</v>
      </c>
      <c r="Q449" s="7">
        <v>4629.0</v>
      </c>
      <c r="R449" s="17">
        <v>205.7</v>
      </c>
      <c r="S449" s="17">
        <v>117.11</v>
      </c>
      <c r="U449" s="18">
        <f t="shared" si="6"/>
        <v>952185.3</v>
      </c>
      <c r="V449" s="18">
        <f t="shared" si="7"/>
        <v>542102.19</v>
      </c>
      <c r="W449" s="19">
        <f t="shared" si="8"/>
        <v>410083.11</v>
      </c>
    </row>
    <row r="450">
      <c r="A450" s="7">
        <v>3.98645198E8</v>
      </c>
      <c r="B450" s="12">
        <v>41776.0</v>
      </c>
      <c r="C450" s="7">
        <f t="shared" si="1"/>
        <v>2014</v>
      </c>
      <c r="D450" s="14" t="str">
        <f t="shared" si="2"/>
        <v>05 - May</v>
      </c>
      <c r="E450" s="15" t="str">
        <f t="shared" si="3"/>
        <v>Sat</v>
      </c>
      <c r="F450" s="15">
        <f t="shared" si="4"/>
        <v>6</v>
      </c>
      <c r="G450" s="16">
        <v>41785.0</v>
      </c>
      <c r="H450" s="14">
        <f t="shared" si="5"/>
        <v>9</v>
      </c>
      <c r="I450" s="7" t="s">
        <v>399</v>
      </c>
      <c r="J450" s="7" t="s">
        <v>378</v>
      </c>
      <c r="K450" s="7" t="str">
        <f>VLOOKUP(J450,countries,2,false)</f>
        <v>Hungary</v>
      </c>
      <c r="L450" s="7" t="str">
        <f>VLOOKUP($J450,countries,5,false)</f>
        <v>Europe</v>
      </c>
      <c r="M450" s="7" t="str">
        <f>VLOOKUP($J450,countries,6,false)</f>
        <v>Eastern Europe</v>
      </c>
      <c r="N450" s="7">
        <v>7331.0</v>
      </c>
      <c r="O450" s="7" t="str">
        <f>VLOOKUP(N450, products, 2, FALSE)</f>
        <v>Baby Food</v>
      </c>
      <c r="P450" s="7" t="s">
        <v>334</v>
      </c>
      <c r="Q450" s="7">
        <v>6828.0</v>
      </c>
      <c r="R450" s="17">
        <v>255.28</v>
      </c>
      <c r="S450" s="17">
        <v>159.42</v>
      </c>
      <c r="U450" s="18">
        <f t="shared" si="6"/>
        <v>1743051.84</v>
      </c>
      <c r="V450" s="18">
        <f t="shared" si="7"/>
        <v>1088519.76</v>
      </c>
      <c r="W450" s="19">
        <f t="shared" si="8"/>
        <v>654532.08</v>
      </c>
    </row>
    <row r="451">
      <c r="A451" s="7">
        <v>3.99115979E8</v>
      </c>
      <c r="B451" s="12">
        <v>42156.0</v>
      </c>
      <c r="C451" s="7">
        <f t="shared" si="1"/>
        <v>2015</v>
      </c>
      <c r="D451" s="14" t="str">
        <f t="shared" si="2"/>
        <v>06 - Jun</v>
      </c>
      <c r="E451" s="15" t="str">
        <f t="shared" si="3"/>
        <v>Mon</v>
      </c>
      <c r="F451" s="15">
        <f t="shared" si="4"/>
        <v>1</v>
      </c>
      <c r="G451" s="16">
        <v>42179.0</v>
      </c>
      <c r="H451" s="14">
        <f t="shared" si="5"/>
        <v>23</v>
      </c>
      <c r="I451" s="7" t="s">
        <v>399</v>
      </c>
      <c r="J451" s="7" t="s">
        <v>517</v>
      </c>
      <c r="K451" s="7" t="str">
        <f>VLOOKUP(J451,countries,2,false)</f>
        <v>Spain</v>
      </c>
      <c r="L451" s="7" t="str">
        <f>VLOOKUP($J451,countries,5,false)</f>
        <v>Europe</v>
      </c>
      <c r="M451" s="7" t="str">
        <f>VLOOKUP($J451,countries,6,false)</f>
        <v>Southern Europe</v>
      </c>
      <c r="N451" s="7">
        <v>5988.0</v>
      </c>
      <c r="O451" s="7" t="str">
        <f>VLOOKUP(N451, products, 2, FALSE)</f>
        <v>Vegetables</v>
      </c>
      <c r="P451" s="7" t="s">
        <v>264</v>
      </c>
      <c r="Q451" s="7">
        <v>6142.0</v>
      </c>
      <c r="R451" s="17">
        <v>154.06</v>
      </c>
      <c r="S451" s="17">
        <v>90.93</v>
      </c>
      <c r="U451" s="18">
        <f t="shared" si="6"/>
        <v>946236.52</v>
      </c>
      <c r="V451" s="18">
        <f t="shared" si="7"/>
        <v>558492.06</v>
      </c>
      <c r="W451" s="19">
        <f t="shared" si="8"/>
        <v>387744.46</v>
      </c>
    </row>
    <row r="452">
      <c r="A452" s="7">
        <v>3.99256312E8</v>
      </c>
      <c r="B452" s="12">
        <v>41984.0</v>
      </c>
      <c r="C452" s="7">
        <f t="shared" si="1"/>
        <v>2014</v>
      </c>
      <c r="D452" s="14" t="str">
        <f t="shared" si="2"/>
        <v>12 - Dec</v>
      </c>
      <c r="E452" s="15" t="str">
        <f t="shared" si="3"/>
        <v>Thu</v>
      </c>
      <c r="F452" s="15">
        <f t="shared" si="4"/>
        <v>4</v>
      </c>
      <c r="G452" s="16">
        <v>42009.0</v>
      </c>
      <c r="H452" s="14">
        <f t="shared" si="5"/>
        <v>25</v>
      </c>
      <c r="I452" s="7" t="s">
        <v>364</v>
      </c>
      <c r="J452" s="7" t="s">
        <v>685</v>
      </c>
      <c r="K452" s="7" t="str">
        <f>VLOOKUP(J452,countries,2,false)</f>
        <v>Slovenia</v>
      </c>
      <c r="L452" s="7" t="str">
        <f>VLOOKUP($J452,countries,5,false)</f>
        <v>Europe</v>
      </c>
      <c r="M452" s="7" t="str">
        <f>VLOOKUP($J452,countries,6,false)</f>
        <v>Southern Europe</v>
      </c>
      <c r="N452" s="7">
        <v>4594.0</v>
      </c>
      <c r="O452" s="7" t="str">
        <f>VLOOKUP(N452, products, 2, FALSE)</f>
        <v>Fruits</v>
      </c>
      <c r="P452" s="7" t="s">
        <v>264</v>
      </c>
      <c r="Q452" s="7">
        <v>7670.0</v>
      </c>
      <c r="R452" s="17">
        <v>9.33</v>
      </c>
      <c r="S452" s="17">
        <v>6.92</v>
      </c>
      <c r="U452" s="18">
        <f t="shared" si="6"/>
        <v>71561.1</v>
      </c>
      <c r="V452" s="18">
        <f t="shared" si="7"/>
        <v>53076.4</v>
      </c>
      <c r="W452" s="19">
        <f t="shared" si="8"/>
        <v>18484.7</v>
      </c>
    </row>
    <row r="453">
      <c r="A453" s="7">
        <v>4.00267398E8</v>
      </c>
      <c r="B453" s="12">
        <v>41466.0</v>
      </c>
      <c r="C453" s="7">
        <f t="shared" si="1"/>
        <v>2013</v>
      </c>
      <c r="D453" s="14" t="str">
        <f t="shared" si="2"/>
        <v>07 - Jul</v>
      </c>
      <c r="E453" s="15" t="str">
        <f t="shared" si="3"/>
        <v>Thu</v>
      </c>
      <c r="F453" s="15">
        <f t="shared" si="4"/>
        <v>4</v>
      </c>
      <c r="G453" s="16">
        <v>41475.0</v>
      </c>
      <c r="H453" s="14">
        <f t="shared" si="5"/>
        <v>9</v>
      </c>
      <c r="I453" s="7" t="s">
        <v>232</v>
      </c>
      <c r="J453" s="7" t="s">
        <v>101</v>
      </c>
      <c r="K453" s="7" t="str">
        <f>VLOOKUP(J453,countries,2,false)</f>
        <v>Austria</v>
      </c>
      <c r="L453" s="7" t="str">
        <f>VLOOKUP($J453,countries,5,false)</f>
        <v>Europe</v>
      </c>
      <c r="M453" s="7" t="str">
        <f>VLOOKUP($J453,countries,6,false)</f>
        <v>Western Europe</v>
      </c>
      <c r="N453" s="7">
        <v>8969.0</v>
      </c>
      <c r="O453" s="7" t="str">
        <f>VLOOKUP(N453, products, 2, FALSE)</f>
        <v>Snacks</v>
      </c>
      <c r="P453" s="7" t="s">
        <v>334</v>
      </c>
      <c r="Q453" s="7">
        <v>6873.0</v>
      </c>
      <c r="R453" s="17">
        <v>152.58</v>
      </c>
      <c r="S453" s="17">
        <v>97.44</v>
      </c>
      <c r="U453" s="18">
        <f t="shared" si="6"/>
        <v>1048682.34</v>
      </c>
      <c r="V453" s="18">
        <f t="shared" si="7"/>
        <v>669705.12</v>
      </c>
      <c r="W453" s="19">
        <f t="shared" si="8"/>
        <v>378977.22</v>
      </c>
    </row>
    <row r="454">
      <c r="A454" s="7">
        <v>4.00904691E8</v>
      </c>
      <c r="B454" s="12">
        <v>40357.0</v>
      </c>
      <c r="C454" s="7">
        <f t="shared" si="1"/>
        <v>2010</v>
      </c>
      <c r="D454" s="14" t="str">
        <f t="shared" si="2"/>
        <v>06 - Jun</v>
      </c>
      <c r="E454" s="15" t="str">
        <f t="shared" si="3"/>
        <v>Mon</v>
      </c>
      <c r="F454" s="15">
        <f t="shared" si="4"/>
        <v>1</v>
      </c>
      <c r="G454" s="16">
        <v>40371.0</v>
      </c>
      <c r="H454" s="14">
        <f t="shared" si="5"/>
        <v>14</v>
      </c>
      <c r="I454" s="7" t="s">
        <v>232</v>
      </c>
      <c r="J454" s="7" t="s">
        <v>447</v>
      </c>
      <c r="K454" s="7" t="str">
        <f>VLOOKUP(J454,countries,2,false)</f>
        <v>Latvia</v>
      </c>
      <c r="L454" s="7" t="str">
        <f>VLOOKUP($J454,countries,5,false)</f>
        <v>Europe</v>
      </c>
      <c r="M454" s="7" t="str">
        <f>VLOOKUP($J454,countries,6,false)</f>
        <v>Northern Europe</v>
      </c>
      <c r="N454" s="7">
        <v>2103.0</v>
      </c>
      <c r="O454" s="7" t="str">
        <f>VLOOKUP(N454, products, 2, FALSE)</f>
        <v>Cereal</v>
      </c>
      <c r="P454" s="7" t="s">
        <v>334</v>
      </c>
      <c r="Q454" s="7">
        <v>5462.0</v>
      </c>
      <c r="R454" s="17">
        <v>205.7</v>
      </c>
      <c r="S454" s="17">
        <v>117.11</v>
      </c>
      <c r="U454" s="18">
        <f t="shared" si="6"/>
        <v>1123533.4</v>
      </c>
      <c r="V454" s="18">
        <f t="shared" si="7"/>
        <v>639654.82</v>
      </c>
      <c r="W454" s="19">
        <f t="shared" si="8"/>
        <v>483878.58</v>
      </c>
    </row>
    <row r="455">
      <c r="A455" s="7">
        <v>4.01993882E8</v>
      </c>
      <c r="B455" s="12">
        <v>40623.0</v>
      </c>
      <c r="C455" s="7">
        <f t="shared" si="1"/>
        <v>2011</v>
      </c>
      <c r="D455" s="14" t="str">
        <f t="shared" si="2"/>
        <v>03 - Mar</v>
      </c>
      <c r="E455" s="15" t="str">
        <f t="shared" si="3"/>
        <v>Mon</v>
      </c>
      <c r="F455" s="15">
        <f t="shared" si="4"/>
        <v>1</v>
      </c>
      <c r="G455" s="16">
        <v>40644.0</v>
      </c>
      <c r="H455" s="14">
        <f t="shared" si="5"/>
        <v>21</v>
      </c>
      <c r="I455" s="7" t="s">
        <v>232</v>
      </c>
      <c r="J455" s="7" t="s">
        <v>771</v>
      </c>
      <c r="K455" s="7" t="str">
        <f>VLOOKUP(J455,countries,2,false)</f>
        <v>Ukraine</v>
      </c>
      <c r="L455" s="7" t="str">
        <f>VLOOKUP($J455,countries,5,false)</f>
        <v>Europe</v>
      </c>
      <c r="M455" s="7" t="str">
        <f>VLOOKUP($J455,countries,6,false)</f>
        <v>Eastern Europe</v>
      </c>
      <c r="N455" s="7">
        <v>2103.0</v>
      </c>
      <c r="O455" s="7" t="str">
        <f>VLOOKUP(N455, products, 2, FALSE)</f>
        <v>Cereal</v>
      </c>
      <c r="P455" s="7" t="s">
        <v>334</v>
      </c>
      <c r="Q455" s="7">
        <v>7778.0</v>
      </c>
      <c r="R455" s="17">
        <v>205.7</v>
      </c>
      <c r="S455" s="17">
        <v>117.11</v>
      </c>
      <c r="U455" s="18">
        <f t="shared" si="6"/>
        <v>1599934.6</v>
      </c>
      <c r="V455" s="18">
        <f t="shared" si="7"/>
        <v>910881.58</v>
      </c>
      <c r="W455" s="19">
        <f t="shared" si="8"/>
        <v>689053.02</v>
      </c>
    </row>
    <row r="456">
      <c r="A456" s="7">
        <v>4.03337991E8</v>
      </c>
      <c r="B456" s="12">
        <v>42658.0</v>
      </c>
      <c r="C456" s="7">
        <f t="shared" si="1"/>
        <v>2016</v>
      </c>
      <c r="D456" s="14" t="str">
        <f t="shared" si="2"/>
        <v>10 - Oct</v>
      </c>
      <c r="E456" s="15" t="str">
        <f t="shared" si="3"/>
        <v>Sat</v>
      </c>
      <c r="F456" s="15">
        <f t="shared" si="4"/>
        <v>6</v>
      </c>
      <c r="G456" s="16">
        <v>42698.0</v>
      </c>
      <c r="H456" s="14">
        <f t="shared" si="5"/>
        <v>40</v>
      </c>
      <c r="I456" s="7" t="s">
        <v>364</v>
      </c>
      <c r="J456" s="7" t="s">
        <v>67</v>
      </c>
      <c r="K456" s="7" t="str">
        <f>VLOOKUP(J456,countries,2,false)</f>
        <v>Andorra</v>
      </c>
      <c r="L456" s="7" t="str">
        <f>VLOOKUP($J456,countries,5,false)</f>
        <v>Europe</v>
      </c>
      <c r="M456" s="7" t="str">
        <f>VLOOKUP($J456,countries,6,false)</f>
        <v>Southern Europe</v>
      </c>
      <c r="N456" s="7">
        <v>5988.0</v>
      </c>
      <c r="O456" s="7" t="str">
        <f>VLOOKUP(N456, products, 2, FALSE)</f>
        <v>Vegetables</v>
      </c>
      <c r="P456" s="7" t="s">
        <v>334</v>
      </c>
      <c r="Q456" s="7">
        <v>5529.0</v>
      </c>
      <c r="R456" s="17">
        <v>154.06</v>
      </c>
      <c r="S456" s="17">
        <v>90.93</v>
      </c>
      <c r="U456" s="18">
        <f t="shared" si="6"/>
        <v>851797.74</v>
      </c>
      <c r="V456" s="18">
        <f t="shared" si="7"/>
        <v>502751.97</v>
      </c>
      <c r="W456" s="19">
        <f t="shared" si="8"/>
        <v>349045.77</v>
      </c>
    </row>
    <row r="457">
      <c r="A457" s="7">
        <v>4.03665006E8</v>
      </c>
      <c r="B457" s="12">
        <v>42385.0</v>
      </c>
      <c r="C457" s="7">
        <f t="shared" si="1"/>
        <v>2016</v>
      </c>
      <c r="D457" s="14" t="str">
        <f t="shared" si="2"/>
        <v>01 - Jan</v>
      </c>
      <c r="E457" s="15" t="str">
        <f t="shared" si="3"/>
        <v>Sat</v>
      </c>
      <c r="F457" s="15">
        <f t="shared" si="4"/>
        <v>6</v>
      </c>
      <c r="G457" s="16">
        <v>42419.0</v>
      </c>
      <c r="H457" s="14">
        <f t="shared" si="5"/>
        <v>34</v>
      </c>
      <c r="I457" s="7" t="s">
        <v>305</v>
      </c>
      <c r="J457" s="7" t="s">
        <v>120</v>
      </c>
      <c r="K457" s="7" t="str">
        <f>VLOOKUP(J457,countries,2,false)</f>
        <v>Belarus</v>
      </c>
      <c r="L457" s="7" t="str">
        <f>VLOOKUP($J457,countries,5,false)</f>
        <v>Europe</v>
      </c>
      <c r="M457" s="7" t="str">
        <f>VLOOKUP($J457,countries,6,false)</f>
        <v>Eastern Europe</v>
      </c>
      <c r="N457" s="7">
        <v>8969.0</v>
      </c>
      <c r="O457" s="7" t="str">
        <f>VLOOKUP(N457, products, 2, FALSE)</f>
        <v>Snacks</v>
      </c>
      <c r="P457" s="7" t="s">
        <v>334</v>
      </c>
      <c r="Q457" s="7">
        <v>2300.0</v>
      </c>
      <c r="R457" s="17">
        <v>152.58</v>
      </c>
      <c r="S457" s="17">
        <v>97.44</v>
      </c>
      <c r="U457" s="18">
        <f t="shared" si="6"/>
        <v>350934</v>
      </c>
      <c r="V457" s="18">
        <f t="shared" si="7"/>
        <v>224112</v>
      </c>
      <c r="W457" s="19">
        <f t="shared" si="8"/>
        <v>126822</v>
      </c>
    </row>
    <row r="458">
      <c r="A458" s="7">
        <v>4.04789817E8</v>
      </c>
      <c r="B458" s="12">
        <v>42219.0</v>
      </c>
      <c r="C458" s="7">
        <f t="shared" si="1"/>
        <v>2015</v>
      </c>
      <c r="D458" s="14" t="str">
        <f t="shared" si="2"/>
        <v>08 - Aug</v>
      </c>
      <c r="E458" s="15" t="str">
        <f t="shared" si="3"/>
        <v>Mon</v>
      </c>
      <c r="F458" s="15">
        <f t="shared" si="4"/>
        <v>1</v>
      </c>
      <c r="G458" s="16">
        <v>42255.0</v>
      </c>
      <c r="H458" s="14">
        <f t="shared" si="5"/>
        <v>36</v>
      </c>
      <c r="I458" s="7" t="s">
        <v>364</v>
      </c>
      <c r="J458" s="7" t="s">
        <v>611</v>
      </c>
      <c r="K458" s="7" t="str">
        <f>VLOOKUP(J458,countries,2,false)</f>
        <v>Portugal</v>
      </c>
      <c r="L458" s="7" t="str">
        <f>VLOOKUP($J458,countries,5,false)</f>
        <v>Europe</v>
      </c>
      <c r="M458" s="7" t="str">
        <f>VLOOKUP($J458,countries,6,false)</f>
        <v>Southern Europe</v>
      </c>
      <c r="N458" s="7">
        <v>7331.0</v>
      </c>
      <c r="O458" s="7" t="str">
        <f>VLOOKUP(N458, products, 2, FALSE)</f>
        <v>Baby Food</v>
      </c>
      <c r="P458" s="7" t="s">
        <v>264</v>
      </c>
      <c r="Q458" s="7">
        <v>5157.0</v>
      </c>
      <c r="R458" s="17">
        <v>255.28</v>
      </c>
      <c r="S458" s="17">
        <v>159.42</v>
      </c>
      <c r="U458" s="18">
        <f t="shared" si="6"/>
        <v>1316478.96</v>
      </c>
      <c r="V458" s="18">
        <f t="shared" si="7"/>
        <v>822128.94</v>
      </c>
      <c r="W458" s="19">
        <f t="shared" si="8"/>
        <v>494350.02</v>
      </c>
    </row>
    <row r="459">
      <c r="A459" s="7">
        <v>4.05986297E8</v>
      </c>
      <c r="B459" s="12">
        <v>41982.0</v>
      </c>
      <c r="C459" s="7">
        <f t="shared" si="1"/>
        <v>2014</v>
      </c>
      <c r="D459" s="14" t="str">
        <f t="shared" si="2"/>
        <v>12 - Dec</v>
      </c>
      <c r="E459" s="15" t="str">
        <f t="shared" si="3"/>
        <v>Tue</v>
      </c>
      <c r="F459" s="15">
        <f t="shared" si="4"/>
        <v>2</v>
      </c>
      <c r="G459" s="16">
        <v>42006.0</v>
      </c>
      <c r="H459" s="14">
        <f t="shared" si="5"/>
        <v>24</v>
      </c>
      <c r="I459" s="7" t="s">
        <v>364</v>
      </c>
      <c r="J459" s="7" t="s">
        <v>319</v>
      </c>
      <c r="K459" s="7" t="str">
        <f>VLOOKUP(J459,countries,2,false)</f>
        <v>Germany</v>
      </c>
      <c r="L459" s="7" t="str">
        <f>VLOOKUP($J459,countries,5,false)</f>
        <v>Europe</v>
      </c>
      <c r="M459" s="7" t="str">
        <f>VLOOKUP($J459,countries,6,false)</f>
        <v>Western Europe</v>
      </c>
      <c r="N459" s="7">
        <v>7331.0</v>
      </c>
      <c r="O459" s="7" t="str">
        <f>VLOOKUP(N459, products, 2, FALSE)</f>
        <v>Baby Food</v>
      </c>
      <c r="P459" s="7" t="s">
        <v>264</v>
      </c>
      <c r="Q459" s="7">
        <v>9222.0</v>
      </c>
      <c r="R459" s="17">
        <v>255.28</v>
      </c>
      <c r="S459" s="17">
        <v>159.42</v>
      </c>
      <c r="U459" s="18">
        <f t="shared" si="6"/>
        <v>2354192.16</v>
      </c>
      <c r="V459" s="18">
        <f t="shared" si="7"/>
        <v>1470171.24</v>
      </c>
      <c r="W459" s="19">
        <f t="shared" si="8"/>
        <v>884020.92</v>
      </c>
    </row>
    <row r="460">
      <c r="A460" s="7">
        <v>4.06270396E8</v>
      </c>
      <c r="B460" s="12">
        <v>42463.0</v>
      </c>
      <c r="C460" s="7">
        <f t="shared" si="1"/>
        <v>2016</v>
      </c>
      <c r="D460" s="14" t="str">
        <f t="shared" si="2"/>
        <v>04 - Apr</v>
      </c>
      <c r="E460" s="15" t="str">
        <f t="shared" si="3"/>
        <v>Sun</v>
      </c>
      <c r="F460" s="15">
        <f t="shared" si="4"/>
        <v>7</v>
      </c>
      <c r="G460" s="16">
        <v>42509.0</v>
      </c>
      <c r="H460" s="14">
        <f t="shared" si="5"/>
        <v>46</v>
      </c>
      <c r="I460" s="7" t="s">
        <v>364</v>
      </c>
      <c r="J460" s="7" t="s">
        <v>623</v>
      </c>
      <c r="K460" s="7" t="str">
        <f>VLOOKUP(J460,countries,2,false)</f>
        <v>Romania</v>
      </c>
      <c r="L460" s="7" t="str">
        <f>VLOOKUP($J460,countries,5,false)</f>
        <v>Europe</v>
      </c>
      <c r="M460" s="7" t="str">
        <f>VLOOKUP($J460,countries,6,false)</f>
        <v>Eastern Europe</v>
      </c>
      <c r="N460" s="7">
        <v>8969.0</v>
      </c>
      <c r="O460" s="7" t="str">
        <f>VLOOKUP(N460, products, 2, FALSE)</f>
        <v>Snacks</v>
      </c>
      <c r="P460" s="7" t="s">
        <v>264</v>
      </c>
      <c r="Q460" s="7">
        <v>3293.0</v>
      </c>
      <c r="R460" s="17">
        <v>152.58</v>
      </c>
      <c r="S460" s="17">
        <v>97.44</v>
      </c>
      <c r="U460" s="18">
        <f t="shared" si="6"/>
        <v>502445.94</v>
      </c>
      <c r="V460" s="18">
        <f t="shared" si="7"/>
        <v>320869.92</v>
      </c>
      <c r="W460" s="19">
        <f t="shared" si="8"/>
        <v>181576.02</v>
      </c>
    </row>
    <row r="461">
      <c r="A461" s="7">
        <v>4.06564366E8</v>
      </c>
      <c r="B461" s="12">
        <v>41858.0</v>
      </c>
      <c r="C461" s="7">
        <f t="shared" si="1"/>
        <v>2014</v>
      </c>
      <c r="D461" s="14" t="str">
        <f t="shared" si="2"/>
        <v>08 - Aug</v>
      </c>
      <c r="E461" s="15" t="str">
        <f t="shared" si="3"/>
        <v>Thu</v>
      </c>
      <c r="F461" s="15">
        <f t="shared" si="4"/>
        <v>4</v>
      </c>
      <c r="G461" s="16">
        <v>41876.0</v>
      </c>
      <c r="H461" s="14">
        <f t="shared" si="5"/>
        <v>18</v>
      </c>
      <c r="I461" s="7" t="s">
        <v>232</v>
      </c>
      <c r="J461" s="7" t="s">
        <v>41</v>
      </c>
      <c r="K461" s="7" t="str">
        <f>VLOOKUP(J461,countries,2,false)</f>
        <v>Albania</v>
      </c>
      <c r="L461" s="7" t="str">
        <f>VLOOKUP($J461,countries,5,false)</f>
        <v>Europe</v>
      </c>
      <c r="M461" s="7" t="str">
        <f>VLOOKUP($J461,countries,6,false)</f>
        <v>Southern Europe</v>
      </c>
      <c r="N461" s="7">
        <v>5988.0</v>
      </c>
      <c r="O461" s="7" t="str">
        <f>VLOOKUP(N461, products, 2, FALSE)</f>
        <v>Vegetables</v>
      </c>
      <c r="P461" s="7" t="s">
        <v>264</v>
      </c>
      <c r="Q461" s="7">
        <v>286.0</v>
      </c>
      <c r="R461" s="17">
        <v>154.06</v>
      </c>
      <c r="S461" s="17">
        <v>90.93</v>
      </c>
      <c r="U461" s="18">
        <f t="shared" si="6"/>
        <v>44061.16</v>
      </c>
      <c r="V461" s="18">
        <f t="shared" si="7"/>
        <v>26005.98</v>
      </c>
      <c r="W461" s="19">
        <f t="shared" si="8"/>
        <v>18055.18</v>
      </c>
    </row>
    <row r="462">
      <c r="A462" s="7">
        <v>4.07220542E8</v>
      </c>
      <c r="B462" s="12">
        <v>42519.0</v>
      </c>
      <c r="C462" s="7">
        <f t="shared" si="1"/>
        <v>2016</v>
      </c>
      <c r="D462" s="14" t="str">
        <f t="shared" si="2"/>
        <v>05 - May</v>
      </c>
      <c r="E462" s="15" t="str">
        <f t="shared" si="3"/>
        <v>Sun</v>
      </c>
      <c r="F462" s="15">
        <f t="shared" si="4"/>
        <v>7</v>
      </c>
      <c r="G462" s="16">
        <v>42555.0</v>
      </c>
      <c r="H462" s="14">
        <f t="shared" si="5"/>
        <v>36</v>
      </c>
      <c r="I462" s="7" t="s">
        <v>364</v>
      </c>
      <c r="J462" s="7" t="s">
        <v>717</v>
      </c>
      <c r="K462" s="7" t="str">
        <f>VLOOKUP(J462,countries,2,false)</f>
        <v>Sweden</v>
      </c>
      <c r="L462" s="7" t="str">
        <f>VLOOKUP($J462,countries,5,false)</f>
        <v>Europe</v>
      </c>
      <c r="M462" s="7" t="str">
        <f>VLOOKUP($J462,countries,6,false)</f>
        <v>Northern Europe</v>
      </c>
      <c r="N462" s="7">
        <v>2103.0</v>
      </c>
      <c r="O462" s="7" t="str">
        <f>VLOOKUP(N462, products, 2, FALSE)</f>
        <v>Cereal</v>
      </c>
      <c r="P462" s="7" t="s">
        <v>264</v>
      </c>
      <c r="Q462" s="7">
        <v>4463.0</v>
      </c>
      <c r="R462" s="17">
        <v>205.7</v>
      </c>
      <c r="S462" s="17">
        <v>117.11</v>
      </c>
      <c r="U462" s="18">
        <f t="shared" si="6"/>
        <v>918039.1</v>
      </c>
      <c r="V462" s="18">
        <f t="shared" si="7"/>
        <v>522661.93</v>
      </c>
      <c r="W462" s="19">
        <f t="shared" si="8"/>
        <v>395377.17</v>
      </c>
    </row>
    <row r="463">
      <c r="A463" s="7">
        <v>4.08540618E8</v>
      </c>
      <c r="B463" s="12">
        <v>41547.0</v>
      </c>
      <c r="C463" s="7">
        <f t="shared" si="1"/>
        <v>2013</v>
      </c>
      <c r="D463" s="14" t="str">
        <f t="shared" si="2"/>
        <v>09 - Sep</v>
      </c>
      <c r="E463" s="15" t="str">
        <f t="shared" si="3"/>
        <v>Mon</v>
      </c>
      <c r="F463" s="15">
        <f t="shared" si="4"/>
        <v>1</v>
      </c>
      <c r="G463" s="16">
        <v>41591.0</v>
      </c>
      <c r="H463" s="14">
        <f t="shared" si="5"/>
        <v>44</v>
      </c>
      <c r="I463" s="7" t="s">
        <v>232</v>
      </c>
      <c r="J463" s="7" t="s">
        <v>656</v>
      </c>
      <c r="K463" s="7" t="str">
        <f>VLOOKUP(J463,countries,2,false)</f>
        <v>San Marino</v>
      </c>
      <c r="L463" s="7" t="str">
        <f>VLOOKUP($J463,countries,5,false)</f>
        <v>Europe</v>
      </c>
      <c r="M463" s="7" t="str">
        <f>VLOOKUP($J463,countries,6,false)</f>
        <v>Southern Europe</v>
      </c>
      <c r="N463" s="7">
        <v>5988.0</v>
      </c>
      <c r="O463" s="7" t="str">
        <f>VLOOKUP(N463, products, 2, FALSE)</f>
        <v>Vegetables</v>
      </c>
      <c r="P463" s="7" t="s">
        <v>334</v>
      </c>
      <c r="Q463" s="7">
        <v>5102.0</v>
      </c>
      <c r="R463" s="17">
        <v>154.06</v>
      </c>
      <c r="S463" s="17">
        <v>90.93</v>
      </c>
      <c r="U463" s="18">
        <f t="shared" si="6"/>
        <v>786014.12</v>
      </c>
      <c r="V463" s="18">
        <f t="shared" si="7"/>
        <v>463924.86</v>
      </c>
      <c r="W463" s="19">
        <f t="shared" si="8"/>
        <v>322089.26</v>
      </c>
    </row>
    <row r="464">
      <c r="A464" s="7">
        <v>4.09112679E8</v>
      </c>
      <c r="B464" s="12">
        <v>41363.0</v>
      </c>
      <c r="C464" s="7">
        <f t="shared" si="1"/>
        <v>2013</v>
      </c>
      <c r="D464" s="14" t="str">
        <f t="shared" si="2"/>
        <v>03 - Mar</v>
      </c>
      <c r="E464" s="15" t="str">
        <f t="shared" si="3"/>
        <v>Sat</v>
      </c>
      <c r="F464" s="15">
        <f t="shared" si="4"/>
        <v>6</v>
      </c>
      <c r="G464" s="16">
        <v>41412.0</v>
      </c>
      <c r="H464" s="14">
        <f t="shared" si="5"/>
        <v>49</v>
      </c>
      <c r="I464" s="7" t="s">
        <v>399</v>
      </c>
      <c r="J464" s="7" t="s">
        <v>365</v>
      </c>
      <c r="K464" s="7" t="str">
        <f>VLOOKUP(J464,countries,2,false)</f>
        <v>Montenegro</v>
      </c>
      <c r="L464" s="7" t="str">
        <f>VLOOKUP($J464,countries,5,false)</f>
        <v>Europe</v>
      </c>
      <c r="M464" s="7" t="str">
        <f>VLOOKUP($J464,countries,6,false)</f>
        <v>Southern Europe</v>
      </c>
      <c r="N464" s="7">
        <v>5988.0</v>
      </c>
      <c r="O464" s="7" t="str">
        <f>VLOOKUP(N464, products, 2, FALSE)</f>
        <v>Vegetables</v>
      </c>
      <c r="P464" s="7" t="s">
        <v>264</v>
      </c>
      <c r="Q464" s="7">
        <v>4388.0</v>
      </c>
      <c r="R464" s="17">
        <v>154.06</v>
      </c>
      <c r="S464" s="17">
        <v>90.93</v>
      </c>
      <c r="U464" s="18">
        <f t="shared" si="6"/>
        <v>676015.28</v>
      </c>
      <c r="V464" s="18">
        <f t="shared" si="7"/>
        <v>399000.84</v>
      </c>
      <c r="W464" s="19">
        <f t="shared" si="8"/>
        <v>277014.44</v>
      </c>
    </row>
    <row r="465">
      <c r="A465" s="7">
        <v>4.09514796E8</v>
      </c>
      <c r="B465" s="12">
        <v>41844.0</v>
      </c>
      <c r="C465" s="7">
        <f t="shared" si="1"/>
        <v>2014</v>
      </c>
      <c r="D465" s="14" t="str">
        <f t="shared" si="2"/>
        <v>07 - Jul</v>
      </c>
      <c r="E465" s="15" t="str">
        <f t="shared" si="3"/>
        <v>Thu</v>
      </c>
      <c r="F465" s="15">
        <f t="shared" si="4"/>
        <v>4</v>
      </c>
      <c r="G465" s="16">
        <v>41889.0</v>
      </c>
      <c r="H465" s="14">
        <f t="shared" si="5"/>
        <v>45</v>
      </c>
      <c r="I465" s="7" t="s">
        <v>364</v>
      </c>
      <c r="J465" s="7" t="s">
        <v>146</v>
      </c>
      <c r="K465" s="7" t="str">
        <f>VLOOKUP(J465,countries,2,false)</f>
        <v>Bosnia and Herzegovina</v>
      </c>
      <c r="L465" s="7" t="str">
        <f>VLOOKUP($J465,countries,5,false)</f>
        <v>Europe</v>
      </c>
      <c r="M465" s="7" t="str">
        <f>VLOOKUP($J465,countries,6,false)</f>
        <v>Southern Europe</v>
      </c>
      <c r="N465" s="7">
        <v>3127.0</v>
      </c>
      <c r="O465" s="7" t="str">
        <f>VLOOKUP(N465, products, 2, FALSE)</f>
        <v>Personal Care</v>
      </c>
      <c r="P465" s="7" t="s">
        <v>264</v>
      </c>
      <c r="Q465" s="7">
        <v>3383.0</v>
      </c>
      <c r="R465" s="17">
        <v>81.73</v>
      </c>
      <c r="S465" s="17">
        <v>56.67</v>
      </c>
      <c r="U465" s="18">
        <f t="shared" si="6"/>
        <v>276492.59</v>
      </c>
      <c r="V465" s="18">
        <f t="shared" si="7"/>
        <v>191714.61</v>
      </c>
      <c r="W465" s="19">
        <f t="shared" si="8"/>
        <v>84777.98</v>
      </c>
    </row>
    <row r="466">
      <c r="A466" s="7">
        <v>4.10229337E8</v>
      </c>
      <c r="B466" s="12">
        <v>42695.0</v>
      </c>
      <c r="C466" s="7">
        <f t="shared" si="1"/>
        <v>2016</v>
      </c>
      <c r="D466" s="14" t="str">
        <f t="shared" si="2"/>
        <v>11 - Nov</v>
      </c>
      <c r="E466" s="15" t="str">
        <f t="shared" si="3"/>
        <v>Mon</v>
      </c>
      <c r="F466" s="15">
        <f t="shared" si="4"/>
        <v>1</v>
      </c>
      <c r="G466" s="16">
        <v>42726.0</v>
      </c>
      <c r="H466" s="14">
        <f t="shared" si="5"/>
        <v>31</v>
      </c>
      <c r="I466" s="7" t="s">
        <v>232</v>
      </c>
      <c r="J466" s="7" t="s">
        <v>611</v>
      </c>
      <c r="K466" s="7" t="str">
        <f>VLOOKUP(J466,countries,2,false)</f>
        <v>Portugal</v>
      </c>
      <c r="L466" s="7" t="str">
        <f>VLOOKUP($J466,countries,5,false)</f>
        <v>Europe</v>
      </c>
      <c r="M466" s="7" t="str">
        <f>VLOOKUP($J466,countries,6,false)</f>
        <v>Southern Europe</v>
      </c>
      <c r="N466" s="7">
        <v>8681.0</v>
      </c>
      <c r="O466" s="7" t="str">
        <f>VLOOKUP(N466, products, 2, FALSE)</f>
        <v>Office Supplies</v>
      </c>
      <c r="P466" s="7" t="s">
        <v>264</v>
      </c>
      <c r="Q466" s="7">
        <v>4832.0</v>
      </c>
      <c r="R466" s="17">
        <v>651.21</v>
      </c>
      <c r="S466" s="17">
        <v>524.96</v>
      </c>
      <c r="U466" s="18">
        <f t="shared" si="6"/>
        <v>3146646.72</v>
      </c>
      <c r="V466" s="18">
        <f t="shared" si="7"/>
        <v>2536606.72</v>
      </c>
      <c r="W466" s="19">
        <f t="shared" si="8"/>
        <v>610040</v>
      </c>
    </row>
    <row r="467">
      <c r="A467" s="7">
        <v>4.10291135E8</v>
      </c>
      <c r="B467" s="12">
        <v>40945.0</v>
      </c>
      <c r="C467" s="7">
        <f t="shared" si="1"/>
        <v>2012</v>
      </c>
      <c r="D467" s="14" t="str">
        <f t="shared" si="2"/>
        <v>02 - Feb</v>
      </c>
      <c r="E467" s="15" t="str">
        <f t="shared" si="3"/>
        <v>Mon</v>
      </c>
      <c r="F467" s="15">
        <f t="shared" si="4"/>
        <v>1</v>
      </c>
      <c r="G467" s="16">
        <v>40961.0</v>
      </c>
      <c r="H467" s="14">
        <f t="shared" si="5"/>
        <v>16</v>
      </c>
      <c r="I467" s="7" t="s">
        <v>364</v>
      </c>
      <c r="J467" s="7" t="s">
        <v>685</v>
      </c>
      <c r="K467" s="7" t="str">
        <f>VLOOKUP(J467,countries,2,false)</f>
        <v>Slovenia</v>
      </c>
      <c r="L467" s="7" t="str">
        <f>VLOOKUP($J467,countries,5,false)</f>
        <v>Europe</v>
      </c>
      <c r="M467" s="7" t="str">
        <f>VLOOKUP($J467,countries,6,false)</f>
        <v>Southern Europe</v>
      </c>
      <c r="N467" s="7">
        <v>3127.0</v>
      </c>
      <c r="O467" s="7" t="str">
        <f>VLOOKUP(N467, products, 2, FALSE)</f>
        <v>Personal Care</v>
      </c>
      <c r="P467" s="7" t="s">
        <v>334</v>
      </c>
      <c r="Q467" s="7">
        <v>3119.0</v>
      </c>
      <c r="R467" s="17">
        <v>81.73</v>
      </c>
      <c r="S467" s="17">
        <v>56.67</v>
      </c>
      <c r="U467" s="18">
        <f t="shared" si="6"/>
        <v>254915.87</v>
      </c>
      <c r="V467" s="18">
        <f t="shared" si="7"/>
        <v>176753.73</v>
      </c>
      <c r="W467" s="19">
        <f t="shared" si="8"/>
        <v>78162.14</v>
      </c>
    </row>
    <row r="468">
      <c r="A468" s="7">
        <v>4.10514724E8</v>
      </c>
      <c r="B468" s="12">
        <v>42795.0</v>
      </c>
      <c r="C468" s="7">
        <f t="shared" si="1"/>
        <v>2017</v>
      </c>
      <c r="D468" s="14" t="str">
        <f t="shared" si="2"/>
        <v>03 - Mar</v>
      </c>
      <c r="E468" s="15" t="str">
        <f t="shared" si="3"/>
        <v>Wed</v>
      </c>
      <c r="F468" s="15">
        <f t="shared" si="4"/>
        <v>3</v>
      </c>
      <c r="G468" s="16">
        <v>42835.0</v>
      </c>
      <c r="H468" s="14">
        <f t="shared" si="5"/>
        <v>40</v>
      </c>
      <c r="I468" s="7" t="s">
        <v>305</v>
      </c>
      <c r="J468" s="7" t="s">
        <v>306</v>
      </c>
      <c r="K468" s="7" t="str">
        <f>VLOOKUP(J468,countries,2,false)</f>
        <v>Serbia</v>
      </c>
      <c r="L468" s="7" t="str">
        <f>VLOOKUP($J468,countries,5,false)</f>
        <v>Europe</v>
      </c>
      <c r="M468" s="7" t="str">
        <f>VLOOKUP($J468,countries,6,false)</f>
        <v>Southern Europe</v>
      </c>
      <c r="N468" s="7">
        <v>8681.0</v>
      </c>
      <c r="O468" s="7" t="str">
        <f>VLOOKUP(N468, products, 2, FALSE)</f>
        <v>Office Supplies</v>
      </c>
      <c r="P468" s="7" t="s">
        <v>334</v>
      </c>
      <c r="Q468" s="7">
        <v>9284.0</v>
      </c>
      <c r="R468" s="17">
        <v>651.21</v>
      </c>
      <c r="S468" s="17">
        <v>524.96</v>
      </c>
      <c r="U468" s="18">
        <f t="shared" si="6"/>
        <v>6045833.64</v>
      </c>
      <c r="V468" s="18">
        <f t="shared" si="7"/>
        <v>4873728.64</v>
      </c>
      <c r="W468" s="19">
        <f t="shared" si="8"/>
        <v>1172105</v>
      </c>
    </row>
    <row r="469">
      <c r="A469" s="7">
        <v>4.10740888E8</v>
      </c>
      <c r="B469" s="12">
        <v>41114.0</v>
      </c>
      <c r="C469" s="7">
        <f t="shared" si="1"/>
        <v>2012</v>
      </c>
      <c r="D469" s="14" t="str">
        <f t="shared" si="2"/>
        <v>07 - Jul</v>
      </c>
      <c r="E469" s="15" t="str">
        <f t="shared" si="3"/>
        <v>Tue</v>
      </c>
      <c r="F469" s="15">
        <f t="shared" si="4"/>
        <v>2</v>
      </c>
      <c r="G469" s="16">
        <v>41153.0</v>
      </c>
      <c r="H469" s="14">
        <f t="shared" si="5"/>
        <v>39</v>
      </c>
      <c r="I469" s="7" t="s">
        <v>399</v>
      </c>
      <c r="J469" s="7" t="s">
        <v>146</v>
      </c>
      <c r="K469" s="7" t="str">
        <f>VLOOKUP(J469,countries,2,false)</f>
        <v>Bosnia and Herzegovina</v>
      </c>
      <c r="L469" s="7" t="str">
        <f>VLOOKUP($J469,countries,5,false)</f>
        <v>Europe</v>
      </c>
      <c r="M469" s="7" t="str">
        <f>VLOOKUP($J469,countries,6,false)</f>
        <v>Southern Europe</v>
      </c>
      <c r="N469" s="7">
        <v>8875.0</v>
      </c>
      <c r="O469" s="7" t="str">
        <f>VLOOKUP(N469, products, 2, FALSE)</f>
        <v>Meat</v>
      </c>
      <c r="P469" s="7" t="s">
        <v>264</v>
      </c>
      <c r="Q469" s="7">
        <v>6211.0</v>
      </c>
      <c r="R469" s="17">
        <v>421.89</v>
      </c>
      <c r="S469" s="17">
        <v>364.69</v>
      </c>
      <c r="U469" s="18">
        <f t="shared" si="6"/>
        <v>2620358.79</v>
      </c>
      <c r="V469" s="18">
        <f t="shared" si="7"/>
        <v>2265089.59</v>
      </c>
      <c r="W469" s="19">
        <f t="shared" si="8"/>
        <v>355269.2</v>
      </c>
    </row>
    <row r="470">
      <c r="A470" s="7">
        <v>4.12215459E8</v>
      </c>
      <c r="B470" s="12">
        <v>41298.0</v>
      </c>
      <c r="C470" s="7">
        <f t="shared" si="1"/>
        <v>2013</v>
      </c>
      <c r="D470" s="14" t="str">
        <f t="shared" si="2"/>
        <v>01 - Jan</v>
      </c>
      <c r="E470" s="15" t="str">
        <f t="shared" si="3"/>
        <v>Thu</v>
      </c>
      <c r="F470" s="15">
        <f t="shared" si="4"/>
        <v>4</v>
      </c>
      <c r="G470" s="16">
        <v>41305.0</v>
      </c>
      <c r="H470" s="14">
        <f t="shared" si="5"/>
        <v>7</v>
      </c>
      <c r="I470" s="7" t="s">
        <v>399</v>
      </c>
      <c r="J470" s="7" t="s">
        <v>328</v>
      </c>
      <c r="K470" s="7" t="str">
        <f>VLOOKUP(J470,countries,2,false)</f>
        <v>Greece</v>
      </c>
      <c r="L470" s="7" t="str">
        <f>VLOOKUP($J470,countries,5,false)</f>
        <v>Europe</v>
      </c>
      <c r="M470" s="7" t="str">
        <f>VLOOKUP($J470,countries,6,false)</f>
        <v>Southern Europe</v>
      </c>
      <c r="N470" s="7">
        <v>2103.0</v>
      </c>
      <c r="O470" s="7" t="str">
        <f>VLOOKUP(N470, products, 2, FALSE)</f>
        <v>Cereal</v>
      </c>
      <c r="P470" s="7" t="s">
        <v>264</v>
      </c>
      <c r="Q470" s="7">
        <v>2569.0</v>
      </c>
      <c r="R470" s="17">
        <v>205.7</v>
      </c>
      <c r="S470" s="17">
        <v>117.11</v>
      </c>
      <c r="U470" s="18">
        <f t="shared" si="6"/>
        <v>528443.3</v>
      </c>
      <c r="V470" s="18">
        <f t="shared" si="7"/>
        <v>300855.59</v>
      </c>
      <c r="W470" s="19">
        <f t="shared" si="8"/>
        <v>227587.71</v>
      </c>
    </row>
    <row r="471">
      <c r="A471" s="7">
        <v>4.12416303E8</v>
      </c>
      <c r="B471" s="12">
        <v>42524.0</v>
      </c>
      <c r="C471" s="7">
        <f t="shared" si="1"/>
        <v>2016</v>
      </c>
      <c r="D471" s="14" t="str">
        <f t="shared" si="2"/>
        <v>06 - Jun</v>
      </c>
      <c r="E471" s="15" t="str">
        <f t="shared" si="3"/>
        <v>Fri</v>
      </c>
      <c r="F471" s="15">
        <f t="shared" si="4"/>
        <v>5</v>
      </c>
      <c r="G471" s="16">
        <v>42532.0</v>
      </c>
      <c r="H471" s="14">
        <f t="shared" si="5"/>
        <v>8</v>
      </c>
      <c r="I471" s="7" t="s">
        <v>232</v>
      </c>
      <c r="J471" s="7" t="s">
        <v>656</v>
      </c>
      <c r="K471" s="7" t="str">
        <f>VLOOKUP(J471,countries,2,false)</f>
        <v>San Marino</v>
      </c>
      <c r="L471" s="7" t="str">
        <f>VLOOKUP($J471,countries,5,false)</f>
        <v>Europe</v>
      </c>
      <c r="M471" s="7" t="str">
        <f>VLOOKUP($J471,countries,6,false)</f>
        <v>Southern Europe</v>
      </c>
      <c r="N471" s="7">
        <v>7331.0</v>
      </c>
      <c r="O471" s="7" t="str">
        <f>VLOOKUP(N471, products, 2, FALSE)</f>
        <v>Baby Food</v>
      </c>
      <c r="P471" s="7" t="s">
        <v>334</v>
      </c>
      <c r="Q471" s="7">
        <v>2004.0</v>
      </c>
      <c r="R471" s="17">
        <v>255.28</v>
      </c>
      <c r="S471" s="17">
        <v>159.42</v>
      </c>
      <c r="U471" s="18">
        <f t="shared" si="6"/>
        <v>511581.12</v>
      </c>
      <c r="V471" s="18">
        <f t="shared" si="7"/>
        <v>319477.68</v>
      </c>
      <c r="W471" s="19">
        <f t="shared" si="8"/>
        <v>192103.44</v>
      </c>
    </row>
    <row r="472">
      <c r="A472" s="7">
        <v>4.13078916E8</v>
      </c>
      <c r="B472" s="12">
        <v>41274.0</v>
      </c>
      <c r="C472" s="7">
        <f t="shared" si="1"/>
        <v>2012</v>
      </c>
      <c r="D472" s="14" t="str">
        <f t="shared" si="2"/>
        <v>12 - Dec</v>
      </c>
      <c r="E472" s="15" t="str">
        <f t="shared" si="3"/>
        <v>Mon</v>
      </c>
      <c r="F472" s="15">
        <f t="shared" si="4"/>
        <v>1</v>
      </c>
      <c r="G472" s="16">
        <v>41285.0</v>
      </c>
      <c r="H472" s="14">
        <f t="shared" si="5"/>
        <v>11</v>
      </c>
      <c r="I472" s="7" t="s">
        <v>364</v>
      </c>
      <c r="J472" s="7" t="s">
        <v>120</v>
      </c>
      <c r="K472" s="7" t="str">
        <f>VLOOKUP(J472,countries,2,false)</f>
        <v>Belarus</v>
      </c>
      <c r="L472" s="7" t="str">
        <f>VLOOKUP($J472,countries,5,false)</f>
        <v>Europe</v>
      </c>
      <c r="M472" s="7" t="str">
        <f>VLOOKUP($J472,countries,6,false)</f>
        <v>Eastern Europe</v>
      </c>
      <c r="N472" s="7">
        <v>5988.0</v>
      </c>
      <c r="O472" s="7" t="str">
        <f>VLOOKUP(N472, products, 2, FALSE)</f>
        <v>Vegetables</v>
      </c>
      <c r="P472" s="7" t="s">
        <v>264</v>
      </c>
      <c r="Q472" s="7">
        <v>8086.0</v>
      </c>
      <c r="R472" s="17">
        <v>154.06</v>
      </c>
      <c r="S472" s="17">
        <v>90.93</v>
      </c>
      <c r="U472" s="18">
        <f t="shared" si="6"/>
        <v>1245729.16</v>
      </c>
      <c r="V472" s="18">
        <f t="shared" si="7"/>
        <v>735259.98</v>
      </c>
      <c r="W472" s="19">
        <f t="shared" si="8"/>
        <v>510469.18</v>
      </c>
    </row>
    <row r="473">
      <c r="A473" s="7">
        <v>4.13245427E8</v>
      </c>
      <c r="B473" s="12">
        <v>42550.0</v>
      </c>
      <c r="C473" s="7">
        <f t="shared" si="1"/>
        <v>2016</v>
      </c>
      <c r="D473" s="14" t="str">
        <f t="shared" si="2"/>
        <v>06 - Jun</v>
      </c>
      <c r="E473" s="15" t="str">
        <f t="shared" si="3"/>
        <v>Wed</v>
      </c>
      <c r="F473" s="15">
        <f t="shared" si="4"/>
        <v>3</v>
      </c>
      <c r="G473" s="16">
        <v>42553.0</v>
      </c>
      <c r="H473" s="14">
        <f t="shared" si="5"/>
        <v>3</v>
      </c>
      <c r="I473" s="7" t="s">
        <v>305</v>
      </c>
      <c r="J473" s="7" t="s">
        <v>67</v>
      </c>
      <c r="K473" s="7" t="str">
        <f>VLOOKUP(J473,countries,2,false)</f>
        <v>Andorra</v>
      </c>
      <c r="L473" s="7" t="str">
        <f>VLOOKUP($J473,countries,5,false)</f>
        <v>Europe</v>
      </c>
      <c r="M473" s="7" t="str">
        <f>VLOOKUP($J473,countries,6,false)</f>
        <v>Southern Europe</v>
      </c>
      <c r="N473" s="7">
        <v>4594.0</v>
      </c>
      <c r="O473" s="7" t="str">
        <f>VLOOKUP(N473, products, 2, FALSE)</f>
        <v>Fruits</v>
      </c>
      <c r="P473" s="7" t="s">
        <v>334</v>
      </c>
      <c r="Q473" s="7">
        <v>7360.0</v>
      </c>
      <c r="R473" s="17">
        <v>9.33</v>
      </c>
      <c r="S473" s="17">
        <v>6.92</v>
      </c>
      <c r="U473" s="18">
        <f t="shared" si="6"/>
        <v>68668.8</v>
      </c>
      <c r="V473" s="18">
        <f t="shared" si="7"/>
        <v>50931.2</v>
      </c>
      <c r="W473" s="19">
        <f t="shared" si="8"/>
        <v>17737.6</v>
      </c>
    </row>
    <row r="474">
      <c r="A474" s="7">
        <v>4.13951814E8</v>
      </c>
      <c r="B474" s="12">
        <v>42134.0</v>
      </c>
      <c r="C474" s="7">
        <f t="shared" si="1"/>
        <v>2015</v>
      </c>
      <c r="D474" s="14" t="str">
        <f t="shared" si="2"/>
        <v>05 - May</v>
      </c>
      <c r="E474" s="15" t="str">
        <f t="shared" si="3"/>
        <v>Sun</v>
      </c>
      <c r="F474" s="15">
        <f t="shared" si="4"/>
        <v>7</v>
      </c>
      <c r="G474" s="16">
        <v>42155.0</v>
      </c>
      <c r="H474" s="14">
        <f t="shared" si="5"/>
        <v>21</v>
      </c>
      <c r="I474" s="7" t="s">
        <v>305</v>
      </c>
      <c r="J474" s="7" t="s">
        <v>101</v>
      </c>
      <c r="K474" s="7" t="str">
        <f>VLOOKUP(J474,countries,2,false)</f>
        <v>Austria</v>
      </c>
      <c r="L474" s="7" t="str">
        <f>VLOOKUP($J474,countries,5,false)</f>
        <v>Europe</v>
      </c>
      <c r="M474" s="7" t="str">
        <f>VLOOKUP($J474,countries,6,false)</f>
        <v>Western Europe</v>
      </c>
      <c r="N474" s="7">
        <v>1270.0</v>
      </c>
      <c r="O474" s="7" t="str">
        <f>VLOOKUP(N474, products, 2, FALSE)</f>
        <v>Beverages</v>
      </c>
      <c r="P474" s="7" t="s">
        <v>334</v>
      </c>
      <c r="Q474" s="7">
        <v>6395.0</v>
      </c>
      <c r="R474" s="17">
        <v>47.45</v>
      </c>
      <c r="S474" s="17">
        <v>31.79</v>
      </c>
      <c r="U474" s="18">
        <f t="shared" si="6"/>
        <v>303442.75</v>
      </c>
      <c r="V474" s="18">
        <f t="shared" si="7"/>
        <v>203297.05</v>
      </c>
      <c r="W474" s="19">
        <f t="shared" si="8"/>
        <v>100145.7</v>
      </c>
    </row>
    <row r="475">
      <c r="A475" s="7">
        <v>4.14359509E8</v>
      </c>
      <c r="B475" s="12">
        <v>41881.0</v>
      </c>
      <c r="C475" s="7">
        <f t="shared" si="1"/>
        <v>2014</v>
      </c>
      <c r="D475" s="14" t="str">
        <f t="shared" si="2"/>
        <v>08 - Aug</v>
      </c>
      <c r="E475" s="15" t="str">
        <f t="shared" si="3"/>
        <v>Sat</v>
      </c>
      <c r="F475" s="15">
        <f t="shared" si="4"/>
        <v>6</v>
      </c>
      <c r="G475" s="16">
        <v>41893.0</v>
      </c>
      <c r="H475" s="14">
        <f t="shared" si="5"/>
        <v>12</v>
      </c>
      <c r="I475" s="7" t="s">
        <v>305</v>
      </c>
      <c r="J475" s="7" t="s">
        <v>623</v>
      </c>
      <c r="K475" s="7" t="str">
        <f>VLOOKUP(J475,countries,2,false)</f>
        <v>Romania</v>
      </c>
      <c r="L475" s="7" t="str">
        <f>VLOOKUP($J475,countries,5,false)</f>
        <v>Europe</v>
      </c>
      <c r="M475" s="7" t="str">
        <f>VLOOKUP($J475,countries,6,false)</f>
        <v>Eastern Europe</v>
      </c>
      <c r="N475" s="7">
        <v>7331.0</v>
      </c>
      <c r="O475" s="7" t="str">
        <f>VLOOKUP(N475, products, 2, FALSE)</f>
        <v>Baby Food</v>
      </c>
      <c r="P475" s="7" t="s">
        <v>334</v>
      </c>
      <c r="Q475" s="7">
        <v>7042.0</v>
      </c>
      <c r="R475" s="17">
        <v>255.28</v>
      </c>
      <c r="S475" s="17">
        <v>159.42</v>
      </c>
      <c r="U475" s="18">
        <f t="shared" si="6"/>
        <v>1797681.76</v>
      </c>
      <c r="V475" s="18">
        <f t="shared" si="7"/>
        <v>1122635.64</v>
      </c>
      <c r="W475" s="19">
        <f t="shared" si="8"/>
        <v>675046.12</v>
      </c>
    </row>
    <row r="476">
      <c r="A476" s="7">
        <v>4.14579665E8</v>
      </c>
      <c r="B476" s="12">
        <v>42906.0</v>
      </c>
      <c r="C476" s="7">
        <f t="shared" si="1"/>
        <v>2017</v>
      </c>
      <c r="D476" s="14" t="str">
        <f t="shared" si="2"/>
        <v>06 - Jun</v>
      </c>
      <c r="E476" s="15" t="str">
        <f t="shared" si="3"/>
        <v>Tue</v>
      </c>
      <c r="F476" s="15">
        <f t="shared" si="4"/>
        <v>2</v>
      </c>
      <c r="G476" s="16">
        <v>42926.0</v>
      </c>
      <c r="H476" s="14">
        <f t="shared" si="5"/>
        <v>20</v>
      </c>
      <c r="I476" s="7" t="s">
        <v>399</v>
      </c>
      <c r="J476" s="7" t="s">
        <v>293</v>
      </c>
      <c r="K476" s="7" t="str">
        <f>VLOOKUP(J476,countries,2,false)</f>
        <v>Finland</v>
      </c>
      <c r="L476" s="7" t="str">
        <f>VLOOKUP($J476,countries,5,false)</f>
        <v>Europe</v>
      </c>
      <c r="M476" s="7" t="str">
        <f>VLOOKUP($J476,countries,6,false)</f>
        <v>Northern Europe</v>
      </c>
      <c r="N476" s="7">
        <v>8969.0</v>
      </c>
      <c r="O476" s="7" t="str">
        <f>VLOOKUP(N476, products, 2, FALSE)</f>
        <v>Snacks</v>
      </c>
      <c r="P476" s="7" t="s">
        <v>264</v>
      </c>
      <c r="Q476" s="7">
        <v>2191.0</v>
      </c>
      <c r="R476" s="17">
        <v>152.58</v>
      </c>
      <c r="S476" s="17">
        <v>97.44</v>
      </c>
      <c r="U476" s="18">
        <f t="shared" si="6"/>
        <v>334302.78</v>
      </c>
      <c r="V476" s="18">
        <f t="shared" si="7"/>
        <v>213491.04</v>
      </c>
      <c r="W476" s="19">
        <f t="shared" si="8"/>
        <v>120811.74</v>
      </c>
    </row>
    <row r="477">
      <c r="A477" s="7">
        <v>4.15837943E8</v>
      </c>
      <c r="B477" s="12">
        <v>40918.0</v>
      </c>
      <c r="C477" s="7">
        <f t="shared" si="1"/>
        <v>2012</v>
      </c>
      <c r="D477" s="14" t="str">
        <f t="shared" si="2"/>
        <v>01 - Jan</v>
      </c>
      <c r="E477" s="15" t="str">
        <f t="shared" si="3"/>
        <v>Tue</v>
      </c>
      <c r="F477" s="15">
        <f t="shared" si="4"/>
        <v>2</v>
      </c>
      <c r="G477" s="16">
        <v>40962.0</v>
      </c>
      <c r="H477" s="14">
        <f t="shared" si="5"/>
        <v>44</v>
      </c>
      <c r="I477" s="7" t="s">
        <v>232</v>
      </c>
      <c r="J477" s="7" t="s">
        <v>67</v>
      </c>
      <c r="K477" s="7" t="str">
        <f>VLOOKUP(J477,countries,2,false)</f>
        <v>Andorra</v>
      </c>
      <c r="L477" s="7" t="str">
        <f>VLOOKUP($J477,countries,5,false)</f>
        <v>Europe</v>
      </c>
      <c r="M477" s="7" t="str">
        <f>VLOOKUP($J477,countries,6,false)</f>
        <v>Southern Europe</v>
      </c>
      <c r="N477" s="7">
        <v>7331.0</v>
      </c>
      <c r="O477" s="7" t="str">
        <f>VLOOKUP(N477, products, 2, FALSE)</f>
        <v>Baby Food</v>
      </c>
      <c r="P477" s="7" t="s">
        <v>334</v>
      </c>
      <c r="Q477" s="7">
        <v>4543.0</v>
      </c>
      <c r="R477" s="17">
        <v>255.28</v>
      </c>
      <c r="S477" s="17">
        <v>159.42</v>
      </c>
      <c r="U477" s="18">
        <f t="shared" si="6"/>
        <v>1159737.04</v>
      </c>
      <c r="V477" s="18">
        <f t="shared" si="7"/>
        <v>724245.06</v>
      </c>
      <c r="W477" s="19">
        <f t="shared" si="8"/>
        <v>435491.98</v>
      </c>
    </row>
    <row r="478">
      <c r="A478" s="7">
        <v>4.16682088E8</v>
      </c>
      <c r="B478" s="12">
        <v>41095.0</v>
      </c>
      <c r="C478" s="7">
        <f t="shared" si="1"/>
        <v>2012</v>
      </c>
      <c r="D478" s="14" t="str">
        <f t="shared" si="2"/>
        <v>07 - Jul</v>
      </c>
      <c r="E478" s="15" t="str">
        <f t="shared" si="3"/>
        <v>Thu</v>
      </c>
      <c r="F478" s="15">
        <f t="shared" si="4"/>
        <v>4</v>
      </c>
      <c r="G478" s="16">
        <v>41135.0</v>
      </c>
      <c r="H478" s="14">
        <f t="shared" si="5"/>
        <v>40</v>
      </c>
      <c r="I478" s="7" t="s">
        <v>399</v>
      </c>
      <c r="J478" s="7" t="s">
        <v>233</v>
      </c>
      <c r="K478" s="7" t="str">
        <f>VLOOKUP(J478,countries,2,false)</f>
        <v>Norway</v>
      </c>
      <c r="L478" s="7" t="str">
        <f>VLOOKUP($J478,countries,5,false)</f>
        <v>Europe</v>
      </c>
      <c r="M478" s="7" t="str">
        <f>VLOOKUP($J478,countries,6,false)</f>
        <v>Northern Europe</v>
      </c>
      <c r="N478" s="7">
        <v>5988.0</v>
      </c>
      <c r="O478" s="7" t="str">
        <f>VLOOKUP(N478, products, 2, FALSE)</f>
        <v>Vegetables</v>
      </c>
      <c r="P478" s="7" t="s">
        <v>334</v>
      </c>
      <c r="Q478" s="7">
        <v>4344.0</v>
      </c>
      <c r="R478" s="17">
        <v>154.06</v>
      </c>
      <c r="S478" s="17">
        <v>90.93</v>
      </c>
      <c r="U478" s="18">
        <f t="shared" si="6"/>
        <v>669236.64</v>
      </c>
      <c r="V478" s="18">
        <f t="shared" si="7"/>
        <v>394999.92</v>
      </c>
      <c r="W478" s="19">
        <f t="shared" si="8"/>
        <v>274236.72</v>
      </c>
    </row>
    <row r="479">
      <c r="A479" s="7">
        <v>4.16953313E8</v>
      </c>
      <c r="B479" s="12">
        <v>42633.0</v>
      </c>
      <c r="C479" s="7">
        <f t="shared" si="1"/>
        <v>2016</v>
      </c>
      <c r="D479" s="14" t="str">
        <f t="shared" si="2"/>
        <v>09 - Sep</v>
      </c>
      <c r="E479" s="15" t="str">
        <f t="shared" si="3"/>
        <v>Tue</v>
      </c>
      <c r="F479" s="15">
        <f t="shared" si="4"/>
        <v>2</v>
      </c>
      <c r="G479" s="16">
        <v>42672.0</v>
      </c>
      <c r="H479" s="14">
        <f t="shared" si="5"/>
        <v>39</v>
      </c>
      <c r="I479" s="7" t="s">
        <v>399</v>
      </c>
      <c r="J479" s="7" t="s">
        <v>396</v>
      </c>
      <c r="K479" s="7" t="str">
        <f>VLOOKUP(J479,countries,2,false)</f>
        <v>Ireland</v>
      </c>
      <c r="L479" s="7" t="str">
        <f>VLOOKUP($J479,countries,5,false)</f>
        <v>Europe</v>
      </c>
      <c r="M479" s="7" t="str">
        <f>VLOOKUP($J479,countries,6,false)</f>
        <v>Northern Europe</v>
      </c>
      <c r="N479" s="7">
        <v>1270.0</v>
      </c>
      <c r="O479" s="7" t="str">
        <f>VLOOKUP(N479, products, 2, FALSE)</f>
        <v>Beverages</v>
      </c>
      <c r="P479" s="7" t="s">
        <v>334</v>
      </c>
      <c r="Q479" s="7">
        <v>4606.0</v>
      </c>
      <c r="R479" s="17">
        <v>47.45</v>
      </c>
      <c r="S479" s="17">
        <v>31.79</v>
      </c>
      <c r="U479" s="18">
        <f t="shared" si="6"/>
        <v>218554.7</v>
      </c>
      <c r="V479" s="18">
        <f t="shared" si="7"/>
        <v>146424.74</v>
      </c>
      <c r="W479" s="19">
        <f t="shared" si="8"/>
        <v>72129.96</v>
      </c>
    </row>
    <row r="480">
      <c r="A480" s="7">
        <v>4.18404281E8</v>
      </c>
      <c r="B480" s="12">
        <v>40604.0</v>
      </c>
      <c r="C480" s="7">
        <f t="shared" si="1"/>
        <v>2011</v>
      </c>
      <c r="D480" s="14" t="str">
        <f t="shared" si="2"/>
        <v>03 - Mar</v>
      </c>
      <c r="E480" s="15" t="str">
        <f t="shared" si="3"/>
        <v>Wed</v>
      </c>
      <c r="F480" s="15">
        <f t="shared" si="4"/>
        <v>3</v>
      </c>
      <c r="G480" s="16">
        <v>40648.0</v>
      </c>
      <c r="H480" s="14">
        <f t="shared" si="5"/>
        <v>44</v>
      </c>
      <c r="I480" s="7" t="s">
        <v>232</v>
      </c>
      <c r="J480" s="7" t="s">
        <v>90</v>
      </c>
      <c r="K480" s="7" t="str">
        <f>VLOOKUP(J480,countries,2,false)</f>
        <v>Armenia</v>
      </c>
      <c r="L480" s="7" t="str">
        <f>VLOOKUP($J480,countries,5,false)</f>
        <v>Asia</v>
      </c>
      <c r="M480" s="7" t="str">
        <f>VLOOKUP($J480,countries,6,false)</f>
        <v>Western Asia</v>
      </c>
      <c r="N480" s="7">
        <v>8969.0</v>
      </c>
      <c r="O480" s="7" t="str">
        <f>VLOOKUP(N480, products, 2, FALSE)</f>
        <v>Snacks</v>
      </c>
      <c r="P480" s="7" t="s">
        <v>334</v>
      </c>
      <c r="Q480" s="7">
        <v>3979.0</v>
      </c>
      <c r="R480" s="17">
        <v>152.58</v>
      </c>
      <c r="S480" s="17">
        <v>97.44</v>
      </c>
      <c r="U480" s="18">
        <f t="shared" si="6"/>
        <v>607115.82</v>
      </c>
      <c r="V480" s="18">
        <f t="shared" si="7"/>
        <v>387713.76</v>
      </c>
      <c r="W480" s="19">
        <f t="shared" si="8"/>
        <v>219402.06</v>
      </c>
    </row>
    <row r="481">
      <c r="A481" s="7">
        <v>4.20875346E8</v>
      </c>
      <c r="B481" s="12">
        <v>40914.0</v>
      </c>
      <c r="C481" s="7">
        <f t="shared" si="1"/>
        <v>2012</v>
      </c>
      <c r="D481" s="14" t="str">
        <f t="shared" si="2"/>
        <v>01 - Jan</v>
      </c>
      <c r="E481" s="15" t="str">
        <f t="shared" si="3"/>
        <v>Fri</v>
      </c>
      <c r="F481" s="15">
        <f t="shared" si="4"/>
        <v>5</v>
      </c>
      <c r="G481" s="16">
        <v>40957.0</v>
      </c>
      <c r="H481" s="14">
        <f t="shared" si="5"/>
        <v>43</v>
      </c>
      <c r="I481" s="7" t="s">
        <v>364</v>
      </c>
      <c r="J481" s="7" t="s">
        <v>465</v>
      </c>
      <c r="K481" s="7" t="str">
        <f>VLOOKUP(J481,countries,2,false)</f>
        <v>Lithuania</v>
      </c>
      <c r="L481" s="7" t="str">
        <f>VLOOKUP($J481,countries,5,false)</f>
        <v>Europe</v>
      </c>
      <c r="M481" s="7" t="str">
        <f>VLOOKUP($J481,countries,6,false)</f>
        <v>Northern Europe</v>
      </c>
      <c r="N481" s="7">
        <v>8293.0</v>
      </c>
      <c r="O481" s="7" t="str">
        <f>VLOOKUP(N481, products, 2, FALSE)</f>
        <v>Cosmetics</v>
      </c>
      <c r="P481" s="7" t="s">
        <v>334</v>
      </c>
      <c r="Q481" s="7">
        <v>5223.0</v>
      </c>
      <c r="R481" s="17">
        <v>437.2</v>
      </c>
      <c r="S481" s="17">
        <v>263.33</v>
      </c>
      <c r="U481" s="18">
        <f t="shared" si="6"/>
        <v>2283495.6</v>
      </c>
      <c r="V481" s="18">
        <f t="shared" si="7"/>
        <v>1375372.59</v>
      </c>
      <c r="W481" s="19">
        <f t="shared" si="8"/>
        <v>908123.01</v>
      </c>
    </row>
    <row r="482">
      <c r="A482" s="7">
        <v>4.21456849E8</v>
      </c>
      <c r="B482" s="12">
        <v>41615.0</v>
      </c>
      <c r="C482" s="7">
        <f t="shared" si="1"/>
        <v>2013</v>
      </c>
      <c r="D482" s="14" t="str">
        <f t="shared" si="2"/>
        <v>12 - Dec</v>
      </c>
      <c r="E482" s="15" t="str">
        <f t="shared" si="3"/>
        <v>Sat</v>
      </c>
      <c r="F482" s="15">
        <f t="shared" si="4"/>
        <v>6</v>
      </c>
      <c r="G482" s="16">
        <v>41618.0</v>
      </c>
      <c r="H482" s="14">
        <f t="shared" si="5"/>
        <v>3</v>
      </c>
      <c r="I482" s="7" t="s">
        <v>232</v>
      </c>
      <c r="J482" s="7" t="s">
        <v>348</v>
      </c>
      <c r="K482" s="7" t="s">
        <v>348</v>
      </c>
      <c r="L482" s="7" t="s">
        <v>348</v>
      </c>
      <c r="M482" s="7" t="s">
        <v>348</v>
      </c>
      <c r="N482" s="7">
        <v>8875.0</v>
      </c>
      <c r="O482" s="7" t="str">
        <f>VLOOKUP(N482, products, 2, FALSE)</f>
        <v>Meat</v>
      </c>
      <c r="P482" s="7" t="s">
        <v>264</v>
      </c>
      <c r="Q482" s="7">
        <v>7302.0</v>
      </c>
      <c r="R482" s="17">
        <v>421.89</v>
      </c>
      <c r="S482" s="17">
        <v>364.69</v>
      </c>
      <c r="U482" s="18">
        <f t="shared" si="6"/>
        <v>3080640.78</v>
      </c>
      <c r="V482" s="18">
        <f t="shared" si="7"/>
        <v>2662966.38</v>
      </c>
      <c r="W482" s="19">
        <f t="shared" si="8"/>
        <v>417674.4</v>
      </c>
    </row>
    <row r="483">
      <c r="A483" s="7">
        <v>4.21660268E8</v>
      </c>
      <c r="B483" s="12">
        <v>42077.0</v>
      </c>
      <c r="C483" s="7">
        <f t="shared" si="1"/>
        <v>2015</v>
      </c>
      <c r="D483" s="14" t="str">
        <f t="shared" si="2"/>
        <v>03 - Mar</v>
      </c>
      <c r="E483" s="15" t="str">
        <f t="shared" si="3"/>
        <v>Sat</v>
      </c>
      <c r="F483" s="15">
        <f t="shared" si="4"/>
        <v>6</v>
      </c>
      <c r="G483" s="16">
        <v>42105.0</v>
      </c>
      <c r="H483" s="14">
        <f t="shared" si="5"/>
        <v>28</v>
      </c>
      <c r="I483" s="7" t="s">
        <v>305</v>
      </c>
      <c r="J483" s="7" t="s">
        <v>396</v>
      </c>
      <c r="K483" s="7" t="str">
        <f>VLOOKUP(J483,countries,2,false)</f>
        <v>Ireland</v>
      </c>
      <c r="L483" s="7" t="str">
        <f>VLOOKUP($J483,countries,5,false)</f>
        <v>Europe</v>
      </c>
      <c r="M483" s="7" t="str">
        <f>VLOOKUP($J483,countries,6,false)</f>
        <v>Northern Europe</v>
      </c>
      <c r="N483" s="7">
        <v>7940.0</v>
      </c>
      <c r="O483" s="7" t="str">
        <f>VLOOKUP(N483, products, 2, FALSE)</f>
        <v>Household</v>
      </c>
      <c r="P483" s="7" t="s">
        <v>334</v>
      </c>
      <c r="Q483" s="7">
        <v>7498.0</v>
      </c>
      <c r="R483" s="17">
        <v>668.27</v>
      </c>
      <c r="S483" s="17">
        <v>502.54</v>
      </c>
      <c r="U483" s="18">
        <f t="shared" si="6"/>
        <v>5010688.46</v>
      </c>
      <c r="V483" s="18">
        <f t="shared" si="7"/>
        <v>3768044.92</v>
      </c>
      <c r="W483" s="19">
        <f t="shared" si="8"/>
        <v>1242643.54</v>
      </c>
    </row>
    <row r="484">
      <c r="A484" s="7">
        <v>4.22568786E8</v>
      </c>
      <c r="B484" s="12">
        <v>42505.0</v>
      </c>
      <c r="C484" s="7">
        <f t="shared" si="1"/>
        <v>2016</v>
      </c>
      <c r="D484" s="14" t="str">
        <f t="shared" si="2"/>
        <v>05 - May</v>
      </c>
      <c r="E484" s="15" t="str">
        <f t="shared" si="3"/>
        <v>Sun</v>
      </c>
      <c r="F484" s="15">
        <f t="shared" si="4"/>
        <v>7</v>
      </c>
      <c r="G484" s="16">
        <v>42538.0</v>
      </c>
      <c r="H484" s="14">
        <f t="shared" si="5"/>
        <v>33</v>
      </c>
      <c r="I484" s="7" t="s">
        <v>399</v>
      </c>
      <c r="J484" s="7" t="s">
        <v>489</v>
      </c>
      <c r="K484" s="7" t="str">
        <f>VLOOKUP(J484,countries,2,false)</f>
        <v>Malta</v>
      </c>
      <c r="L484" s="7" t="str">
        <f>VLOOKUP($J484,countries,5,false)</f>
        <v>Europe</v>
      </c>
      <c r="M484" s="7" t="str">
        <f>VLOOKUP($J484,countries,6,false)</f>
        <v>Southern Europe</v>
      </c>
      <c r="N484" s="7">
        <v>8875.0</v>
      </c>
      <c r="O484" s="7" t="str">
        <f>VLOOKUP(N484, products, 2, FALSE)</f>
        <v>Meat</v>
      </c>
      <c r="P484" s="7" t="s">
        <v>264</v>
      </c>
      <c r="Q484" s="7">
        <v>6349.0</v>
      </c>
      <c r="R484" s="17">
        <v>421.89</v>
      </c>
      <c r="S484" s="17">
        <v>364.69</v>
      </c>
      <c r="U484" s="18">
        <f t="shared" si="6"/>
        <v>2678579.61</v>
      </c>
      <c r="V484" s="18">
        <f t="shared" si="7"/>
        <v>2315416.81</v>
      </c>
      <c r="W484" s="19">
        <f t="shared" si="8"/>
        <v>363162.8</v>
      </c>
    </row>
    <row r="485">
      <c r="A485" s="7">
        <v>4.24181544E8</v>
      </c>
      <c r="B485" s="12">
        <v>41310.0</v>
      </c>
      <c r="C485" s="7">
        <f t="shared" si="1"/>
        <v>2013</v>
      </c>
      <c r="D485" s="14" t="str">
        <f t="shared" si="2"/>
        <v>02 - Feb</v>
      </c>
      <c r="E485" s="15" t="str">
        <f t="shared" si="3"/>
        <v>Tue</v>
      </c>
      <c r="F485" s="15">
        <f t="shared" si="4"/>
        <v>2</v>
      </c>
      <c r="G485" s="16">
        <v>41337.0</v>
      </c>
      <c r="H485" s="14">
        <f t="shared" si="5"/>
        <v>27</v>
      </c>
      <c r="I485" s="7" t="s">
        <v>399</v>
      </c>
      <c r="J485" s="7" t="s">
        <v>90</v>
      </c>
      <c r="K485" s="7" t="str">
        <f>VLOOKUP(J485,countries,2,false)</f>
        <v>Armenia</v>
      </c>
      <c r="L485" s="7" t="str">
        <f>VLOOKUP($J485,countries,5,false)</f>
        <v>Asia</v>
      </c>
      <c r="M485" s="7" t="str">
        <f>VLOOKUP($J485,countries,6,false)</f>
        <v>Western Asia</v>
      </c>
      <c r="N485" s="7">
        <v>2103.0</v>
      </c>
      <c r="O485" s="7" t="str">
        <f>VLOOKUP(N485, products, 2, FALSE)</f>
        <v>Cereal</v>
      </c>
      <c r="P485" s="7" t="s">
        <v>264</v>
      </c>
      <c r="Q485" s="7">
        <v>3600.0</v>
      </c>
      <c r="R485" s="17">
        <v>205.7</v>
      </c>
      <c r="S485" s="17">
        <v>117.11</v>
      </c>
      <c r="U485" s="18">
        <f t="shared" si="6"/>
        <v>740520</v>
      </c>
      <c r="V485" s="18">
        <f t="shared" si="7"/>
        <v>421596</v>
      </c>
      <c r="W485" s="19">
        <f t="shared" si="8"/>
        <v>318924</v>
      </c>
    </row>
    <row r="486">
      <c r="A486" s="7">
        <v>4.24297845E8</v>
      </c>
      <c r="B486" s="12">
        <v>40897.0</v>
      </c>
      <c r="C486" s="7">
        <f t="shared" si="1"/>
        <v>2011</v>
      </c>
      <c r="D486" s="14" t="str">
        <f t="shared" si="2"/>
        <v>12 - Dec</v>
      </c>
      <c r="E486" s="15" t="str">
        <f t="shared" si="3"/>
        <v>Tue</v>
      </c>
      <c r="F486" s="15">
        <f t="shared" si="4"/>
        <v>2</v>
      </c>
      <c r="G486" s="16">
        <v>40916.0</v>
      </c>
      <c r="H486" s="14">
        <f t="shared" si="5"/>
        <v>19</v>
      </c>
      <c r="I486" s="7" t="s">
        <v>232</v>
      </c>
      <c r="J486" s="7" t="s">
        <v>306</v>
      </c>
      <c r="K486" s="7" t="str">
        <f>VLOOKUP(J486,countries,2,false)</f>
        <v>Serbia</v>
      </c>
      <c r="L486" s="7" t="str">
        <f>VLOOKUP($J486,countries,5,false)</f>
        <v>Europe</v>
      </c>
      <c r="M486" s="7" t="str">
        <f>VLOOKUP($J486,countries,6,false)</f>
        <v>Southern Europe</v>
      </c>
      <c r="N486" s="7">
        <v>1270.0</v>
      </c>
      <c r="O486" s="7" t="str">
        <f>VLOOKUP(N486, products, 2, FALSE)</f>
        <v>Beverages</v>
      </c>
      <c r="P486" s="7" t="s">
        <v>264</v>
      </c>
      <c r="Q486" s="7">
        <v>8016.0</v>
      </c>
      <c r="R486" s="17">
        <v>47.45</v>
      </c>
      <c r="S486" s="17">
        <v>31.79</v>
      </c>
      <c r="U486" s="18">
        <f t="shared" si="6"/>
        <v>380359.2</v>
      </c>
      <c r="V486" s="18">
        <f t="shared" si="7"/>
        <v>254828.64</v>
      </c>
      <c r="W486" s="19">
        <f t="shared" si="8"/>
        <v>125530.56</v>
      </c>
    </row>
    <row r="487">
      <c r="A487" s="7">
        <v>4.24541604E8</v>
      </c>
      <c r="B487" s="12">
        <v>41369.0</v>
      </c>
      <c r="C487" s="7">
        <f t="shared" si="1"/>
        <v>2013</v>
      </c>
      <c r="D487" s="14" t="str">
        <f t="shared" si="2"/>
        <v>04 - Apr</v>
      </c>
      <c r="E487" s="15" t="str">
        <f t="shared" si="3"/>
        <v>Fri</v>
      </c>
      <c r="F487" s="15">
        <f t="shared" si="4"/>
        <v>5</v>
      </c>
      <c r="G487" s="16">
        <v>41411.0</v>
      </c>
      <c r="H487" s="14">
        <f t="shared" si="5"/>
        <v>42</v>
      </c>
      <c r="I487" s="7" t="s">
        <v>399</v>
      </c>
      <c r="J487" s="7" t="s">
        <v>720</v>
      </c>
      <c r="K487" s="7" t="str">
        <f>VLOOKUP(J487,countries,2,false)</f>
        <v>Switzerland</v>
      </c>
      <c r="L487" s="7" t="str">
        <f>VLOOKUP($J487,countries,5,false)</f>
        <v>Europe</v>
      </c>
      <c r="M487" s="7" t="str">
        <f>VLOOKUP($J487,countries,6,false)</f>
        <v>Western Europe</v>
      </c>
      <c r="N487" s="7">
        <v>8681.0</v>
      </c>
      <c r="O487" s="7" t="str">
        <f>VLOOKUP(N487, products, 2, FALSE)</f>
        <v>Office Supplies</v>
      </c>
      <c r="P487" s="7" t="s">
        <v>334</v>
      </c>
      <c r="Q487" s="7">
        <v>150.0</v>
      </c>
      <c r="R487" s="17">
        <v>651.21</v>
      </c>
      <c r="S487" s="17">
        <v>524.96</v>
      </c>
      <c r="U487" s="18">
        <f t="shared" si="6"/>
        <v>97681.5</v>
      </c>
      <c r="V487" s="18">
        <f t="shared" si="7"/>
        <v>78744</v>
      </c>
      <c r="W487" s="19">
        <f t="shared" si="8"/>
        <v>18937.5</v>
      </c>
    </row>
    <row r="488">
      <c r="A488" s="7">
        <v>4.25547969E8</v>
      </c>
      <c r="B488" s="12">
        <v>40409.0</v>
      </c>
      <c r="C488" s="7">
        <f t="shared" si="1"/>
        <v>2010</v>
      </c>
      <c r="D488" s="14" t="str">
        <f t="shared" si="2"/>
        <v>08 - Aug</v>
      </c>
      <c r="E488" s="15" t="str">
        <f t="shared" si="3"/>
        <v>Thu</v>
      </c>
      <c r="F488" s="15">
        <f t="shared" si="4"/>
        <v>4</v>
      </c>
      <c r="G488" s="16">
        <v>40432.0</v>
      </c>
      <c r="H488" s="14">
        <f t="shared" si="5"/>
        <v>23</v>
      </c>
      <c r="I488" s="7" t="s">
        <v>399</v>
      </c>
      <c r="J488" s="7" t="s">
        <v>67</v>
      </c>
      <c r="K488" s="7" t="str">
        <f>VLOOKUP(J488,countries,2,false)</f>
        <v>Andorra</v>
      </c>
      <c r="L488" s="7" t="str">
        <f>VLOOKUP($J488,countries,5,false)</f>
        <v>Europe</v>
      </c>
      <c r="M488" s="7" t="str">
        <f>VLOOKUP($J488,countries,6,false)</f>
        <v>Southern Europe</v>
      </c>
      <c r="N488" s="7">
        <v>1270.0</v>
      </c>
      <c r="O488" s="7" t="str">
        <f>VLOOKUP(N488, products, 2, FALSE)</f>
        <v>Beverages</v>
      </c>
      <c r="P488" s="7" t="s">
        <v>264</v>
      </c>
      <c r="Q488" s="7">
        <v>7955.0</v>
      </c>
      <c r="R488" s="17">
        <v>47.45</v>
      </c>
      <c r="S488" s="17">
        <v>31.79</v>
      </c>
      <c r="U488" s="18">
        <f t="shared" si="6"/>
        <v>377464.75</v>
      </c>
      <c r="V488" s="18">
        <f t="shared" si="7"/>
        <v>252889.45</v>
      </c>
      <c r="W488" s="19">
        <f t="shared" si="8"/>
        <v>124575.3</v>
      </c>
    </row>
    <row r="489">
      <c r="A489" s="7">
        <v>4.27432811E8</v>
      </c>
      <c r="B489" s="12">
        <v>42341.0</v>
      </c>
      <c r="C489" s="7">
        <f t="shared" si="1"/>
        <v>2015</v>
      </c>
      <c r="D489" s="14" t="str">
        <f t="shared" si="2"/>
        <v>12 - Dec</v>
      </c>
      <c r="E489" s="15" t="str">
        <f t="shared" si="3"/>
        <v>Thu</v>
      </c>
      <c r="F489" s="15">
        <f t="shared" si="4"/>
        <v>4</v>
      </c>
      <c r="G489" s="16">
        <v>42349.0</v>
      </c>
      <c r="H489" s="14">
        <f t="shared" si="5"/>
        <v>8</v>
      </c>
      <c r="I489" s="7" t="s">
        <v>399</v>
      </c>
      <c r="J489" s="7" t="s">
        <v>293</v>
      </c>
      <c r="K489" s="7" t="str">
        <f>VLOOKUP(J489,countries,2,false)</f>
        <v>Finland</v>
      </c>
      <c r="L489" s="7" t="str">
        <f>VLOOKUP($J489,countries,5,false)</f>
        <v>Europe</v>
      </c>
      <c r="M489" s="7" t="str">
        <f>VLOOKUP($J489,countries,6,false)</f>
        <v>Northern Europe</v>
      </c>
      <c r="N489" s="7">
        <v>8969.0</v>
      </c>
      <c r="O489" s="7" t="str">
        <f>VLOOKUP(N489, products, 2, FALSE)</f>
        <v>Snacks</v>
      </c>
      <c r="P489" s="7" t="s">
        <v>264</v>
      </c>
      <c r="Q489" s="7">
        <v>5722.0</v>
      </c>
      <c r="R489" s="17">
        <v>152.58</v>
      </c>
      <c r="S489" s="17">
        <v>97.44</v>
      </c>
      <c r="U489" s="18">
        <f t="shared" si="6"/>
        <v>873062.76</v>
      </c>
      <c r="V489" s="18">
        <f t="shared" si="7"/>
        <v>557551.68</v>
      </c>
      <c r="W489" s="19">
        <f t="shared" si="8"/>
        <v>315511.08</v>
      </c>
    </row>
    <row r="490">
      <c r="A490" s="7">
        <v>4.28419864E8</v>
      </c>
      <c r="B490" s="12">
        <v>41582.0</v>
      </c>
      <c r="C490" s="7">
        <f t="shared" si="1"/>
        <v>2013</v>
      </c>
      <c r="D490" s="14" t="str">
        <f t="shared" si="2"/>
        <v>11 - Nov</v>
      </c>
      <c r="E490" s="15" t="str">
        <f t="shared" si="3"/>
        <v>Mon</v>
      </c>
      <c r="F490" s="15">
        <f t="shared" si="4"/>
        <v>1</v>
      </c>
      <c r="G490" s="16">
        <v>41613.0</v>
      </c>
      <c r="H490" s="14">
        <f t="shared" si="5"/>
        <v>31</v>
      </c>
      <c r="I490" s="7" t="s">
        <v>232</v>
      </c>
      <c r="J490" s="7" t="s">
        <v>296</v>
      </c>
      <c r="K490" s="7" t="str">
        <f>VLOOKUP(J490,countries,2,false)</f>
        <v>France</v>
      </c>
      <c r="L490" s="7" t="str">
        <f>VLOOKUP($J490,countries,5,false)</f>
        <v>Europe</v>
      </c>
      <c r="M490" s="7" t="str">
        <f>VLOOKUP($J490,countries,6,false)</f>
        <v>Western Europe</v>
      </c>
      <c r="N490" s="7">
        <v>8681.0</v>
      </c>
      <c r="O490" s="7" t="str">
        <f>VLOOKUP(N490, products, 2, FALSE)</f>
        <v>Office Supplies</v>
      </c>
      <c r="P490" s="7" t="s">
        <v>334</v>
      </c>
      <c r="Q490" s="7">
        <v>7813.0</v>
      </c>
      <c r="R490" s="17">
        <v>651.21</v>
      </c>
      <c r="S490" s="17">
        <v>524.96</v>
      </c>
      <c r="U490" s="18">
        <f t="shared" si="6"/>
        <v>5087903.73</v>
      </c>
      <c r="V490" s="18">
        <f t="shared" si="7"/>
        <v>4101512.48</v>
      </c>
      <c r="W490" s="19">
        <f t="shared" si="8"/>
        <v>986391.25</v>
      </c>
    </row>
    <row r="491">
      <c r="A491" s="7">
        <v>4.29123675E8</v>
      </c>
      <c r="B491" s="12">
        <v>41930.0</v>
      </c>
      <c r="C491" s="7">
        <f t="shared" si="1"/>
        <v>2014</v>
      </c>
      <c r="D491" s="14" t="str">
        <f t="shared" si="2"/>
        <v>10 - Oct</v>
      </c>
      <c r="E491" s="15" t="str">
        <f t="shared" si="3"/>
        <v>Sat</v>
      </c>
      <c r="F491" s="15">
        <f t="shared" si="4"/>
        <v>6</v>
      </c>
      <c r="G491" s="16">
        <v>41954.0</v>
      </c>
      <c r="H491" s="14">
        <f t="shared" si="5"/>
        <v>24</v>
      </c>
      <c r="I491" s="7" t="s">
        <v>232</v>
      </c>
      <c r="J491" s="7" t="s">
        <v>348</v>
      </c>
      <c r="K491" s="7" t="s">
        <v>348</v>
      </c>
      <c r="L491" s="7" t="s">
        <v>348</v>
      </c>
      <c r="M491" s="7" t="s">
        <v>348</v>
      </c>
      <c r="N491" s="7">
        <v>8969.0</v>
      </c>
      <c r="O491" s="7" t="str">
        <f>VLOOKUP(N491, products, 2, FALSE)</f>
        <v>Snacks</v>
      </c>
      <c r="P491" s="7" t="s">
        <v>334</v>
      </c>
      <c r="Q491" s="7">
        <v>6086.0</v>
      </c>
      <c r="R491" s="17">
        <v>152.58</v>
      </c>
      <c r="S491" s="17">
        <v>97.44</v>
      </c>
      <c r="U491" s="18">
        <f t="shared" si="6"/>
        <v>928601.88</v>
      </c>
      <c r="V491" s="18">
        <f t="shared" si="7"/>
        <v>593019.84</v>
      </c>
      <c r="W491" s="19">
        <f t="shared" si="8"/>
        <v>335582.04</v>
      </c>
    </row>
    <row r="492">
      <c r="A492" s="7">
        <v>4.3068751E8</v>
      </c>
      <c r="B492" s="12">
        <v>41430.0</v>
      </c>
      <c r="C492" s="7">
        <f t="shared" si="1"/>
        <v>2013</v>
      </c>
      <c r="D492" s="14" t="str">
        <f t="shared" si="2"/>
        <v>06 - Jun</v>
      </c>
      <c r="E492" s="15" t="str">
        <f t="shared" si="3"/>
        <v>Wed</v>
      </c>
      <c r="F492" s="15">
        <f t="shared" si="4"/>
        <v>3</v>
      </c>
      <c r="G492" s="16">
        <v>41435.0</v>
      </c>
      <c r="H492" s="14">
        <f t="shared" si="5"/>
        <v>5</v>
      </c>
      <c r="I492" s="7" t="s">
        <v>305</v>
      </c>
      <c r="J492" s="7" t="s">
        <v>681</v>
      </c>
      <c r="K492" s="7" t="str">
        <f>VLOOKUP(J492,countries,2,false)</f>
        <v>United Kingdom</v>
      </c>
      <c r="L492" s="7" t="str">
        <f>VLOOKUP($J492,countries,5,false)</f>
        <v>Europe</v>
      </c>
      <c r="M492" s="7" t="str">
        <f>VLOOKUP($J492,countries,6,false)</f>
        <v>Northern Europe</v>
      </c>
      <c r="N492" s="7">
        <v>3127.0</v>
      </c>
      <c r="O492" s="7" t="str">
        <f>VLOOKUP(N492, products, 2, FALSE)</f>
        <v>Personal Care</v>
      </c>
      <c r="P492" s="7" t="s">
        <v>264</v>
      </c>
      <c r="Q492" s="7">
        <v>8860.0</v>
      </c>
      <c r="R492" s="17">
        <v>81.73</v>
      </c>
      <c r="S492" s="17">
        <v>56.67</v>
      </c>
      <c r="U492" s="18">
        <f t="shared" si="6"/>
        <v>724127.8</v>
      </c>
      <c r="V492" s="18">
        <f t="shared" si="7"/>
        <v>502096.2</v>
      </c>
      <c r="W492" s="19">
        <f t="shared" si="8"/>
        <v>222031.6</v>
      </c>
    </row>
    <row r="493">
      <c r="A493" s="7">
        <v>4.31240689E8</v>
      </c>
      <c r="B493" s="12">
        <v>42242.0</v>
      </c>
      <c r="C493" s="7">
        <f t="shared" si="1"/>
        <v>2015</v>
      </c>
      <c r="D493" s="14" t="str">
        <f t="shared" si="2"/>
        <v>08 - Aug</v>
      </c>
      <c r="E493" s="15" t="str">
        <f t="shared" si="3"/>
        <v>Wed</v>
      </c>
      <c r="F493" s="15">
        <f t="shared" si="4"/>
        <v>3</v>
      </c>
      <c r="G493" s="16">
        <v>42290.0</v>
      </c>
      <c r="H493" s="14">
        <f t="shared" si="5"/>
        <v>48</v>
      </c>
      <c r="I493" s="7" t="s">
        <v>364</v>
      </c>
      <c r="J493" s="7" t="s">
        <v>328</v>
      </c>
      <c r="K493" s="7" t="str">
        <f>VLOOKUP(J493,countries,2,false)</f>
        <v>Greece</v>
      </c>
      <c r="L493" s="7" t="str">
        <f>VLOOKUP($J493,countries,5,false)</f>
        <v>Europe</v>
      </c>
      <c r="M493" s="7" t="str">
        <f>VLOOKUP($J493,countries,6,false)</f>
        <v>Southern Europe</v>
      </c>
      <c r="N493" s="7">
        <v>2103.0</v>
      </c>
      <c r="O493" s="7" t="str">
        <f>VLOOKUP(N493, products, 2, FALSE)</f>
        <v>Cereal</v>
      </c>
      <c r="P493" s="7" t="s">
        <v>264</v>
      </c>
      <c r="Q493" s="7">
        <v>2558.0</v>
      </c>
      <c r="R493" s="17">
        <v>205.7</v>
      </c>
      <c r="S493" s="17">
        <v>117.11</v>
      </c>
      <c r="U493" s="18">
        <f t="shared" si="6"/>
        <v>526180.6</v>
      </c>
      <c r="V493" s="18">
        <f t="shared" si="7"/>
        <v>299567.38</v>
      </c>
      <c r="W493" s="19">
        <f t="shared" si="8"/>
        <v>226613.22</v>
      </c>
    </row>
    <row r="494">
      <c r="A494" s="7">
        <v>4.31432092E8</v>
      </c>
      <c r="B494" s="12">
        <v>42583.0</v>
      </c>
      <c r="C494" s="7">
        <f t="shared" si="1"/>
        <v>2016</v>
      </c>
      <c r="D494" s="14" t="str">
        <f t="shared" si="2"/>
        <v>08 - Aug</v>
      </c>
      <c r="E494" s="15" t="str">
        <f t="shared" si="3"/>
        <v>Mon</v>
      </c>
      <c r="F494" s="15">
        <f t="shared" si="4"/>
        <v>1</v>
      </c>
      <c r="G494" s="16">
        <v>42626.0</v>
      </c>
      <c r="H494" s="14">
        <f t="shared" si="5"/>
        <v>43</v>
      </c>
      <c r="I494" s="7" t="s">
        <v>399</v>
      </c>
      <c r="J494" s="7" t="s">
        <v>570</v>
      </c>
      <c r="K494" s="7" t="str">
        <f>VLOOKUP(J494,countries,2,false)</f>
        <v>Macedonia</v>
      </c>
      <c r="L494" s="7" t="str">
        <f>VLOOKUP($J494,countries,5,false)</f>
        <v>Europe</v>
      </c>
      <c r="M494" s="7" t="str">
        <f>VLOOKUP($J494,countries,6,false)</f>
        <v>Southern Europe</v>
      </c>
      <c r="N494" s="7">
        <v>2455.0</v>
      </c>
      <c r="O494" s="7" t="str">
        <f>VLOOKUP(N494, products, 2, FALSE)</f>
        <v>Clothes</v>
      </c>
      <c r="P494" s="7" t="s">
        <v>334</v>
      </c>
      <c r="Q494" s="7">
        <v>9198.0</v>
      </c>
      <c r="R494" s="17">
        <v>109.28</v>
      </c>
      <c r="S494" s="17">
        <v>35.84</v>
      </c>
      <c r="U494" s="18">
        <f t="shared" si="6"/>
        <v>1005157.44</v>
      </c>
      <c r="V494" s="18">
        <f t="shared" si="7"/>
        <v>329656.32</v>
      </c>
      <c r="W494" s="19">
        <f t="shared" si="8"/>
        <v>675501.12</v>
      </c>
    </row>
    <row r="495">
      <c r="A495" s="7">
        <v>4.31753098E8</v>
      </c>
      <c r="B495" s="12">
        <v>42249.0</v>
      </c>
      <c r="C495" s="7">
        <f t="shared" si="1"/>
        <v>2015</v>
      </c>
      <c r="D495" s="14" t="str">
        <f t="shared" si="2"/>
        <v>09 - Sep</v>
      </c>
      <c r="E495" s="15" t="str">
        <f t="shared" si="3"/>
        <v>Wed</v>
      </c>
      <c r="F495" s="15">
        <f t="shared" si="4"/>
        <v>3</v>
      </c>
      <c r="G495" s="16">
        <v>42296.0</v>
      </c>
      <c r="H495" s="14">
        <f t="shared" si="5"/>
        <v>47</v>
      </c>
      <c r="I495" s="7" t="s">
        <v>232</v>
      </c>
      <c r="J495" s="7" t="s">
        <v>435</v>
      </c>
      <c r="K495" s="7" t="str">
        <f>VLOOKUP(J495,countries,2,false)</f>
        <v>Slovakia</v>
      </c>
      <c r="L495" s="7" t="str">
        <f>VLOOKUP($J495,countries,5,false)</f>
        <v>Europe</v>
      </c>
      <c r="M495" s="7" t="str">
        <f>VLOOKUP($J495,countries,6,false)</f>
        <v>Eastern Europe</v>
      </c>
      <c r="N495" s="7">
        <v>1270.0</v>
      </c>
      <c r="O495" s="7" t="str">
        <f>VLOOKUP(N495, products, 2, FALSE)</f>
        <v>Beverages</v>
      </c>
      <c r="P495" s="7" t="s">
        <v>264</v>
      </c>
      <c r="Q495" s="7">
        <v>4191.0</v>
      </c>
      <c r="R495" s="17">
        <v>47.45</v>
      </c>
      <c r="S495" s="17">
        <v>31.79</v>
      </c>
      <c r="U495" s="18">
        <f t="shared" si="6"/>
        <v>198862.95</v>
      </c>
      <c r="V495" s="18">
        <f t="shared" si="7"/>
        <v>133231.89</v>
      </c>
      <c r="W495" s="19">
        <f t="shared" si="8"/>
        <v>65631.06</v>
      </c>
    </row>
    <row r="496">
      <c r="A496" s="7">
        <v>4.32031619E8</v>
      </c>
      <c r="B496" s="12">
        <v>40699.0</v>
      </c>
      <c r="C496" s="7">
        <f t="shared" si="1"/>
        <v>2011</v>
      </c>
      <c r="D496" s="14" t="str">
        <f t="shared" si="2"/>
        <v>06 - Jun</v>
      </c>
      <c r="E496" s="15" t="str">
        <f t="shared" si="3"/>
        <v>Sun</v>
      </c>
      <c r="F496" s="15">
        <f t="shared" si="4"/>
        <v>7</v>
      </c>
      <c r="G496" s="16">
        <v>40723.0</v>
      </c>
      <c r="H496" s="14">
        <f t="shared" si="5"/>
        <v>24</v>
      </c>
      <c r="I496" s="7" t="s">
        <v>399</v>
      </c>
      <c r="J496" s="7" t="s">
        <v>90</v>
      </c>
      <c r="K496" s="7" t="str">
        <f>VLOOKUP(J496,countries,2,false)</f>
        <v>Armenia</v>
      </c>
      <c r="L496" s="7" t="str">
        <f>VLOOKUP($J496,countries,5,false)</f>
        <v>Asia</v>
      </c>
      <c r="M496" s="7" t="str">
        <f>VLOOKUP($J496,countries,6,false)</f>
        <v>Western Asia</v>
      </c>
      <c r="N496" s="7">
        <v>1270.0</v>
      </c>
      <c r="O496" s="7" t="str">
        <f>VLOOKUP(N496, products, 2, FALSE)</f>
        <v>Beverages</v>
      </c>
      <c r="P496" s="7" t="s">
        <v>264</v>
      </c>
      <c r="Q496" s="7">
        <v>6612.0</v>
      </c>
      <c r="R496" s="17">
        <v>47.45</v>
      </c>
      <c r="S496" s="17">
        <v>31.79</v>
      </c>
      <c r="U496" s="18">
        <f t="shared" si="6"/>
        <v>313739.4</v>
      </c>
      <c r="V496" s="18">
        <f t="shared" si="7"/>
        <v>210195.48</v>
      </c>
      <c r="W496" s="19">
        <f t="shared" si="8"/>
        <v>103543.92</v>
      </c>
    </row>
    <row r="497">
      <c r="A497" s="7">
        <v>4.33079183E8</v>
      </c>
      <c r="B497" s="12">
        <v>41338.0</v>
      </c>
      <c r="C497" s="7">
        <f t="shared" si="1"/>
        <v>2013</v>
      </c>
      <c r="D497" s="14" t="str">
        <f t="shared" si="2"/>
        <v>03 - Mar</v>
      </c>
      <c r="E497" s="15" t="str">
        <f t="shared" si="3"/>
        <v>Tue</v>
      </c>
      <c r="F497" s="15">
        <f t="shared" si="4"/>
        <v>2</v>
      </c>
      <c r="G497" s="16">
        <v>41383.0</v>
      </c>
      <c r="H497" s="14">
        <f t="shared" si="5"/>
        <v>45</v>
      </c>
      <c r="I497" s="7" t="s">
        <v>232</v>
      </c>
      <c r="J497" s="7" t="s">
        <v>465</v>
      </c>
      <c r="K497" s="7" t="str">
        <f>VLOOKUP(J497,countries,2,false)</f>
        <v>Lithuania</v>
      </c>
      <c r="L497" s="7" t="str">
        <f>VLOOKUP($J497,countries,5,false)</f>
        <v>Europe</v>
      </c>
      <c r="M497" s="7" t="str">
        <f>VLOOKUP($J497,countries,6,false)</f>
        <v>Northern Europe</v>
      </c>
      <c r="N497" s="7">
        <v>8681.0</v>
      </c>
      <c r="O497" s="7" t="str">
        <f>VLOOKUP(N497, products, 2, FALSE)</f>
        <v>Office Supplies</v>
      </c>
      <c r="P497" s="7" t="s">
        <v>334</v>
      </c>
      <c r="Q497" s="7">
        <v>6609.0</v>
      </c>
      <c r="R497" s="17">
        <v>651.21</v>
      </c>
      <c r="S497" s="17">
        <v>524.96</v>
      </c>
      <c r="U497" s="18">
        <f t="shared" si="6"/>
        <v>4303846.89</v>
      </c>
      <c r="V497" s="18">
        <f t="shared" si="7"/>
        <v>3469460.64</v>
      </c>
      <c r="W497" s="19">
        <f t="shared" si="8"/>
        <v>834386.25</v>
      </c>
    </row>
    <row r="498">
      <c r="A498" s="7">
        <v>4.337345E8</v>
      </c>
      <c r="B498" s="12">
        <v>40409.0</v>
      </c>
      <c r="C498" s="7">
        <f t="shared" si="1"/>
        <v>2010</v>
      </c>
      <c r="D498" s="14" t="str">
        <f t="shared" si="2"/>
        <v>08 - Aug</v>
      </c>
      <c r="E498" s="15" t="str">
        <f t="shared" si="3"/>
        <v>Thu</v>
      </c>
      <c r="F498" s="15">
        <f t="shared" si="4"/>
        <v>4</v>
      </c>
      <c r="G498" s="16">
        <v>40429.0</v>
      </c>
      <c r="H498" s="14">
        <f t="shared" si="5"/>
        <v>20</v>
      </c>
      <c r="I498" s="7" t="s">
        <v>364</v>
      </c>
      <c r="J498" s="7" t="s">
        <v>319</v>
      </c>
      <c r="K498" s="7" t="str">
        <f>VLOOKUP(J498,countries,2,false)</f>
        <v>Germany</v>
      </c>
      <c r="L498" s="7" t="str">
        <f>VLOOKUP($J498,countries,5,false)</f>
        <v>Europe</v>
      </c>
      <c r="M498" s="7" t="str">
        <f>VLOOKUP($J498,countries,6,false)</f>
        <v>Western Europe</v>
      </c>
      <c r="N498" s="7">
        <v>8681.0</v>
      </c>
      <c r="O498" s="7" t="str">
        <f>VLOOKUP(N498, products, 2, FALSE)</f>
        <v>Office Supplies</v>
      </c>
      <c r="P498" s="7" t="s">
        <v>334</v>
      </c>
      <c r="Q498" s="7">
        <v>532.0</v>
      </c>
      <c r="R498" s="17">
        <v>651.21</v>
      </c>
      <c r="S498" s="17">
        <v>524.96</v>
      </c>
      <c r="U498" s="18">
        <f t="shared" si="6"/>
        <v>346443.72</v>
      </c>
      <c r="V498" s="18">
        <f t="shared" si="7"/>
        <v>279278.72</v>
      </c>
      <c r="W498" s="19">
        <f t="shared" si="8"/>
        <v>67165</v>
      </c>
    </row>
    <row r="499">
      <c r="A499" s="7">
        <v>4.34013879E8</v>
      </c>
      <c r="B499" s="12">
        <v>40448.0</v>
      </c>
      <c r="C499" s="7">
        <f t="shared" si="1"/>
        <v>2010</v>
      </c>
      <c r="D499" s="14" t="str">
        <f t="shared" si="2"/>
        <v>09 - Sep</v>
      </c>
      <c r="E499" s="15" t="str">
        <f t="shared" si="3"/>
        <v>Mon</v>
      </c>
      <c r="F499" s="15">
        <f t="shared" si="4"/>
        <v>1</v>
      </c>
      <c r="G499" s="16">
        <v>40487.0</v>
      </c>
      <c r="H499" s="14">
        <f t="shared" si="5"/>
        <v>39</v>
      </c>
      <c r="I499" s="7" t="s">
        <v>399</v>
      </c>
      <c r="J499" s="7" t="s">
        <v>516</v>
      </c>
      <c r="K499" s="7" t="str">
        <f>VLOOKUP(J499,countries,2,false)</f>
        <v>Monaco</v>
      </c>
      <c r="L499" s="7" t="str">
        <f>VLOOKUP($J499,countries,5,false)</f>
        <v>Europe</v>
      </c>
      <c r="M499" s="7" t="str">
        <f>VLOOKUP($J499,countries,6,false)</f>
        <v>Western Europe</v>
      </c>
      <c r="N499" s="7">
        <v>8293.0</v>
      </c>
      <c r="O499" s="7" t="str">
        <f>VLOOKUP(N499, products, 2, FALSE)</f>
        <v>Cosmetics</v>
      </c>
      <c r="P499" s="7" t="s">
        <v>334</v>
      </c>
      <c r="Q499" s="7">
        <v>3206.0</v>
      </c>
      <c r="R499" s="17">
        <v>437.2</v>
      </c>
      <c r="S499" s="17">
        <v>263.33</v>
      </c>
      <c r="U499" s="18">
        <f t="shared" si="6"/>
        <v>1401663.2</v>
      </c>
      <c r="V499" s="18">
        <f t="shared" si="7"/>
        <v>844235.98</v>
      </c>
      <c r="W499" s="19">
        <f t="shared" si="8"/>
        <v>557427.22</v>
      </c>
    </row>
    <row r="500">
      <c r="A500" s="7">
        <v>4.34275662E8</v>
      </c>
      <c r="B500" s="12">
        <v>41101.0</v>
      </c>
      <c r="C500" s="7">
        <f t="shared" si="1"/>
        <v>2012</v>
      </c>
      <c r="D500" s="14" t="str">
        <f t="shared" si="2"/>
        <v>07 - Jul</v>
      </c>
      <c r="E500" s="15" t="str">
        <f t="shared" si="3"/>
        <v>Wed</v>
      </c>
      <c r="F500" s="15">
        <f t="shared" si="4"/>
        <v>3</v>
      </c>
      <c r="G500" s="16">
        <v>41134.0</v>
      </c>
      <c r="H500" s="14">
        <f t="shared" si="5"/>
        <v>33</v>
      </c>
      <c r="I500" s="7" t="s">
        <v>399</v>
      </c>
      <c r="J500" s="7" t="s">
        <v>146</v>
      </c>
      <c r="K500" s="7" t="str">
        <f>VLOOKUP(J500,countries,2,false)</f>
        <v>Bosnia and Herzegovina</v>
      </c>
      <c r="L500" s="7" t="str">
        <f>VLOOKUP($J500,countries,5,false)</f>
        <v>Europe</v>
      </c>
      <c r="M500" s="7" t="str">
        <f>VLOOKUP($J500,countries,6,false)</f>
        <v>Southern Europe</v>
      </c>
      <c r="N500" s="7">
        <v>8681.0</v>
      </c>
      <c r="O500" s="7" t="str">
        <f>VLOOKUP(N500, products, 2, FALSE)</f>
        <v>Office Supplies</v>
      </c>
      <c r="P500" s="7" t="s">
        <v>334</v>
      </c>
      <c r="Q500" s="7">
        <v>674.0</v>
      </c>
      <c r="R500" s="17">
        <v>651.21</v>
      </c>
      <c r="S500" s="17">
        <v>524.96</v>
      </c>
      <c r="U500" s="18">
        <f t="shared" si="6"/>
        <v>438915.54</v>
      </c>
      <c r="V500" s="18">
        <f t="shared" si="7"/>
        <v>353823.04</v>
      </c>
      <c r="W500" s="19">
        <f t="shared" si="8"/>
        <v>85092.5</v>
      </c>
    </row>
    <row r="501">
      <c r="A501" s="7">
        <v>4.34485948E8</v>
      </c>
      <c r="B501" s="12">
        <v>40446.0</v>
      </c>
      <c r="C501" s="7">
        <f t="shared" si="1"/>
        <v>2010</v>
      </c>
      <c r="D501" s="14" t="str">
        <f t="shared" si="2"/>
        <v>09 - Sep</v>
      </c>
      <c r="E501" s="15" t="str">
        <f t="shared" si="3"/>
        <v>Sat</v>
      </c>
      <c r="F501" s="15">
        <f t="shared" si="4"/>
        <v>6</v>
      </c>
      <c r="G501" s="16">
        <v>40485.0</v>
      </c>
      <c r="H501" s="14">
        <f t="shared" si="5"/>
        <v>39</v>
      </c>
      <c r="I501" s="7" t="s">
        <v>364</v>
      </c>
      <c r="J501" s="7" t="s">
        <v>656</v>
      </c>
      <c r="K501" s="7" t="str">
        <f>VLOOKUP(J501,countries,2,false)</f>
        <v>San Marino</v>
      </c>
      <c r="L501" s="7" t="str">
        <f>VLOOKUP($J501,countries,5,false)</f>
        <v>Europe</v>
      </c>
      <c r="M501" s="7" t="str">
        <f>VLOOKUP($J501,countries,6,false)</f>
        <v>Southern Europe</v>
      </c>
      <c r="N501" s="7">
        <v>3127.0</v>
      </c>
      <c r="O501" s="7" t="str">
        <f>VLOOKUP(N501, products, 2, FALSE)</f>
        <v>Personal Care</v>
      </c>
      <c r="P501" s="7" t="s">
        <v>264</v>
      </c>
      <c r="Q501" s="7">
        <v>2902.0</v>
      </c>
      <c r="R501" s="17">
        <v>81.73</v>
      </c>
      <c r="S501" s="17">
        <v>56.67</v>
      </c>
      <c r="U501" s="18">
        <f t="shared" si="6"/>
        <v>237180.46</v>
      </c>
      <c r="V501" s="18">
        <f t="shared" si="7"/>
        <v>164456.34</v>
      </c>
      <c r="W501" s="19">
        <f t="shared" si="8"/>
        <v>72724.12</v>
      </c>
    </row>
    <row r="502">
      <c r="A502" s="7">
        <v>4.35463559E8</v>
      </c>
      <c r="B502" s="12">
        <v>41568.0</v>
      </c>
      <c r="C502" s="7">
        <f t="shared" si="1"/>
        <v>2013</v>
      </c>
      <c r="D502" s="14" t="str">
        <f t="shared" si="2"/>
        <v>10 - Oct</v>
      </c>
      <c r="E502" s="15" t="str">
        <f t="shared" si="3"/>
        <v>Mon</v>
      </c>
      <c r="F502" s="15">
        <f t="shared" si="4"/>
        <v>1</v>
      </c>
      <c r="G502" s="16">
        <v>41574.0</v>
      </c>
      <c r="H502" s="14">
        <f t="shared" si="5"/>
        <v>6</v>
      </c>
      <c r="I502" s="7" t="s">
        <v>305</v>
      </c>
      <c r="J502" s="7" t="s">
        <v>489</v>
      </c>
      <c r="K502" s="7" t="str">
        <f>VLOOKUP(J502,countries,2,false)</f>
        <v>Malta</v>
      </c>
      <c r="L502" s="7" t="str">
        <f>VLOOKUP($J502,countries,5,false)</f>
        <v>Europe</v>
      </c>
      <c r="M502" s="7" t="str">
        <f>VLOOKUP($J502,countries,6,false)</f>
        <v>Southern Europe</v>
      </c>
      <c r="N502" s="7">
        <v>1270.0</v>
      </c>
      <c r="O502" s="7" t="str">
        <f>VLOOKUP(N502, products, 2, FALSE)</f>
        <v>Beverages</v>
      </c>
      <c r="P502" s="7" t="s">
        <v>264</v>
      </c>
      <c r="Q502" s="7">
        <v>2199.0</v>
      </c>
      <c r="R502" s="17">
        <v>47.45</v>
      </c>
      <c r="S502" s="17">
        <v>31.79</v>
      </c>
      <c r="U502" s="18">
        <f t="shared" si="6"/>
        <v>104342.55</v>
      </c>
      <c r="V502" s="18">
        <f t="shared" si="7"/>
        <v>69906.21</v>
      </c>
      <c r="W502" s="19">
        <f t="shared" si="8"/>
        <v>34436.34</v>
      </c>
    </row>
    <row r="503">
      <c r="A503" s="7">
        <v>4.36606395E8</v>
      </c>
      <c r="B503" s="12">
        <v>41582.0</v>
      </c>
      <c r="C503" s="7">
        <f t="shared" si="1"/>
        <v>2013</v>
      </c>
      <c r="D503" s="14" t="str">
        <f t="shared" si="2"/>
        <v>11 - Nov</v>
      </c>
      <c r="E503" s="15" t="str">
        <f t="shared" si="3"/>
        <v>Mon</v>
      </c>
      <c r="F503" s="15">
        <f t="shared" si="4"/>
        <v>1</v>
      </c>
      <c r="G503" s="16">
        <v>41611.0</v>
      </c>
      <c r="H503" s="14">
        <f t="shared" si="5"/>
        <v>29</v>
      </c>
      <c r="I503" s="7" t="s">
        <v>305</v>
      </c>
      <c r="J503" s="7" t="s">
        <v>348</v>
      </c>
      <c r="K503" s="7" t="s">
        <v>348</v>
      </c>
      <c r="L503" s="7" t="s">
        <v>348</v>
      </c>
      <c r="M503" s="7" t="s">
        <v>348</v>
      </c>
      <c r="N503" s="7">
        <v>1270.0</v>
      </c>
      <c r="O503" s="7" t="str">
        <f>VLOOKUP(N503, products, 2, FALSE)</f>
        <v>Beverages</v>
      </c>
      <c r="P503" s="7" t="s">
        <v>334</v>
      </c>
      <c r="Q503" s="7">
        <v>389.0</v>
      </c>
      <c r="R503" s="17">
        <v>47.45</v>
      </c>
      <c r="S503" s="17">
        <v>31.79</v>
      </c>
      <c r="U503" s="18">
        <f t="shared" si="6"/>
        <v>18458.05</v>
      </c>
      <c r="V503" s="18">
        <f t="shared" si="7"/>
        <v>12366.31</v>
      </c>
      <c r="W503" s="19">
        <f t="shared" si="8"/>
        <v>6091.74</v>
      </c>
    </row>
    <row r="504">
      <c r="A504" s="7">
        <v>4.36969029E8</v>
      </c>
      <c r="B504" s="12">
        <v>40876.0</v>
      </c>
      <c r="C504" s="7">
        <f t="shared" si="1"/>
        <v>2011</v>
      </c>
      <c r="D504" s="14" t="str">
        <f t="shared" si="2"/>
        <v>11 - Nov</v>
      </c>
      <c r="E504" s="15" t="str">
        <f t="shared" si="3"/>
        <v>Tue</v>
      </c>
      <c r="F504" s="15">
        <f t="shared" si="4"/>
        <v>2</v>
      </c>
      <c r="G504" s="16">
        <v>40894.0</v>
      </c>
      <c r="H504" s="14">
        <f t="shared" si="5"/>
        <v>18</v>
      </c>
      <c r="I504" s="7" t="s">
        <v>305</v>
      </c>
      <c r="J504" s="7" t="s">
        <v>517</v>
      </c>
      <c r="K504" s="7" t="str">
        <f>VLOOKUP(J504,countries,2,false)</f>
        <v>Spain</v>
      </c>
      <c r="L504" s="7" t="str">
        <f>VLOOKUP($J504,countries,5,false)</f>
        <v>Europe</v>
      </c>
      <c r="M504" s="7" t="str">
        <f>VLOOKUP($J504,countries,6,false)</f>
        <v>Southern Europe</v>
      </c>
      <c r="N504" s="7">
        <v>8875.0</v>
      </c>
      <c r="O504" s="7" t="str">
        <f>VLOOKUP(N504, products, 2, FALSE)</f>
        <v>Meat</v>
      </c>
      <c r="P504" s="7" t="s">
        <v>334</v>
      </c>
      <c r="Q504" s="7">
        <v>7701.0</v>
      </c>
      <c r="R504" s="17">
        <v>421.89</v>
      </c>
      <c r="S504" s="17">
        <v>364.69</v>
      </c>
      <c r="U504" s="18">
        <f t="shared" si="6"/>
        <v>3248974.89</v>
      </c>
      <c r="V504" s="18">
        <f t="shared" si="7"/>
        <v>2808477.69</v>
      </c>
      <c r="W504" s="19">
        <f t="shared" si="8"/>
        <v>440497.2</v>
      </c>
    </row>
    <row r="505">
      <c r="A505" s="7">
        <v>4.37083184E8</v>
      </c>
      <c r="B505" s="12">
        <v>42022.0</v>
      </c>
      <c r="C505" s="7">
        <f t="shared" si="1"/>
        <v>2015</v>
      </c>
      <c r="D505" s="14" t="str">
        <f t="shared" si="2"/>
        <v>01 - Jan</v>
      </c>
      <c r="E505" s="15" t="str">
        <f t="shared" si="3"/>
        <v>Sun</v>
      </c>
      <c r="F505" s="15">
        <f t="shared" si="4"/>
        <v>7</v>
      </c>
      <c r="G505" s="16">
        <v>42054.0</v>
      </c>
      <c r="H505" s="14">
        <f t="shared" si="5"/>
        <v>32</v>
      </c>
      <c r="I505" s="7" t="s">
        <v>305</v>
      </c>
      <c r="J505" s="7" t="s">
        <v>717</v>
      </c>
      <c r="K505" s="7" t="str">
        <f>VLOOKUP(J505,countries,2,false)</f>
        <v>Sweden</v>
      </c>
      <c r="L505" s="7" t="str">
        <f>VLOOKUP($J505,countries,5,false)</f>
        <v>Europe</v>
      </c>
      <c r="M505" s="7" t="str">
        <f>VLOOKUP($J505,countries,6,false)</f>
        <v>Northern Europe</v>
      </c>
      <c r="N505" s="7">
        <v>8875.0</v>
      </c>
      <c r="O505" s="7" t="str">
        <f>VLOOKUP(N505, products, 2, FALSE)</f>
        <v>Meat</v>
      </c>
      <c r="P505" s="7" t="s">
        <v>264</v>
      </c>
      <c r="Q505" s="7">
        <v>1482.0</v>
      </c>
      <c r="R505" s="17">
        <v>421.89</v>
      </c>
      <c r="S505" s="17">
        <v>364.69</v>
      </c>
      <c r="U505" s="18">
        <f t="shared" si="6"/>
        <v>625240.98</v>
      </c>
      <c r="V505" s="18">
        <f t="shared" si="7"/>
        <v>540470.58</v>
      </c>
      <c r="W505" s="19">
        <f t="shared" si="8"/>
        <v>84770.4</v>
      </c>
    </row>
    <row r="506">
      <c r="A506" s="7">
        <v>4.37604176E8</v>
      </c>
      <c r="B506" s="12">
        <v>41326.0</v>
      </c>
      <c r="C506" s="7">
        <f t="shared" si="1"/>
        <v>2013</v>
      </c>
      <c r="D506" s="14" t="str">
        <f t="shared" si="2"/>
        <v>02 - Feb</v>
      </c>
      <c r="E506" s="15" t="str">
        <f t="shared" si="3"/>
        <v>Thu</v>
      </c>
      <c r="F506" s="15">
        <f t="shared" si="4"/>
        <v>4</v>
      </c>
      <c r="G506" s="16">
        <v>41371.0</v>
      </c>
      <c r="H506" s="14">
        <f t="shared" si="5"/>
        <v>45</v>
      </c>
      <c r="I506" s="7" t="s">
        <v>364</v>
      </c>
      <c r="J506" s="7" t="s">
        <v>468</v>
      </c>
      <c r="K506" s="7" t="str">
        <f>VLOOKUP(J506,countries,2,false)</f>
        <v>Luxembourg</v>
      </c>
      <c r="L506" s="7" t="str">
        <f>VLOOKUP($J506,countries,5,false)</f>
        <v>Europe</v>
      </c>
      <c r="M506" s="7" t="str">
        <f>VLOOKUP($J506,countries,6,false)</f>
        <v>Western Europe</v>
      </c>
      <c r="N506" s="7">
        <v>8969.0</v>
      </c>
      <c r="O506" s="7" t="str">
        <f>VLOOKUP(N506, products, 2, FALSE)</f>
        <v>Snacks</v>
      </c>
      <c r="P506" s="7" t="s">
        <v>264</v>
      </c>
      <c r="Q506" s="7">
        <v>5655.0</v>
      </c>
      <c r="R506" s="17">
        <v>152.58</v>
      </c>
      <c r="S506" s="17">
        <v>97.44</v>
      </c>
      <c r="U506" s="18">
        <f t="shared" si="6"/>
        <v>862839.9</v>
      </c>
      <c r="V506" s="18">
        <f t="shared" si="7"/>
        <v>551023.2</v>
      </c>
      <c r="W506" s="19">
        <f t="shared" si="8"/>
        <v>311816.7</v>
      </c>
    </row>
    <row r="507">
      <c r="A507" s="7">
        <v>4.38683927E8</v>
      </c>
      <c r="B507" s="12">
        <v>40707.0</v>
      </c>
      <c r="C507" s="7">
        <f t="shared" si="1"/>
        <v>2011</v>
      </c>
      <c r="D507" s="14" t="str">
        <f t="shared" si="2"/>
        <v>06 - Jun</v>
      </c>
      <c r="E507" s="15" t="str">
        <f t="shared" si="3"/>
        <v>Mon</v>
      </c>
      <c r="F507" s="15">
        <f t="shared" si="4"/>
        <v>1</v>
      </c>
      <c r="G507" s="16">
        <v>40753.0</v>
      </c>
      <c r="H507" s="14">
        <f t="shared" si="5"/>
        <v>46</v>
      </c>
      <c r="I507" s="7" t="s">
        <v>364</v>
      </c>
      <c r="J507" s="7" t="s">
        <v>623</v>
      </c>
      <c r="K507" s="7" t="str">
        <f>VLOOKUP(J507,countries,2,false)</f>
        <v>Romania</v>
      </c>
      <c r="L507" s="7" t="str">
        <f>VLOOKUP($J507,countries,5,false)</f>
        <v>Europe</v>
      </c>
      <c r="M507" s="7" t="str">
        <f>VLOOKUP($J507,countries,6,false)</f>
        <v>Eastern Europe</v>
      </c>
      <c r="N507" s="7">
        <v>3127.0</v>
      </c>
      <c r="O507" s="7" t="str">
        <f>VLOOKUP(N507, products, 2, FALSE)</f>
        <v>Personal Care</v>
      </c>
      <c r="P507" s="7" t="s">
        <v>264</v>
      </c>
      <c r="Q507" s="7">
        <v>5177.0</v>
      </c>
      <c r="R507" s="17">
        <v>81.73</v>
      </c>
      <c r="S507" s="17">
        <v>56.67</v>
      </c>
      <c r="U507" s="18">
        <f t="shared" si="6"/>
        <v>423116.21</v>
      </c>
      <c r="V507" s="18">
        <f t="shared" si="7"/>
        <v>293380.59</v>
      </c>
      <c r="W507" s="19">
        <f t="shared" si="8"/>
        <v>129735.62</v>
      </c>
    </row>
    <row r="508">
      <c r="A508" s="7">
        <v>4.39114367E8</v>
      </c>
      <c r="B508" s="12">
        <v>41077.0</v>
      </c>
      <c r="C508" s="7">
        <f t="shared" si="1"/>
        <v>2012</v>
      </c>
      <c r="D508" s="14" t="str">
        <f t="shared" si="2"/>
        <v>06 - Jun</v>
      </c>
      <c r="E508" s="15" t="str">
        <f t="shared" si="3"/>
        <v>Sun</v>
      </c>
      <c r="F508" s="15">
        <f t="shared" si="4"/>
        <v>7</v>
      </c>
      <c r="G508" s="16">
        <v>41086.0</v>
      </c>
      <c r="H508" s="14">
        <f t="shared" si="5"/>
        <v>9</v>
      </c>
      <c r="I508" s="7" t="s">
        <v>232</v>
      </c>
      <c r="J508" s="7" t="s">
        <v>681</v>
      </c>
      <c r="K508" s="7" t="str">
        <f>VLOOKUP(J508,countries,2,false)</f>
        <v>United Kingdom</v>
      </c>
      <c r="L508" s="7" t="str">
        <f>VLOOKUP($J508,countries,5,false)</f>
        <v>Europe</v>
      </c>
      <c r="M508" s="7" t="str">
        <f>VLOOKUP($J508,countries,6,false)</f>
        <v>Northern Europe</v>
      </c>
      <c r="N508" s="7">
        <v>3127.0</v>
      </c>
      <c r="O508" s="7" t="str">
        <f>VLOOKUP(N508, products, 2, FALSE)</f>
        <v>Personal Care</v>
      </c>
      <c r="P508" s="7" t="s">
        <v>264</v>
      </c>
      <c r="Q508" s="7">
        <v>2554.0</v>
      </c>
      <c r="R508" s="17">
        <v>81.73</v>
      </c>
      <c r="S508" s="17">
        <v>56.67</v>
      </c>
      <c r="U508" s="18">
        <f t="shared" si="6"/>
        <v>208738.42</v>
      </c>
      <c r="V508" s="18">
        <f t="shared" si="7"/>
        <v>144735.18</v>
      </c>
      <c r="W508" s="19">
        <f t="shared" si="8"/>
        <v>64003.24</v>
      </c>
    </row>
    <row r="509">
      <c r="A509" s="7">
        <v>4.39204919E8</v>
      </c>
      <c r="B509" s="12">
        <v>42777.0</v>
      </c>
      <c r="C509" s="7">
        <f t="shared" si="1"/>
        <v>2017</v>
      </c>
      <c r="D509" s="14" t="str">
        <f t="shared" si="2"/>
        <v>02 - Feb</v>
      </c>
      <c r="E509" s="15" t="str">
        <f t="shared" si="3"/>
        <v>Sat</v>
      </c>
      <c r="F509" s="15">
        <f t="shared" si="4"/>
        <v>6</v>
      </c>
      <c r="G509" s="16">
        <v>42785.0</v>
      </c>
      <c r="H509" s="14">
        <f t="shared" si="5"/>
        <v>8</v>
      </c>
      <c r="I509" s="7" t="s">
        <v>364</v>
      </c>
      <c r="J509" s="7" t="s">
        <v>381</v>
      </c>
      <c r="K509" s="7" t="str">
        <f>VLOOKUP(J509,countries,2,false)</f>
        <v>Iceland</v>
      </c>
      <c r="L509" s="7" t="str">
        <f>VLOOKUP($J509,countries,5,false)</f>
        <v>Europe</v>
      </c>
      <c r="M509" s="7" t="str">
        <f>VLOOKUP($J509,countries,6,false)</f>
        <v>Northern Europe</v>
      </c>
      <c r="N509" s="7">
        <v>1270.0</v>
      </c>
      <c r="O509" s="7" t="str">
        <f>VLOOKUP(N509, products, 2, FALSE)</f>
        <v>Beverages</v>
      </c>
      <c r="P509" s="7" t="s">
        <v>264</v>
      </c>
      <c r="Q509" s="7">
        <v>9350.0</v>
      </c>
      <c r="R509" s="17">
        <v>47.45</v>
      </c>
      <c r="S509" s="17">
        <v>31.79</v>
      </c>
      <c r="U509" s="18">
        <f t="shared" si="6"/>
        <v>443657.5</v>
      </c>
      <c r="V509" s="18">
        <f t="shared" si="7"/>
        <v>297236.5</v>
      </c>
      <c r="W509" s="19">
        <f t="shared" si="8"/>
        <v>146421</v>
      </c>
    </row>
    <row r="510">
      <c r="A510" s="7">
        <v>4.3964008E8</v>
      </c>
      <c r="B510" s="12">
        <v>40823.0</v>
      </c>
      <c r="C510" s="7">
        <f t="shared" si="1"/>
        <v>2011</v>
      </c>
      <c r="D510" s="14" t="str">
        <f t="shared" si="2"/>
        <v>10 - Oct</v>
      </c>
      <c r="E510" s="15" t="str">
        <f t="shared" si="3"/>
        <v>Fri</v>
      </c>
      <c r="F510" s="15">
        <f t="shared" si="4"/>
        <v>5</v>
      </c>
      <c r="G510" s="16">
        <v>40849.0</v>
      </c>
      <c r="H510" s="14">
        <f t="shared" si="5"/>
        <v>26</v>
      </c>
      <c r="I510" s="7" t="s">
        <v>364</v>
      </c>
      <c r="J510" s="7" t="s">
        <v>608</v>
      </c>
      <c r="K510" s="7" t="str">
        <f>VLOOKUP(J510,countries,2,false)</f>
        <v>Poland</v>
      </c>
      <c r="L510" s="7" t="str">
        <f>VLOOKUP($J510,countries,5,false)</f>
        <v>Europe</v>
      </c>
      <c r="M510" s="7" t="str">
        <f>VLOOKUP($J510,countries,6,false)</f>
        <v>Eastern Europe</v>
      </c>
      <c r="N510" s="7">
        <v>2103.0</v>
      </c>
      <c r="O510" s="7" t="str">
        <f>VLOOKUP(N510, products, 2, FALSE)</f>
        <v>Cereal</v>
      </c>
      <c r="P510" s="7" t="s">
        <v>264</v>
      </c>
      <c r="Q510" s="7">
        <v>8124.0</v>
      </c>
      <c r="R510" s="17">
        <v>205.7</v>
      </c>
      <c r="S510" s="17">
        <v>117.11</v>
      </c>
      <c r="U510" s="18">
        <f t="shared" si="6"/>
        <v>1671106.8</v>
      </c>
      <c r="V510" s="18">
        <f t="shared" si="7"/>
        <v>951401.64</v>
      </c>
      <c r="W510" s="19">
        <f t="shared" si="8"/>
        <v>719705.16</v>
      </c>
    </row>
    <row r="511">
      <c r="A511" s="7">
        <v>4.39725911E8</v>
      </c>
      <c r="B511" s="12">
        <v>42080.0</v>
      </c>
      <c r="C511" s="7">
        <f t="shared" si="1"/>
        <v>2015</v>
      </c>
      <c r="D511" s="14" t="str">
        <f t="shared" si="2"/>
        <v>03 - Mar</v>
      </c>
      <c r="E511" s="15" t="str">
        <f t="shared" si="3"/>
        <v>Tue</v>
      </c>
      <c r="F511" s="15">
        <f t="shared" si="4"/>
        <v>2</v>
      </c>
      <c r="G511" s="16">
        <v>42101.0</v>
      </c>
      <c r="H511" s="14">
        <f t="shared" si="5"/>
        <v>21</v>
      </c>
      <c r="I511" s="7" t="s">
        <v>364</v>
      </c>
      <c r="J511" s="7" t="s">
        <v>90</v>
      </c>
      <c r="K511" s="7" t="str">
        <f>VLOOKUP(J511,countries,2,false)</f>
        <v>Armenia</v>
      </c>
      <c r="L511" s="7" t="str">
        <f>VLOOKUP($J511,countries,5,false)</f>
        <v>Asia</v>
      </c>
      <c r="M511" s="7" t="str">
        <f>VLOOKUP($J511,countries,6,false)</f>
        <v>Western Asia</v>
      </c>
      <c r="N511" s="7">
        <v>4594.0</v>
      </c>
      <c r="O511" s="7" t="str">
        <f>VLOOKUP(N511, products, 2, FALSE)</f>
        <v>Fruits</v>
      </c>
      <c r="P511" s="7" t="s">
        <v>334</v>
      </c>
      <c r="Q511" s="7">
        <v>3524.0</v>
      </c>
      <c r="R511" s="17">
        <v>9.33</v>
      </c>
      <c r="S511" s="17">
        <v>6.92</v>
      </c>
      <c r="U511" s="18">
        <f t="shared" si="6"/>
        <v>32878.92</v>
      </c>
      <c r="V511" s="18">
        <f t="shared" si="7"/>
        <v>24386.08</v>
      </c>
      <c r="W511" s="19">
        <f t="shared" si="8"/>
        <v>8492.84</v>
      </c>
    </row>
    <row r="512">
      <c r="A512" s="7">
        <v>4.42318427E8</v>
      </c>
      <c r="B512" s="12">
        <v>40448.0</v>
      </c>
      <c r="C512" s="7">
        <f t="shared" si="1"/>
        <v>2010</v>
      </c>
      <c r="D512" s="14" t="str">
        <f t="shared" si="2"/>
        <v>09 - Sep</v>
      </c>
      <c r="E512" s="15" t="str">
        <f t="shared" si="3"/>
        <v>Mon</v>
      </c>
      <c r="F512" s="15">
        <f t="shared" si="4"/>
        <v>1</v>
      </c>
      <c r="G512" s="16">
        <v>40459.0</v>
      </c>
      <c r="H512" s="14">
        <f t="shared" si="5"/>
        <v>11</v>
      </c>
      <c r="I512" s="7" t="s">
        <v>399</v>
      </c>
      <c r="J512" s="7" t="s">
        <v>67</v>
      </c>
      <c r="K512" s="7" t="str">
        <f>VLOOKUP(J512,countries,2,false)</f>
        <v>Andorra</v>
      </c>
      <c r="L512" s="7" t="str">
        <f>VLOOKUP($J512,countries,5,false)</f>
        <v>Europe</v>
      </c>
      <c r="M512" s="7" t="str">
        <f>VLOOKUP($J512,countries,6,false)</f>
        <v>Southern Europe</v>
      </c>
      <c r="N512" s="7">
        <v>7331.0</v>
      </c>
      <c r="O512" s="7" t="str">
        <f>VLOOKUP(N512, products, 2, FALSE)</f>
        <v>Baby Food</v>
      </c>
      <c r="P512" s="7" t="s">
        <v>264</v>
      </c>
      <c r="Q512" s="7">
        <v>707.0</v>
      </c>
      <c r="R512" s="17">
        <v>255.28</v>
      </c>
      <c r="S512" s="17">
        <v>159.42</v>
      </c>
      <c r="U512" s="18">
        <f t="shared" si="6"/>
        <v>180482.96</v>
      </c>
      <c r="V512" s="18">
        <f t="shared" si="7"/>
        <v>112709.94</v>
      </c>
      <c r="W512" s="19">
        <f t="shared" si="8"/>
        <v>67773.02</v>
      </c>
    </row>
    <row r="513">
      <c r="A513" s="7">
        <v>4.43125665E8</v>
      </c>
      <c r="B513" s="12">
        <v>41440.0</v>
      </c>
      <c r="C513" s="7">
        <f t="shared" si="1"/>
        <v>2013</v>
      </c>
      <c r="D513" s="14" t="str">
        <f t="shared" si="2"/>
        <v>06 - Jun</v>
      </c>
      <c r="E513" s="15" t="str">
        <f t="shared" si="3"/>
        <v>Sat</v>
      </c>
      <c r="F513" s="15">
        <f t="shared" si="4"/>
        <v>6</v>
      </c>
      <c r="G513" s="16">
        <v>41464.0</v>
      </c>
      <c r="H513" s="14">
        <f t="shared" si="5"/>
        <v>24</v>
      </c>
      <c r="I513" s="7" t="s">
        <v>232</v>
      </c>
      <c r="J513" s="7" t="s">
        <v>306</v>
      </c>
      <c r="K513" s="7" t="str">
        <f>VLOOKUP(J513,countries,2,false)</f>
        <v>Serbia</v>
      </c>
      <c r="L513" s="7" t="str">
        <f>VLOOKUP($J513,countries,5,false)</f>
        <v>Europe</v>
      </c>
      <c r="M513" s="7" t="str">
        <f>VLOOKUP($J513,countries,6,false)</f>
        <v>Southern Europe</v>
      </c>
      <c r="N513" s="7">
        <v>2103.0</v>
      </c>
      <c r="O513" s="7" t="str">
        <f>VLOOKUP(N513, products, 2, FALSE)</f>
        <v>Cereal</v>
      </c>
      <c r="P513" s="7" t="s">
        <v>334</v>
      </c>
      <c r="Q513" s="7">
        <v>9586.0</v>
      </c>
      <c r="R513" s="17">
        <v>205.7</v>
      </c>
      <c r="S513" s="17">
        <v>117.11</v>
      </c>
      <c r="U513" s="18">
        <f t="shared" si="6"/>
        <v>1971840.2</v>
      </c>
      <c r="V513" s="18">
        <f t="shared" si="7"/>
        <v>1122616.46</v>
      </c>
      <c r="W513" s="19">
        <f t="shared" si="8"/>
        <v>849223.74</v>
      </c>
    </row>
    <row r="514">
      <c r="A514" s="7">
        <v>4.43347108E8</v>
      </c>
      <c r="B514" s="12">
        <v>42083.0</v>
      </c>
      <c r="C514" s="7">
        <f t="shared" si="1"/>
        <v>2015</v>
      </c>
      <c r="D514" s="14" t="str">
        <f t="shared" si="2"/>
        <v>03 - Mar</v>
      </c>
      <c r="E514" s="15" t="str">
        <f t="shared" si="3"/>
        <v>Fri</v>
      </c>
      <c r="F514" s="15">
        <f t="shared" si="4"/>
        <v>5</v>
      </c>
      <c r="G514" s="16">
        <v>42103.0</v>
      </c>
      <c r="H514" s="14">
        <f t="shared" si="5"/>
        <v>20</v>
      </c>
      <c r="I514" s="7" t="s">
        <v>232</v>
      </c>
      <c r="J514" s="7" t="s">
        <v>67</v>
      </c>
      <c r="K514" s="7" t="str">
        <f>VLOOKUP(J514,countries,2,false)</f>
        <v>Andorra</v>
      </c>
      <c r="L514" s="7" t="str">
        <f>VLOOKUP($J514,countries,5,false)</f>
        <v>Europe</v>
      </c>
      <c r="M514" s="7" t="str">
        <f>VLOOKUP($J514,countries,6,false)</f>
        <v>Southern Europe</v>
      </c>
      <c r="N514" s="7">
        <v>2103.0</v>
      </c>
      <c r="O514" s="7" t="str">
        <f>VLOOKUP(N514, products, 2, FALSE)</f>
        <v>Cereal</v>
      </c>
      <c r="P514" s="7" t="s">
        <v>334</v>
      </c>
      <c r="Q514" s="7">
        <v>5116.0</v>
      </c>
      <c r="R514" s="17">
        <v>205.7</v>
      </c>
      <c r="S514" s="17">
        <v>117.11</v>
      </c>
      <c r="U514" s="18">
        <f t="shared" si="6"/>
        <v>1052361.2</v>
      </c>
      <c r="V514" s="18">
        <f t="shared" si="7"/>
        <v>599134.76</v>
      </c>
      <c r="W514" s="19">
        <f t="shared" si="8"/>
        <v>453226.44</v>
      </c>
    </row>
    <row r="515">
      <c r="A515" s="7">
        <v>4.43544518E8</v>
      </c>
      <c r="B515" s="12">
        <v>42484.0</v>
      </c>
      <c r="C515" s="7">
        <f t="shared" si="1"/>
        <v>2016</v>
      </c>
      <c r="D515" s="14" t="str">
        <f t="shared" si="2"/>
        <v>04 - Apr</v>
      </c>
      <c r="E515" s="15" t="str">
        <f t="shared" si="3"/>
        <v>Sun</v>
      </c>
      <c r="F515" s="15">
        <f t="shared" si="4"/>
        <v>7</v>
      </c>
      <c r="G515" s="16">
        <v>42488.0</v>
      </c>
      <c r="H515" s="14">
        <f t="shared" si="5"/>
        <v>4</v>
      </c>
      <c r="I515" s="7" t="s">
        <v>305</v>
      </c>
      <c r="J515" s="7" t="s">
        <v>67</v>
      </c>
      <c r="K515" s="7" t="str">
        <f>VLOOKUP(J515,countries,2,false)</f>
        <v>Andorra</v>
      </c>
      <c r="L515" s="7" t="str">
        <f>VLOOKUP($J515,countries,5,false)</f>
        <v>Europe</v>
      </c>
      <c r="M515" s="7" t="str">
        <f>VLOOKUP($J515,countries,6,false)</f>
        <v>Southern Europe</v>
      </c>
      <c r="N515" s="7">
        <v>1270.0</v>
      </c>
      <c r="O515" s="7" t="str">
        <f>VLOOKUP(N515, products, 2, FALSE)</f>
        <v>Beverages</v>
      </c>
      <c r="P515" s="7" t="s">
        <v>264</v>
      </c>
      <c r="Q515" s="7">
        <v>3534.0</v>
      </c>
      <c r="R515" s="17">
        <v>47.45</v>
      </c>
      <c r="S515" s="17">
        <v>31.79</v>
      </c>
      <c r="U515" s="18">
        <f t="shared" si="6"/>
        <v>167688.3</v>
      </c>
      <c r="V515" s="18">
        <f t="shared" si="7"/>
        <v>112345.86</v>
      </c>
      <c r="W515" s="19">
        <f t="shared" si="8"/>
        <v>55342.44</v>
      </c>
    </row>
    <row r="516">
      <c r="A516" s="7">
        <v>4.43551385E8</v>
      </c>
      <c r="B516" s="12">
        <v>41367.0</v>
      </c>
      <c r="C516" s="7">
        <f t="shared" si="1"/>
        <v>2013</v>
      </c>
      <c r="D516" s="14" t="str">
        <f t="shared" si="2"/>
        <v>04 - Apr</v>
      </c>
      <c r="E516" s="15" t="str">
        <f t="shared" si="3"/>
        <v>Wed</v>
      </c>
      <c r="F516" s="15">
        <f t="shared" si="4"/>
        <v>3</v>
      </c>
      <c r="G516" s="16">
        <v>41403.0</v>
      </c>
      <c r="H516" s="14">
        <f t="shared" si="5"/>
        <v>36</v>
      </c>
      <c r="I516" s="7" t="s">
        <v>364</v>
      </c>
      <c r="J516" s="7" t="s">
        <v>717</v>
      </c>
      <c r="K516" s="7" t="str">
        <f>VLOOKUP(J516,countries,2,false)</f>
        <v>Sweden</v>
      </c>
      <c r="L516" s="7" t="str">
        <f>VLOOKUP($J516,countries,5,false)</f>
        <v>Europe</v>
      </c>
      <c r="M516" s="7" t="str">
        <f>VLOOKUP($J516,countries,6,false)</f>
        <v>Northern Europe</v>
      </c>
      <c r="N516" s="7">
        <v>7331.0</v>
      </c>
      <c r="O516" s="7" t="str">
        <f>VLOOKUP(N516, products, 2, FALSE)</f>
        <v>Baby Food</v>
      </c>
      <c r="P516" s="7" t="s">
        <v>264</v>
      </c>
      <c r="Q516" s="7">
        <v>5566.0</v>
      </c>
      <c r="R516" s="17">
        <v>255.28</v>
      </c>
      <c r="S516" s="17">
        <v>159.42</v>
      </c>
      <c r="U516" s="18">
        <f t="shared" si="6"/>
        <v>1420888.48</v>
      </c>
      <c r="V516" s="18">
        <f t="shared" si="7"/>
        <v>887331.72</v>
      </c>
      <c r="W516" s="19">
        <f t="shared" si="8"/>
        <v>533556.76</v>
      </c>
    </row>
    <row r="517">
      <c r="A517" s="7">
        <v>4.44234168E8</v>
      </c>
      <c r="B517" s="12">
        <v>41505.0</v>
      </c>
      <c r="C517" s="7">
        <f t="shared" si="1"/>
        <v>2013</v>
      </c>
      <c r="D517" s="14" t="str">
        <f t="shared" si="2"/>
        <v>08 - Aug</v>
      </c>
      <c r="E517" s="15" t="str">
        <f t="shared" si="3"/>
        <v>Mon</v>
      </c>
      <c r="F517" s="15">
        <f t="shared" si="4"/>
        <v>1</v>
      </c>
      <c r="G517" s="16">
        <v>41544.0</v>
      </c>
      <c r="H517" s="14">
        <f t="shared" si="5"/>
        <v>39</v>
      </c>
      <c r="I517" s="7" t="s">
        <v>232</v>
      </c>
      <c r="J517" s="7" t="s">
        <v>328</v>
      </c>
      <c r="K517" s="7" t="str">
        <f>VLOOKUP(J517,countries,2,false)</f>
        <v>Greece</v>
      </c>
      <c r="L517" s="7" t="str">
        <f>VLOOKUP($J517,countries,5,false)</f>
        <v>Europe</v>
      </c>
      <c r="M517" s="7" t="str">
        <f>VLOOKUP($J517,countries,6,false)</f>
        <v>Southern Europe</v>
      </c>
      <c r="N517" s="7">
        <v>7331.0</v>
      </c>
      <c r="O517" s="7" t="str">
        <f>VLOOKUP(N517, products, 2, FALSE)</f>
        <v>Baby Food</v>
      </c>
      <c r="P517" s="7" t="s">
        <v>264</v>
      </c>
      <c r="Q517" s="7">
        <v>7617.0</v>
      </c>
      <c r="R517" s="17">
        <v>255.28</v>
      </c>
      <c r="S517" s="17">
        <v>159.42</v>
      </c>
      <c r="U517" s="18">
        <f t="shared" si="6"/>
        <v>1944467.76</v>
      </c>
      <c r="V517" s="18">
        <f t="shared" si="7"/>
        <v>1214302.14</v>
      </c>
      <c r="W517" s="19">
        <f t="shared" si="8"/>
        <v>730165.62</v>
      </c>
    </row>
    <row r="518">
      <c r="A518" s="7">
        <v>4.44798934E8</v>
      </c>
      <c r="B518" s="12">
        <v>41643.0</v>
      </c>
      <c r="C518" s="7">
        <f t="shared" si="1"/>
        <v>2014</v>
      </c>
      <c r="D518" s="14" t="str">
        <f t="shared" si="2"/>
        <v>01 - Jan</v>
      </c>
      <c r="E518" s="15" t="str">
        <f t="shared" si="3"/>
        <v>Sat</v>
      </c>
      <c r="F518" s="15">
        <f t="shared" si="4"/>
        <v>6</v>
      </c>
      <c r="G518" s="16">
        <v>41659.0</v>
      </c>
      <c r="H518" s="14">
        <f t="shared" si="5"/>
        <v>16</v>
      </c>
      <c r="I518" s="7" t="s">
        <v>232</v>
      </c>
      <c r="J518" s="7" t="s">
        <v>611</v>
      </c>
      <c r="K518" s="7" t="str">
        <f>VLOOKUP(J518,countries,2,false)</f>
        <v>Portugal</v>
      </c>
      <c r="L518" s="7" t="str">
        <f>VLOOKUP($J518,countries,5,false)</f>
        <v>Europe</v>
      </c>
      <c r="M518" s="7" t="str">
        <f>VLOOKUP($J518,countries,6,false)</f>
        <v>Southern Europe</v>
      </c>
      <c r="N518" s="7">
        <v>7940.0</v>
      </c>
      <c r="O518" s="7" t="str">
        <f>VLOOKUP(N518, products, 2, FALSE)</f>
        <v>Household</v>
      </c>
      <c r="P518" s="7" t="s">
        <v>264</v>
      </c>
      <c r="Q518" s="7">
        <v>4744.0</v>
      </c>
      <c r="R518" s="17">
        <v>668.27</v>
      </c>
      <c r="S518" s="17">
        <v>502.54</v>
      </c>
      <c r="U518" s="18">
        <f t="shared" si="6"/>
        <v>3170272.88</v>
      </c>
      <c r="V518" s="18">
        <f t="shared" si="7"/>
        <v>2384049.76</v>
      </c>
      <c r="W518" s="19">
        <f t="shared" si="8"/>
        <v>786223.12</v>
      </c>
    </row>
    <row r="519">
      <c r="A519" s="7">
        <v>4.4480623E8</v>
      </c>
      <c r="B519" s="12">
        <v>41321.0</v>
      </c>
      <c r="C519" s="7">
        <f t="shared" si="1"/>
        <v>2013</v>
      </c>
      <c r="D519" s="14" t="str">
        <f t="shared" si="2"/>
        <v>02 - Feb</v>
      </c>
      <c r="E519" s="15" t="str">
        <f t="shared" si="3"/>
        <v>Sat</v>
      </c>
      <c r="F519" s="15">
        <f t="shared" si="4"/>
        <v>6</v>
      </c>
      <c r="G519" s="16">
        <v>41365.0</v>
      </c>
      <c r="H519" s="14">
        <f t="shared" si="5"/>
        <v>44</v>
      </c>
      <c r="I519" s="7" t="s">
        <v>399</v>
      </c>
      <c r="J519" s="7" t="s">
        <v>243</v>
      </c>
      <c r="K519" s="7" t="str">
        <f>VLOOKUP(J519,countries,2,false)</f>
        <v>Czech Republic</v>
      </c>
      <c r="L519" s="7" t="str">
        <f>VLOOKUP($J519,countries,5,false)</f>
        <v>Europe</v>
      </c>
      <c r="M519" s="7" t="str">
        <f>VLOOKUP($J519,countries,6,false)</f>
        <v>Eastern Europe</v>
      </c>
      <c r="N519" s="7">
        <v>2103.0</v>
      </c>
      <c r="O519" s="7" t="str">
        <f>VLOOKUP(N519, products, 2, FALSE)</f>
        <v>Cereal</v>
      </c>
      <c r="P519" s="7" t="s">
        <v>264</v>
      </c>
      <c r="Q519" s="7">
        <v>6903.0</v>
      </c>
      <c r="R519" s="17">
        <v>205.7</v>
      </c>
      <c r="S519" s="17">
        <v>117.11</v>
      </c>
      <c r="U519" s="18">
        <f t="shared" si="6"/>
        <v>1419947.1</v>
      </c>
      <c r="V519" s="18">
        <f t="shared" si="7"/>
        <v>808410.33</v>
      </c>
      <c r="W519" s="19">
        <f t="shared" si="8"/>
        <v>611536.77</v>
      </c>
    </row>
    <row r="520">
      <c r="A520" s="7">
        <v>4.45273578E8</v>
      </c>
      <c r="B520" s="12">
        <v>40876.0</v>
      </c>
      <c r="C520" s="7">
        <f t="shared" si="1"/>
        <v>2011</v>
      </c>
      <c r="D520" s="14" t="str">
        <f t="shared" si="2"/>
        <v>11 - Nov</v>
      </c>
      <c r="E520" s="15" t="str">
        <f t="shared" si="3"/>
        <v>Tue</v>
      </c>
      <c r="F520" s="15">
        <f t="shared" si="4"/>
        <v>2</v>
      </c>
      <c r="G520" s="16">
        <v>40917.0</v>
      </c>
      <c r="H520" s="14">
        <f t="shared" si="5"/>
        <v>41</v>
      </c>
      <c r="I520" s="7" t="s">
        <v>399</v>
      </c>
      <c r="J520" s="7" t="s">
        <v>293</v>
      </c>
      <c r="K520" s="7" t="str">
        <f>VLOOKUP(J520,countries,2,false)</f>
        <v>Finland</v>
      </c>
      <c r="L520" s="7" t="str">
        <f>VLOOKUP($J520,countries,5,false)</f>
        <v>Europe</v>
      </c>
      <c r="M520" s="7" t="str">
        <f>VLOOKUP($J520,countries,6,false)</f>
        <v>Northern Europe</v>
      </c>
      <c r="N520" s="7">
        <v>8681.0</v>
      </c>
      <c r="O520" s="7" t="str">
        <f>VLOOKUP(N520, products, 2, FALSE)</f>
        <v>Office Supplies</v>
      </c>
      <c r="P520" s="7" t="s">
        <v>334</v>
      </c>
      <c r="Q520" s="7">
        <v>5201.0</v>
      </c>
      <c r="R520" s="17">
        <v>651.21</v>
      </c>
      <c r="S520" s="17">
        <v>524.96</v>
      </c>
      <c r="U520" s="18">
        <f t="shared" si="6"/>
        <v>3386943.21</v>
      </c>
      <c r="V520" s="18">
        <f t="shared" si="7"/>
        <v>2730316.96</v>
      </c>
      <c r="W520" s="19">
        <f t="shared" si="8"/>
        <v>656626.25</v>
      </c>
    </row>
    <row r="521">
      <c r="A521" s="7">
        <v>4.45708739E8</v>
      </c>
      <c r="B521" s="12">
        <v>41689.0</v>
      </c>
      <c r="C521" s="7">
        <f t="shared" si="1"/>
        <v>2014</v>
      </c>
      <c r="D521" s="14" t="str">
        <f t="shared" si="2"/>
        <v>02 - Feb</v>
      </c>
      <c r="E521" s="15" t="str">
        <f t="shared" si="3"/>
        <v>Wed</v>
      </c>
      <c r="F521" s="15">
        <f t="shared" si="4"/>
        <v>3</v>
      </c>
      <c r="G521" s="16">
        <v>41697.0</v>
      </c>
      <c r="H521" s="14">
        <f t="shared" si="5"/>
        <v>8</v>
      </c>
      <c r="I521" s="7" t="s">
        <v>399</v>
      </c>
      <c r="J521" s="7" t="s">
        <v>489</v>
      </c>
      <c r="K521" s="7" t="str">
        <f>VLOOKUP(J521,countries,2,false)</f>
        <v>Malta</v>
      </c>
      <c r="L521" s="7" t="str">
        <f>VLOOKUP($J521,countries,5,false)</f>
        <v>Europe</v>
      </c>
      <c r="M521" s="7" t="str">
        <f>VLOOKUP($J521,countries,6,false)</f>
        <v>Southern Europe</v>
      </c>
      <c r="N521" s="7">
        <v>3127.0</v>
      </c>
      <c r="O521" s="7" t="str">
        <f>VLOOKUP(N521, products, 2, FALSE)</f>
        <v>Personal Care</v>
      </c>
      <c r="P521" s="7" t="s">
        <v>264</v>
      </c>
      <c r="Q521" s="7">
        <v>3975.0</v>
      </c>
      <c r="R521" s="17">
        <v>81.73</v>
      </c>
      <c r="S521" s="17">
        <v>56.67</v>
      </c>
      <c r="U521" s="18">
        <f t="shared" si="6"/>
        <v>324876.75</v>
      </c>
      <c r="V521" s="18">
        <f t="shared" si="7"/>
        <v>225263.25</v>
      </c>
      <c r="W521" s="19">
        <f t="shared" si="8"/>
        <v>99613.5</v>
      </c>
    </row>
    <row r="522">
      <c r="A522" s="7">
        <v>4.45952498E8</v>
      </c>
      <c r="B522" s="12">
        <v>42161.0</v>
      </c>
      <c r="C522" s="7">
        <f t="shared" si="1"/>
        <v>2015</v>
      </c>
      <c r="D522" s="14" t="str">
        <f t="shared" si="2"/>
        <v>06 - Jun</v>
      </c>
      <c r="E522" s="15" t="str">
        <f t="shared" si="3"/>
        <v>Sat</v>
      </c>
      <c r="F522" s="15">
        <f t="shared" si="4"/>
        <v>6</v>
      </c>
      <c r="G522" s="16">
        <v>42192.0</v>
      </c>
      <c r="H522" s="14">
        <f t="shared" si="5"/>
        <v>31</v>
      </c>
      <c r="I522" s="7" t="s">
        <v>305</v>
      </c>
      <c r="J522" s="7" t="s">
        <v>233</v>
      </c>
      <c r="K522" s="7" t="str">
        <f>VLOOKUP(J522,countries,2,false)</f>
        <v>Norway</v>
      </c>
      <c r="L522" s="7" t="str">
        <f>VLOOKUP($J522,countries,5,false)</f>
        <v>Europe</v>
      </c>
      <c r="M522" s="7" t="str">
        <f>VLOOKUP($J522,countries,6,false)</f>
        <v>Northern Europe</v>
      </c>
      <c r="N522" s="7">
        <v>2103.0</v>
      </c>
      <c r="O522" s="7" t="str">
        <f>VLOOKUP(N522, products, 2, FALSE)</f>
        <v>Cereal</v>
      </c>
      <c r="P522" s="7" t="s">
        <v>334</v>
      </c>
      <c r="Q522" s="7">
        <v>6109.0</v>
      </c>
      <c r="R522" s="17">
        <v>205.7</v>
      </c>
      <c r="S522" s="17">
        <v>117.11</v>
      </c>
      <c r="U522" s="18">
        <f t="shared" si="6"/>
        <v>1256621.3</v>
      </c>
      <c r="V522" s="18">
        <f t="shared" si="7"/>
        <v>715424.99</v>
      </c>
      <c r="W522" s="19">
        <f t="shared" si="8"/>
        <v>541196.31</v>
      </c>
    </row>
    <row r="523">
      <c r="A523" s="7">
        <v>4.46019017E8</v>
      </c>
      <c r="B523" s="12">
        <v>40853.0</v>
      </c>
      <c r="C523" s="7">
        <f t="shared" si="1"/>
        <v>2011</v>
      </c>
      <c r="D523" s="14" t="str">
        <f t="shared" si="2"/>
        <v>11 - Nov</v>
      </c>
      <c r="E523" s="15" t="str">
        <f t="shared" si="3"/>
        <v>Sun</v>
      </c>
      <c r="F523" s="15">
        <f t="shared" si="4"/>
        <v>7</v>
      </c>
      <c r="G523" s="16">
        <v>40872.0</v>
      </c>
      <c r="H523" s="14">
        <f t="shared" si="5"/>
        <v>19</v>
      </c>
      <c r="I523" s="7" t="s">
        <v>305</v>
      </c>
      <c r="J523" s="7" t="s">
        <v>771</v>
      </c>
      <c r="K523" s="7" t="str">
        <f>VLOOKUP(J523,countries,2,false)</f>
        <v>Ukraine</v>
      </c>
      <c r="L523" s="7" t="str">
        <f>VLOOKUP($J523,countries,5,false)</f>
        <v>Europe</v>
      </c>
      <c r="M523" s="7" t="str">
        <f>VLOOKUP($J523,countries,6,false)</f>
        <v>Eastern Europe</v>
      </c>
      <c r="N523" s="7">
        <v>5988.0</v>
      </c>
      <c r="O523" s="7" t="str">
        <f>VLOOKUP(N523, products, 2, FALSE)</f>
        <v>Vegetables</v>
      </c>
      <c r="P523" s="7" t="s">
        <v>264</v>
      </c>
      <c r="Q523" s="7">
        <v>5794.0</v>
      </c>
      <c r="R523" s="17">
        <v>154.06</v>
      </c>
      <c r="S523" s="17">
        <v>90.93</v>
      </c>
      <c r="U523" s="18">
        <f t="shared" si="6"/>
        <v>892623.64</v>
      </c>
      <c r="V523" s="18">
        <f t="shared" si="7"/>
        <v>526848.42</v>
      </c>
      <c r="W523" s="19">
        <f t="shared" si="8"/>
        <v>365775.22</v>
      </c>
    </row>
    <row r="524">
      <c r="A524" s="7">
        <v>4.46045196E8</v>
      </c>
      <c r="B524" s="12">
        <v>42301.0</v>
      </c>
      <c r="C524" s="7">
        <f t="shared" si="1"/>
        <v>2015</v>
      </c>
      <c r="D524" s="14" t="str">
        <f t="shared" si="2"/>
        <v>10 - Oct</v>
      </c>
      <c r="E524" s="15" t="str">
        <f t="shared" si="3"/>
        <v>Sat</v>
      </c>
      <c r="F524" s="15">
        <f t="shared" si="4"/>
        <v>6</v>
      </c>
      <c r="G524" s="16">
        <v>42309.0</v>
      </c>
      <c r="H524" s="14">
        <f t="shared" si="5"/>
        <v>8</v>
      </c>
      <c r="I524" s="7" t="s">
        <v>364</v>
      </c>
      <c r="J524" s="7" t="s">
        <v>517</v>
      </c>
      <c r="K524" s="7" t="str">
        <f>VLOOKUP(J524,countries,2,false)</f>
        <v>Spain</v>
      </c>
      <c r="L524" s="7" t="str">
        <f>VLOOKUP($J524,countries,5,false)</f>
        <v>Europe</v>
      </c>
      <c r="M524" s="7" t="str">
        <f>VLOOKUP($J524,countries,6,false)</f>
        <v>Southern Europe</v>
      </c>
      <c r="N524" s="7">
        <v>4594.0</v>
      </c>
      <c r="O524" s="7" t="str">
        <f>VLOOKUP(N524, products, 2, FALSE)</f>
        <v>Fruits</v>
      </c>
      <c r="P524" s="7" t="s">
        <v>334</v>
      </c>
      <c r="Q524" s="7">
        <v>3540.0</v>
      </c>
      <c r="R524" s="17">
        <v>9.33</v>
      </c>
      <c r="S524" s="17">
        <v>6.92</v>
      </c>
      <c r="U524" s="18">
        <f t="shared" si="6"/>
        <v>33028.2</v>
      </c>
      <c r="V524" s="18">
        <f t="shared" si="7"/>
        <v>24496.8</v>
      </c>
      <c r="W524" s="19">
        <f t="shared" si="8"/>
        <v>8531.4</v>
      </c>
    </row>
    <row r="525">
      <c r="A525" s="7">
        <v>4.4718331E8</v>
      </c>
      <c r="B525" s="12">
        <v>41873.0</v>
      </c>
      <c r="C525" s="7">
        <f t="shared" si="1"/>
        <v>2014</v>
      </c>
      <c r="D525" s="14" t="str">
        <f t="shared" si="2"/>
        <v>08 - Aug</v>
      </c>
      <c r="E525" s="15" t="str">
        <f t="shared" si="3"/>
        <v>Fri</v>
      </c>
      <c r="F525" s="15">
        <f t="shared" si="4"/>
        <v>5</v>
      </c>
      <c r="G525" s="16">
        <v>41901.0</v>
      </c>
      <c r="H525" s="14">
        <f t="shared" si="5"/>
        <v>28</v>
      </c>
      <c r="I525" s="7" t="s">
        <v>305</v>
      </c>
      <c r="J525" s="7" t="s">
        <v>656</v>
      </c>
      <c r="K525" s="7" t="str">
        <f>VLOOKUP(J525,countries,2,false)</f>
        <v>San Marino</v>
      </c>
      <c r="L525" s="7" t="str">
        <f>VLOOKUP($J525,countries,5,false)</f>
        <v>Europe</v>
      </c>
      <c r="M525" s="7" t="str">
        <f>VLOOKUP($J525,countries,6,false)</f>
        <v>Southern Europe</v>
      </c>
      <c r="N525" s="7">
        <v>8293.0</v>
      </c>
      <c r="O525" s="7" t="str">
        <f>VLOOKUP(N525, products, 2, FALSE)</f>
        <v>Cosmetics</v>
      </c>
      <c r="P525" s="7" t="s">
        <v>334</v>
      </c>
      <c r="Q525" s="7">
        <v>334.0</v>
      </c>
      <c r="R525" s="17">
        <v>437.2</v>
      </c>
      <c r="S525" s="17">
        <v>263.33</v>
      </c>
      <c r="U525" s="18">
        <f t="shared" si="6"/>
        <v>146024.8</v>
      </c>
      <c r="V525" s="18">
        <f t="shared" si="7"/>
        <v>87952.22</v>
      </c>
      <c r="W525" s="19">
        <f t="shared" si="8"/>
        <v>58072.58</v>
      </c>
    </row>
    <row r="526">
      <c r="A526" s="7">
        <v>4.47536504E8</v>
      </c>
      <c r="B526" s="12">
        <v>40282.0</v>
      </c>
      <c r="C526" s="7">
        <f t="shared" si="1"/>
        <v>2010</v>
      </c>
      <c r="D526" s="14" t="str">
        <f t="shared" si="2"/>
        <v>04 - Apr</v>
      </c>
      <c r="E526" s="15" t="str">
        <f t="shared" si="3"/>
        <v>Wed</v>
      </c>
      <c r="F526" s="15">
        <f t="shared" si="4"/>
        <v>3</v>
      </c>
      <c r="G526" s="16">
        <v>40293.0</v>
      </c>
      <c r="H526" s="14">
        <f t="shared" si="5"/>
        <v>11</v>
      </c>
      <c r="I526" s="7" t="s">
        <v>399</v>
      </c>
      <c r="J526" s="7" t="s">
        <v>306</v>
      </c>
      <c r="K526" s="7" t="str">
        <f>VLOOKUP(J526,countries,2,false)</f>
        <v>Serbia</v>
      </c>
      <c r="L526" s="7" t="str">
        <f>VLOOKUP($J526,countries,5,false)</f>
        <v>Europe</v>
      </c>
      <c r="M526" s="7" t="str">
        <f>VLOOKUP($J526,countries,6,false)</f>
        <v>Southern Europe</v>
      </c>
      <c r="N526" s="7">
        <v>8875.0</v>
      </c>
      <c r="O526" s="7" t="str">
        <f>VLOOKUP(N526, products, 2, FALSE)</f>
        <v>Meat</v>
      </c>
      <c r="P526" s="7" t="s">
        <v>334</v>
      </c>
      <c r="Q526" s="7">
        <v>4852.0</v>
      </c>
      <c r="R526" s="17">
        <v>421.89</v>
      </c>
      <c r="S526" s="17">
        <v>364.69</v>
      </c>
      <c r="U526" s="18">
        <f t="shared" si="6"/>
        <v>2047010.28</v>
      </c>
      <c r="V526" s="18">
        <f t="shared" si="7"/>
        <v>1769475.88</v>
      </c>
      <c r="W526" s="19">
        <f t="shared" si="8"/>
        <v>277534.4</v>
      </c>
    </row>
    <row r="527">
      <c r="A527" s="7">
        <v>4.47684133E8</v>
      </c>
      <c r="B527" s="12">
        <v>42554.0</v>
      </c>
      <c r="C527" s="7">
        <f t="shared" si="1"/>
        <v>2016</v>
      </c>
      <c r="D527" s="14" t="str">
        <f t="shared" si="2"/>
        <v>07 - Jul</v>
      </c>
      <c r="E527" s="15" t="str">
        <f t="shared" si="3"/>
        <v>Sun</v>
      </c>
      <c r="F527" s="15">
        <f t="shared" si="4"/>
        <v>7</v>
      </c>
      <c r="G527" s="16">
        <v>42596.0</v>
      </c>
      <c r="H527" s="14">
        <f t="shared" si="5"/>
        <v>42</v>
      </c>
      <c r="I527" s="7" t="s">
        <v>232</v>
      </c>
      <c r="J527" s="7" t="s">
        <v>296</v>
      </c>
      <c r="K527" s="7" t="str">
        <f>VLOOKUP(J527,countries,2,false)</f>
        <v>France</v>
      </c>
      <c r="L527" s="7" t="str">
        <f>VLOOKUP($J527,countries,5,false)</f>
        <v>Europe</v>
      </c>
      <c r="M527" s="7" t="str">
        <f>VLOOKUP($J527,countries,6,false)</f>
        <v>Western Europe</v>
      </c>
      <c r="N527" s="7">
        <v>8969.0</v>
      </c>
      <c r="O527" s="7" t="str">
        <f>VLOOKUP(N527, products, 2, FALSE)</f>
        <v>Snacks</v>
      </c>
      <c r="P527" s="7" t="s">
        <v>334</v>
      </c>
      <c r="Q527" s="7">
        <v>8538.0</v>
      </c>
      <c r="R527" s="17">
        <v>152.58</v>
      </c>
      <c r="S527" s="17">
        <v>97.44</v>
      </c>
      <c r="U527" s="18">
        <f t="shared" si="6"/>
        <v>1302728.04</v>
      </c>
      <c r="V527" s="18">
        <f t="shared" si="7"/>
        <v>831942.72</v>
      </c>
      <c r="W527" s="19">
        <f t="shared" si="8"/>
        <v>470785.32</v>
      </c>
    </row>
    <row r="528">
      <c r="A528" s="7">
        <v>4.4920634E8</v>
      </c>
      <c r="B528" s="12">
        <v>42426.0</v>
      </c>
      <c r="C528" s="7">
        <f t="shared" si="1"/>
        <v>2016</v>
      </c>
      <c r="D528" s="14" t="str">
        <f t="shared" si="2"/>
        <v>02 - Feb</v>
      </c>
      <c r="E528" s="15" t="str">
        <f t="shared" si="3"/>
        <v>Fri</v>
      </c>
      <c r="F528" s="15">
        <f t="shared" si="4"/>
        <v>5</v>
      </c>
      <c r="G528" s="16">
        <v>42463.0</v>
      </c>
      <c r="H528" s="14">
        <f t="shared" si="5"/>
        <v>37</v>
      </c>
      <c r="I528" s="7" t="s">
        <v>399</v>
      </c>
      <c r="J528" s="7" t="s">
        <v>296</v>
      </c>
      <c r="K528" s="7" t="str">
        <f>VLOOKUP(J528,countries,2,false)</f>
        <v>France</v>
      </c>
      <c r="L528" s="7" t="str">
        <f>VLOOKUP($J528,countries,5,false)</f>
        <v>Europe</v>
      </c>
      <c r="M528" s="7" t="str">
        <f>VLOOKUP($J528,countries,6,false)</f>
        <v>Western Europe</v>
      </c>
      <c r="N528" s="7">
        <v>2103.0</v>
      </c>
      <c r="O528" s="7" t="str">
        <f>VLOOKUP(N528, products, 2, FALSE)</f>
        <v>Cereal</v>
      </c>
      <c r="P528" s="7" t="s">
        <v>334</v>
      </c>
      <c r="Q528" s="7">
        <v>8993.0</v>
      </c>
      <c r="R528" s="17">
        <v>205.7</v>
      </c>
      <c r="S528" s="17">
        <v>117.11</v>
      </c>
      <c r="U528" s="18">
        <f t="shared" si="6"/>
        <v>1849860.1</v>
      </c>
      <c r="V528" s="18">
        <f t="shared" si="7"/>
        <v>1053170.23</v>
      </c>
      <c r="W528" s="19">
        <f t="shared" si="8"/>
        <v>796689.87</v>
      </c>
    </row>
    <row r="529">
      <c r="A529" s="7">
        <v>4.50041043E8</v>
      </c>
      <c r="B529" s="12">
        <v>41718.0</v>
      </c>
      <c r="C529" s="7">
        <f t="shared" si="1"/>
        <v>2014</v>
      </c>
      <c r="D529" s="14" t="str">
        <f t="shared" si="2"/>
        <v>03 - Mar</v>
      </c>
      <c r="E529" s="15" t="str">
        <f t="shared" si="3"/>
        <v>Thu</v>
      </c>
      <c r="F529" s="15">
        <f t="shared" si="4"/>
        <v>4</v>
      </c>
      <c r="G529" s="16">
        <v>41745.0</v>
      </c>
      <c r="H529" s="14">
        <f t="shared" si="5"/>
        <v>27</v>
      </c>
      <c r="I529" s="7" t="s">
        <v>364</v>
      </c>
      <c r="J529" s="7" t="s">
        <v>611</v>
      </c>
      <c r="K529" s="7" t="str">
        <f>VLOOKUP(J529,countries,2,false)</f>
        <v>Portugal</v>
      </c>
      <c r="L529" s="7" t="str">
        <f>VLOOKUP($J529,countries,5,false)</f>
        <v>Europe</v>
      </c>
      <c r="M529" s="7" t="str">
        <f>VLOOKUP($J529,countries,6,false)</f>
        <v>Southern Europe</v>
      </c>
      <c r="N529" s="7">
        <v>8293.0</v>
      </c>
      <c r="O529" s="7" t="str">
        <f>VLOOKUP(N529, products, 2, FALSE)</f>
        <v>Cosmetics</v>
      </c>
      <c r="P529" s="7" t="s">
        <v>334</v>
      </c>
      <c r="Q529" s="7">
        <v>6000.0</v>
      </c>
      <c r="R529" s="17">
        <v>437.2</v>
      </c>
      <c r="S529" s="17">
        <v>263.33</v>
      </c>
      <c r="U529" s="18">
        <f t="shared" si="6"/>
        <v>2623200</v>
      </c>
      <c r="V529" s="18">
        <f t="shared" si="7"/>
        <v>1579980</v>
      </c>
      <c r="W529" s="19">
        <f t="shared" si="8"/>
        <v>1043220</v>
      </c>
    </row>
    <row r="530">
      <c r="A530" s="7">
        <v>4.50550019E8</v>
      </c>
      <c r="B530" s="12">
        <v>40901.0</v>
      </c>
      <c r="C530" s="7">
        <f t="shared" si="1"/>
        <v>2011</v>
      </c>
      <c r="D530" s="14" t="str">
        <f t="shared" si="2"/>
        <v>12 - Dec</v>
      </c>
      <c r="E530" s="15" t="str">
        <f t="shared" si="3"/>
        <v>Sat</v>
      </c>
      <c r="F530" s="15">
        <f t="shared" si="4"/>
        <v>6</v>
      </c>
      <c r="G530" s="16">
        <v>40910.0</v>
      </c>
      <c r="H530" s="14">
        <f t="shared" si="5"/>
        <v>9</v>
      </c>
      <c r="I530" s="7" t="s">
        <v>232</v>
      </c>
      <c r="J530" s="7" t="s">
        <v>626</v>
      </c>
      <c r="K530" s="7" t="str">
        <f>VLOOKUP(J530,countries,2,false)</f>
        <v>Russia</v>
      </c>
      <c r="L530" s="7" t="str">
        <f>VLOOKUP($J530,countries,5,false)</f>
        <v>Europe</v>
      </c>
      <c r="M530" s="7" t="str">
        <f>VLOOKUP($J530,countries,6,false)</f>
        <v>Eastern Europe</v>
      </c>
      <c r="N530" s="7">
        <v>7331.0</v>
      </c>
      <c r="O530" s="7" t="str">
        <f>VLOOKUP(N530, products, 2, FALSE)</f>
        <v>Baby Food</v>
      </c>
      <c r="P530" s="7" t="s">
        <v>334</v>
      </c>
      <c r="Q530" s="7">
        <v>6618.0</v>
      </c>
      <c r="R530" s="17">
        <v>255.28</v>
      </c>
      <c r="S530" s="17">
        <v>159.42</v>
      </c>
      <c r="U530" s="18">
        <f t="shared" si="6"/>
        <v>1689443.04</v>
      </c>
      <c r="V530" s="18">
        <f t="shared" si="7"/>
        <v>1055041.56</v>
      </c>
      <c r="W530" s="19">
        <f t="shared" si="8"/>
        <v>634401.48</v>
      </c>
    </row>
    <row r="531">
      <c r="A531" s="7">
        <v>4.52471768E8</v>
      </c>
      <c r="B531" s="12">
        <v>42018.0</v>
      </c>
      <c r="C531" s="7">
        <f t="shared" si="1"/>
        <v>2015</v>
      </c>
      <c r="D531" s="14" t="str">
        <f t="shared" si="2"/>
        <v>01 - Jan</v>
      </c>
      <c r="E531" s="15" t="str">
        <f t="shared" si="3"/>
        <v>Wed</v>
      </c>
      <c r="F531" s="15">
        <f t="shared" si="4"/>
        <v>3</v>
      </c>
      <c r="G531" s="16">
        <v>42045.0</v>
      </c>
      <c r="H531" s="14">
        <f t="shared" si="5"/>
        <v>27</v>
      </c>
      <c r="I531" s="7" t="s">
        <v>364</v>
      </c>
      <c r="J531" s="7" t="s">
        <v>717</v>
      </c>
      <c r="K531" s="7" t="str">
        <f>VLOOKUP(J531,countries,2,false)</f>
        <v>Sweden</v>
      </c>
      <c r="L531" s="7" t="str">
        <f>VLOOKUP($J531,countries,5,false)</f>
        <v>Europe</v>
      </c>
      <c r="M531" s="7" t="str">
        <f>VLOOKUP($J531,countries,6,false)</f>
        <v>Northern Europe</v>
      </c>
      <c r="N531" s="7">
        <v>4594.0</v>
      </c>
      <c r="O531" s="7" t="str">
        <f>VLOOKUP(N531, products, 2, FALSE)</f>
        <v>Fruits</v>
      </c>
      <c r="P531" s="7" t="s">
        <v>334</v>
      </c>
      <c r="Q531" s="7">
        <v>5306.0</v>
      </c>
      <c r="R531" s="17">
        <v>9.33</v>
      </c>
      <c r="S531" s="17">
        <v>6.92</v>
      </c>
      <c r="U531" s="18">
        <f t="shared" si="6"/>
        <v>49504.98</v>
      </c>
      <c r="V531" s="18">
        <f t="shared" si="7"/>
        <v>36717.52</v>
      </c>
      <c r="W531" s="19">
        <f t="shared" si="8"/>
        <v>12787.46</v>
      </c>
    </row>
    <row r="532">
      <c r="A532" s="7">
        <v>4.52559745E8</v>
      </c>
      <c r="B532" s="12">
        <v>41716.0</v>
      </c>
      <c r="C532" s="7">
        <f t="shared" si="1"/>
        <v>2014</v>
      </c>
      <c r="D532" s="14" t="str">
        <f t="shared" si="2"/>
        <v>03 - Mar</v>
      </c>
      <c r="E532" s="15" t="str">
        <f t="shared" si="3"/>
        <v>Tue</v>
      </c>
      <c r="F532" s="15">
        <f t="shared" si="4"/>
        <v>2</v>
      </c>
      <c r="G532" s="16">
        <v>41717.0</v>
      </c>
      <c r="H532" s="14">
        <f t="shared" si="5"/>
        <v>1</v>
      </c>
      <c r="I532" s="7" t="s">
        <v>364</v>
      </c>
      <c r="J532" s="7" t="s">
        <v>348</v>
      </c>
      <c r="K532" s="7" t="s">
        <v>348</v>
      </c>
      <c r="L532" s="7" t="s">
        <v>348</v>
      </c>
      <c r="M532" s="7" t="s">
        <v>348</v>
      </c>
      <c r="N532" s="7">
        <v>5988.0</v>
      </c>
      <c r="O532" s="7" t="str">
        <f>VLOOKUP(N532, products, 2, FALSE)</f>
        <v>Vegetables</v>
      </c>
      <c r="P532" s="7" t="s">
        <v>334</v>
      </c>
      <c r="Q532" s="7">
        <v>1340.0</v>
      </c>
      <c r="R532" s="17">
        <v>154.06</v>
      </c>
      <c r="S532" s="17">
        <v>90.93</v>
      </c>
      <c r="U532" s="18">
        <f t="shared" si="6"/>
        <v>206440.4</v>
      </c>
      <c r="V532" s="18">
        <f t="shared" si="7"/>
        <v>121846.2</v>
      </c>
      <c r="W532" s="19">
        <f t="shared" si="8"/>
        <v>84594.2</v>
      </c>
    </row>
    <row r="533">
      <c r="A533" s="7">
        <v>4.54550588E8</v>
      </c>
      <c r="B533" s="12">
        <v>40761.0</v>
      </c>
      <c r="C533" s="7">
        <f t="shared" si="1"/>
        <v>2011</v>
      </c>
      <c r="D533" s="14" t="str">
        <f t="shared" si="2"/>
        <v>08 - Aug</v>
      </c>
      <c r="E533" s="15" t="str">
        <f t="shared" si="3"/>
        <v>Sat</v>
      </c>
      <c r="F533" s="15">
        <f t="shared" si="4"/>
        <v>6</v>
      </c>
      <c r="G533" s="16">
        <v>40792.0</v>
      </c>
      <c r="H533" s="14">
        <f t="shared" si="5"/>
        <v>31</v>
      </c>
      <c r="I533" s="7" t="s">
        <v>305</v>
      </c>
      <c r="J533" s="7" t="s">
        <v>608</v>
      </c>
      <c r="K533" s="7" t="str">
        <f>VLOOKUP(J533,countries,2,false)</f>
        <v>Poland</v>
      </c>
      <c r="L533" s="7" t="str">
        <f>VLOOKUP($J533,countries,5,false)</f>
        <v>Europe</v>
      </c>
      <c r="M533" s="7" t="str">
        <f>VLOOKUP($J533,countries,6,false)</f>
        <v>Eastern Europe</v>
      </c>
      <c r="N533" s="7">
        <v>2103.0</v>
      </c>
      <c r="O533" s="7" t="str">
        <f>VLOOKUP(N533, products, 2, FALSE)</f>
        <v>Cereal</v>
      </c>
      <c r="P533" s="7" t="s">
        <v>264</v>
      </c>
      <c r="Q533" s="7">
        <v>475.0</v>
      </c>
      <c r="R533" s="17">
        <v>205.7</v>
      </c>
      <c r="S533" s="17">
        <v>117.11</v>
      </c>
      <c r="U533" s="18">
        <f t="shared" si="6"/>
        <v>97707.5</v>
      </c>
      <c r="V533" s="18">
        <f t="shared" si="7"/>
        <v>55627.25</v>
      </c>
      <c r="W533" s="19">
        <f t="shared" si="8"/>
        <v>42080.25</v>
      </c>
    </row>
    <row r="534">
      <c r="A534" s="7">
        <v>4.55040681E8</v>
      </c>
      <c r="B534" s="12">
        <v>40940.0</v>
      </c>
      <c r="C534" s="7">
        <f t="shared" si="1"/>
        <v>2012</v>
      </c>
      <c r="D534" s="14" t="str">
        <f t="shared" si="2"/>
        <v>02 - Feb</v>
      </c>
      <c r="E534" s="15" t="str">
        <f t="shared" si="3"/>
        <v>Wed</v>
      </c>
      <c r="F534" s="15">
        <f t="shared" si="4"/>
        <v>3</v>
      </c>
      <c r="G534" s="16">
        <v>40941.0</v>
      </c>
      <c r="H534" s="14">
        <f t="shared" si="5"/>
        <v>1</v>
      </c>
      <c r="I534" s="7" t="s">
        <v>364</v>
      </c>
      <c r="J534" s="7" t="s">
        <v>296</v>
      </c>
      <c r="K534" s="7" t="str">
        <f>VLOOKUP(J534,countries,2,false)</f>
        <v>France</v>
      </c>
      <c r="L534" s="7" t="str">
        <f>VLOOKUP($J534,countries,5,false)</f>
        <v>Europe</v>
      </c>
      <c r="M534" s="7" t="str">
        <f>VLOOKUP($J534,countries,6,false)</f>
        <v>Western Europe</v>
      </c>
      <c r="N534" s="7">
        <v>5988.0</v>
      </c>
      <c r="O534" s="7" t="str">
        <f>VLOOKUP(N534, products, 2, FALSE)</f>
        <v>Vegetables</v>
      </c>
      <c r="P534" s="7" t="s">
        <v>334</v>
      </c>
      <c r="Q534" s="7">
        <v>5504.0</v>
      </c>
      <c r="R534" s="17">
        <v>154.06</v>
      </c>
      <c r="S534" s="17">
        <v>90.93</v>
      </c>
      <c r="U534" s="18">
        <f t="shared" si="6"/>
        <v>847946.24</v>
      </c>
      <c r="V534" s="18">
        <f t="shared" si="7"/>
        <v>500478.72</v>
      </c>
      <c r="W534" s="19">
        <f t="shared" si="8"/>
        <v>347467.52</v>
      </c>
    </row>
    <row r="535">
      <c r="A535" s="7">
        <v>4.56192958E8</v>
      </c>
      <c r="B535" s="12">
        <v>41839.0</v>
      </c>
      <c r="C535" s="7">
        <f t="shared" si="1"/>
        <v>2014</v>
      </c>
      <c r="D535" s="14" t="str">
        <f t="shared" si="2"/>
        <v>07 - Jul</v>
      </c>
      <c r="E535" s="15" t="str">
        <f t="shared" si="3"/>
        <v>Sat</v>
      </c>
      <c r="F535" s="15">
        <f t="shared" si="4"/>
        <v>6</v>
      </c>
      <c r="G535" s="16">
        <v>41869.0</v>
      </c>
      <c r="H535" s="14">
        <f t="shared" si="5"/>
        <v>30</v>
      </c>
      <c r="I535" s="7" t="s">
        <v>364</v>
      </c>
      <c r="J535" s="7" t="s">
        <v>570</v>
      </c>
      <c r="K535" s="7" t="str">
        <f>VLOOKUP(J535,countries,2,false)</f>
        <v>Macedonia</v>
      </c>
      <c r="L535" s="7" t="str">
        <f>VLOOKUP($J535,countries,5,false)</f>
        <v>Europe</v>
      </c>
      <c r="M535" s="7" t="str">
        <f>VLOOKUP($J535,countries,6,false)</f>
        <v>Southern Europe</v>
      </c>
      <c r="N535" s="7">
        <v>3127.0</v>
      </c>
      <c r="O535" s="7" t="str">
        <f>VLOOKUP(N535, products, 2, FALSE)</f>
        <v>Personal Care</v>
      </c>
      <c r="P535" s="7" t="s">
        <v>264</v>
      </c>
      <c r="Q535" s="7">
        <v>6489.0</v>
      </c>
      <c r="R535" s="17">
        <v>81.73</v>
      </c>
      <c r="S535" s="17">
        <v>56.67</v>
      </c>
      <c r="U535" s="18">
        <f t="shared" si="6"/>
        <v>530345.97</v>
      </c>
      <c r="V535" s="18">
        <f t="shared" si="7"/>
        <v>367731.63</v>
      </c>
      <c r="W535" s="19">
        <f t="shared" si="8"/>
        <v>162614.34</v>
      </c>
    </row>
    <row r="536">
      <c r="A536" s="7">
        <v>4.56527268E8</v>
      </c>
      <c r="B536" s="12">
        <v>41244.0</v>
      </c>
      <c r="C536" s="7">
        <f t="shared" si="1"/>
        <v>2012</v>
      </c>
      <c r="D536" s="14" t="str">
        <f t="shared" si="2"/>
        <v>12 - Dec</v>
      </c>
      <c r="E536" s="15" t="str">
        <f t="shared" si="3"/>
        <v>Sat</v>
      </c>
      <c r="F536" s="15">
        <f t="shared" si="4"/>
        <v>6</v>
      </c>
      <c r="G536" s="16">
        <v>41245.0</v>
      </c>
      <c r="H536" s="14">
        <f t="shared" si="5"/>
        <v>1</v>
      </c>
      <c r="I536" s="7" t="s">
        <v>364</v>
      </c>
      <c r="J536" s="7" t="s">
        <v>124</v>
      </c>
      <c r="K536" s="7" t="str">
        <f>VLOOKUP(J536,countries,2,false)</f>
        <v>Belgium</v>
      </c>
      <c r="L536" s="7" t="str">
        <f>VLOOKUP($J536,countries,5,false)</f>
        <v>Europe</v>
      </c>
      <c r="M536" s="7" t="str">
        <f>VLOOKUP($J536,countries,6,false)</f>
        <v>Western Europe</v>
      </c>
      <c r="N536" s="7">
        <v>8681.0</v>
      </c>
      <c r="O536" s="7" t="str">
        <f>VLOOKUP(N536, products, 2, FALSE)</f>
        <v>Office Supplies</v>
      </c>
      <c r="P536" s="7" t="s">
        <v>334</v>
      </c>
      <c r="Q536" s="7">
        <v>5419.0</v>
      </c>
      <c r="R536" s="17">
        <v>651.21</v>
      </c>
      <c r="S536" s="17">
        <v>524.96</v>
      </c>
      <c r="U536" s="18">
        <f t="shared" si="6"/>
        <v>3528906.99</v>
      </c>
      <c r="V536" s="18">
        <f t="shared" si="7"/>
        <v>2844758.24</v>
      </c>
      <c r="W536" s="19">
        <f t="shared" si="8"/>
        <v>684148.75</v>
      </c>
    </row>
    <row r="537">
      <c r="A537" s="7">
        <v>4.56934964E8</v>
      </c>
      <c r="B537" s="12">
        <v>40991.0</v>
      </c>
      <c r="C537" s="7">
        <f t="shared" si="1"/>
        <v>2012</v>
      </c>
      <c r="D537" s="14" t="str">
        <f t="shared" si="2"/>
        <v>03 - Mar</v>
      </c>
      <c r="E537" s="15" t="str">
        <f t="shared" si="3"/>
        <v>Fri</v>
      </c>
      <c r="F537" s="15">
        <f t="shared" si="4"/>
        <v>5</v>
      </c>
      <c r="G537" s="16">
        <v>41034.0</v>
      </c>
      <c r="H537" s="14">
        <f t="shared" si="5"/>
        <v>43</v>
      </c>
      <c r="I537" s="7" t="s">
        <v>364</v>
      </c>
      <c r="J537" s="7" t="s">
        <v>656</v>
      </c>
      <c r="K537" s="7" t="str">
        <f>VLOOKUP(J537,countries,2,false)</f>
        <v>San Marino</v>
      </c>
      <c r="L537" s="7" t="str">
        <f>VLOOKUP($J537,countries,5,false)</f>
        <v>Europe</v>
      </c>
      <c r="M537" s="7" t="str">
        <f>VLOOKUP($J537,countries,6,false)</f>
        <v>Southern Europe</v>
      </c>
      <c r="N537" s="7">
        <v>8875.0</v>
      </c>
      <c r="O537" s="7" t="str">
        <f>VLOOKUP(N537, products, 2, FALSE)</f>
        <v>Meat</v>
      </c>
      <c r="P537" s="7" t="s">
        <v>334</v>
      </c>
      <c r="Q537" s="7">
        <v>6065.0</v>
      </c>
      <c r="R537" s="17">
        <v>421.89</v>
      </c>
      <c r="S537" s="17">
        <v>364.69</v>
      </c>
      <c r="U537" s="18">
        <f t="shared" si="6"/>
        <v>2558762.85</v>
      </c>
      <c r="V537" s="18">
        <f t="shared" si="7"/>
        <v>2211844.85</v>
      </c>
      <c r="W537" s="19">
        <f t="shared" si="8"/>
        <v>346918</v>
      </c>
    </row>
    <row r="538">
      <c r="A538" s="7">
        <v>4.58816373E8</v>
      </c>
      <c r="B538" s="12">
        <v>42098.0</v>
      </c>
      <c r="C538" s="7">
        <f t="shared" si="1"/>
        <v>2015</v>
      </c>
      <c r="D538" s="14" t="str">
        <f t="shared" si="2"/>
        <v>04 - Apr</v>
      </c>
      <c r="E538" s="15" t="str">
        <f t="shared" si="3"/>
        <v>Sat</v>
      </c>
      <c r="F538" s="15">
        <f t="shared" si="4"/>
        <v>6</v>
      </c>
      <c r="G538" s="16">
        <v>42110.0</v>
      </c>
      <c r="H538" s="14">
        <f t="shared" si="5"/>
        <v>12</v>
      </c>
      <c r="I538" s="7" t="s">
        <v>364</v>
      </c>
      <c r="J538" s="7" t="s">
        <v>348</v>
      </c>
      <c r="K538" s="7" t="s">
        <v>348</v>
      </c>
      <c r="L538" s="7" t="s">
        <v>348</v>
      </c>
      <c r="M538" s="7" t="s">
        <v>348</v>
      </c>
      <c r="N538" s="7">
        <v>8681.0</v>
      </c>
      <c r="O538" s="7" t="str">
        <f>VLOOKUP(N538, products, 2, FALSE)</f>
        <v>Office Supplies</v>
      </c>
      <c r="P538" s="7" t="s">
        <v>334</v>
      </c>
      <c r="Q538" s="7">
        <v>2815.0</v>
      </c>
      <c r="R538" s="17">
        <v>651.21</v>
      </c>
      <c r="S538" s="17">
        <v>524.96</v>
      </c>
      <c r="U538" s="18">
        <f t="shared" si="6"/>
        <v>1833156.15</v>
      </c>
      <c r="V538" s="18">
        <f t="shared" si="7"/>
        <v>1477762.4</v>
      </c>
      <c r="W538" s="19">
        <f t="shared" si="8"/>
        <v>355393.75</v>
      </c>
    </row>
    <row r="539">
      <c r="A539" s="7">
        <v>4.59277713E8</v>
      </c>
      <c r="B539" s="12">
        <v>41593.0</v>
      </c>
      <c r="C539" s="7">
        <f t="shared" si="1"/>
        <v>2013</v>
      </c>
      <c r="D539" s="14" t="str">
        <f t="shared" si="2"/>
        <v>11 - Nov</v>
      </c>
      <c r="E539" s="15" t="str">
        <f t="shared" si="3"/>
        <v>Fri</v>
      </c>
      <c r="F539" s="15">
        <f t="shared" si="4"/>
        <v>5</v>
      </c>
      <c r="G539" s="16">
        <v>41612.0</v>
      </c>
      <c r="H539" s="14">
        <f t="shared" si="5"/>
        <v>19</v>
      </c>
      <c r="I539" s="7" t="s">
        <v>232</v>
      </c>
      <c r="J539" s="7" t="s">
        <v>517</v>
      </c>
      <c r="K539" s="7" t="str">
        <f>VLOOKUP(J539,countries,2,false)</f>
        <v>Spain</v>
      </c>
      <c r="L539" s="7" t="str">
        <f>VLOOKUP($J539,countries,5,false)</f>
        <v>Europe</v>
      </c>
      <c r="M539" s="7" t="str">
        <f>VLOOKUP($J539,countries,6,false)</f>
        <v>Southern Europe</v>
      </c>
      <c r="N539" s="7">
        <v>8875.0</v>
      </c>
      <c r="O539" s="7" t="str">
        <f>VLOOKUP(N539, products, 2, FALSE)</f>
        <v>Meat</v>
      </c>
      <c r="P539" s="7" t="s">
        <v>264</v>
      </c>
      <c r="Q539" s="7">
        <v>9336.0</v>
      </c>
      <c r="R539" s="17">
        <v>421.89</v>
      </c>
      <c r="S539" s="17">
        <v>364.69</v>
      </c>
      <c r="U539" s="18">
        <f t="shared" si="6"/>
        <v>3938765.04</v>
      </c>
      <c r="V539" s="18">
        <f t="shared" si="7"/>
        <v>3404745.84</v>
      </c>
      <c r="W539" s="19">
        <f t="shared" si="8"/>
        <v>534019.2</v>
      </c>
    </row>
    <row r="540">
      <c r="A540" s="7">
        <v>4.59372985E8</v>
      </c>
      <c r="B540" s="12">
        <v>40969.0</v>
      </c>
      <c r="C540" s="7">
        <f t="shared" si="1"/>
        <v>2012</v>
      </c>
      <c r="D540" s="14" t="str">
        <f t="shared" si="2"/>
        <v>03 - Mar</v>
      </c>
      <c r="E540" s="15" t="str">
        <f t="shared" si="3"/>
        <v>Thu</v>
      </c>
      <c r="F540" s="15">
        <f t="shared" si="4"/>
        <v>4</v>
      </c>
      <c r="G540" s="16">
        <v>40990.0</v>
      </c>
      <c r="H540" s="14">
        <f t="shared" si="5"/>
        <v>21</v>
      </c>
      <c r="I540" s="7" t="s">
        <v>399</v>
      </c>
      <c r="J540" s="7" t="s">
        <v>406</v>
      </c>
      <c r="K540" s="7" t="str">
        <f>VLOOKUP(J540,countries,2,false)</f>
        <v>Italy</v>
      </c>
      <c r="L540" s="7" t="str">
        <f>VLOOKUP($J540,countries,5,false)</f>
        <v>Europe</v>
      </c>
      <c r="M540" s="7" t="str">
        <f>VLOOKUP($J540,countries,6,false)</f>
        <v>Southern Europe</v>
      </c>
      <c r="N540" s="7">
        <v>7331.0</v>
      </c>
      <c r="O540" s="7" t="str">
        <f>VLOOKUP(N540, products, 2, FALSE)</f>
        <v>Baby Food</v>
      </c>
      <c r="P540" s="7" t="s">
        <v>334</v>
      </c>
      <c r="Q540" s="7">
        <v>7529.0</v>
      </c>
      <c r="R540" s="17">
        <v>255.28</v>
      </c>
      <c r="S540" s="17">
        <v>159.42</v>
      </c>
      <c r="U540" s="18">
        <f t="shared" si="6"/>
        <v>1922003.12</v>
      </c>
      <c r="V540" s="18">
        <f t="shared" si="7"/>
        <v>1200273.18</v>
      </c>
      <c r="W540" s="19">
        <f t="shared" si="8"/>
        <v>721729.94</v>
      </c>
    </row>
    <row r="541">
      <c r="A541" s="7">
        <v>4.60693061E8</v>
      </c>
      <c r="B541" s="12">
        <v>42763.0</v>
      </c>
      <c r="C541" s="7">
        <f t="shared" si="1"/>
        <v>2017</v>
      </c>
      <c r="D541" s="14" t="str">
        <f t="shared" si="2"/>
        <v>01 - Jan</v>
      </c>
      <c r="E541" s="15" t="str">
        <f t="shared" si="3"/>
        <v>Sat</v>
      </c>
      <c r="F541" s="15">
        <f t="shared" si="4"/>
        <v>6</v>
      </c>
      <c r="G541" s="16">
        <v>42791.0</v>
      </c>
      <c r="H541" s="14">
        <f t="shared" si="5"/>
        <v>28</v>
      </c>
      <c r="I541" s="7" t="s">
        <v>305</v>
      </c>
      <c r="J541" s="7" t="s">
        <v>316</v>
      </c>
      <c r="K541" s="7" t="str">
        <f>VLOOKUP(J541,countries,2,false)</f>
        <v>Georgia</v>
      </c>
      <c r="L541" s="7" t="str">
        <f>VLOOKUP($J541,countries,5,false)</f>
        <v>Asia</v>
      </c>
      <c r="M541" s="7" t="str">
        <f>VLOOKUP($J541,countries,6,false)</f>
        <v>Western Asia</v>
      </c>
      <c r="N541" s="7">
        <v>4594.0</v>
      </c>
      <c r="O541" s="7" t="str">
        <f>VLOOKUP(N541, products, 2, FALSE)</f>
        <v>Fruits</v>
      </c>
      <c r="P541" s="7" t="s">
        <v>334</v>
      </c>
      <c r="Q541" s="7">
        <v>8169.0</v>
      </c>
      <c r="R541" s="17">
        <v>9.33</v>
      </c>
      <c r="S541" s="17">
        <v>6.92</v>
      </c>
      <c r="U541" s="18">
        <f t="shared" si="6"/>
        <v>76216.77</v>
      </c>
      <c r="V541" s="18">
        <f t="shared" si="7"/>
        <v>56529.48</v>
      </c>
      <c r="W541" s="19">
        <f t="shared" si="8"/>
        <v>19687.29</v>
      </c>
    </row>
    <row r="542">
      <c r="A542" s="7">
        <v>4.61445796E8</v>
      </c>
      <c r="B542" s="12">
        <v>42417.0</v>
      </c>
      <c r="C542" s="7">
        <f t="shared" si="1"/>
        <v>2016</v>
      </c>
      <c r="D542" s="14" t="str">
        <f t="shared" si="2"/>
        <v>02 - Feb</v>
      </c>
      <c r="E542" s="15" t="str">
        <f t="shared" si="3"/>
        <v>Wed</v>
      </c>
      <c r="F542" s="15">
        <f t="shared" si="4"/>
        <v>3</v>
      </c>
      <c r="G542" s="16">
        <v>42451.0</v>
      </c>
      <c r="H542" s="14">
        <f t="shared" si="5"/>
        <v>34</v>
      </c>
      <c r="I542" s="7" t="s">
        <v>364</v>
      </c>
      <c r="J542" s="7" t="s">
        <v>348</v>
      </c>
      <c r="K542" s="7" t="s">
        <v>348</v>
      </c>
      <c r="L542" s="7" t="s">
        <v>348</v>
      </c>
      <c r="M542" s="7" t="s">
        <v>348</v>
      </c>
      <c r="N542" s="7">
        <v>3127.0</v>
      </c>
      <c r="O542" s="7" t="str">
        <f>VLOOKUP(N542, products, 2, FALSE)</f>
        <v>Personal Care</v>
      </c>
      <c r="P542" s="7" t="s">
        <v>264</v>
      </c>
      <c r="Q542" s="7">
        <v>920.0</v>
      </c>
      <c r="R542" s="17">
        <v>81.73</v>
      </c>
      <c r="S542" s="17">
        <v>56.67</v>
      </c>
      <c r="U542" s="18">
        <f t="shared" si="6"/>
        <v>75191.6</v>
      </c>
      <c r="V542" s="18">
        <f t="shared" si="7"/>
        <v>52136.4</v>
      </c>
      <c r="W542" s="19">
        <f t="shared" si="8"/>
        <v>23055.2</v>
      </c>
    </row>
    <row r="543">
      <c r="A543" s="7">
        <v>4.61917865E8</v>
      </c>
      <c r="B543" s="12">
        <v>42415.0</v>
      </c>
      <c r="C543" s="7">
        <f t="shared" si="1"/>
        <v>2016</v>
      </c>
      <c r="D543" s="14" t="str">
        <f t="shared" si="2"/>
        <v>02 - Feb</v>
      </c>
      <c r="E543" s="15" t="str">
        <f t="shared" si="3"/>
        <v>Mon</v>
      </c>
      <c r="F543" s="15">
        <f t="shared" si="4"/>
        <v>1</v>
      </c>
      <c r="G543" s="16">
        <v>42450.0</v>
      </c>
      <c r="H543" s="14">
        <f t="shared" si="5"/>
        <v>35</v>
      </c>
      <c r="I543" s="7" t="s">
        <v>305</v>
      </c>
      <c r="J543" s="7" t="s">
        <v>365</v>
      </c>
      <c r="K543" s="7" t="str">
        <f>VLOOKUP(J543,countries,2,false)</f>
        <v>Montenegro</v>
      </c>
      <c r="L543" s="7" t="str">
        <f>VLOOKUP($J543,countries,5,false)</f>
        <v>Europe</v>
      </c>
      <c r="M543" s="7" t="str">
        <f>VLOOKUP($J543,countries,6,false)</f>
        <v>Southern Europe</v>
      </c>
      <c r="N543" s="7">
        <v>7331.0</v>
      </c>
      <c r="O543" s="7" t="str">
        <f>VLOOKUP(N543, products, 2, FALSE)</f>
        <v>Baby Food</v>
      </c>
      <c r="P543" s="7" t="s">
        <v>334</v>
      </c>
      <c r="Q543" s="7">
        <v>616.0</v>
      </c>
      <c r="R543" s="17">
        <v>255.28</v>
      </c>
      <c r="S543" s="17">
        <v>159.42</v>
      </c>
      <c r="U543" s="18">
        <f t="shared" si="6"/>
        <v>157252.48</v>
      </c>
      <c r="V543" s="18">
        <f t="shared" si="7"/>
        <v>98202.72</v>
      </c>
      <c r="W543" s="19">
        <f t="shared" si="8"/>
        <v>59049.76</v>
      </c>
    </row>
    <row r="544">
      <c r="A544" s="7">
        <v>4.62561166E8</v>
      </c>
      <c r="B544" s="12">
        <v>41366.0</v>
      </c>
      <c r="C544" s="7">
        <f t="shared" si="1"/>
        <v>2013</v>
      </c>
      <c r="D544" s="14" t="str">
        <f t="shared" si="2"/>
        <v>04 - Apr</v>
      </c>
      <c r="E544" s="15" t="str">
        <f t="shared" si="3"/>
        <v>Tue</v>
      </c>
      <c r="F544" s="15">
        <f t="shared" si="4"/>
        <v>2</v>
      </c>
      <c r="G544" s="16">
        <v>41396.0</v>
      </c>
      <c r="H544" s="14">
        <f t="shared" si="5"/>
        <v>30</v>
      </c>
      <c r="I544" s="7" t="s">
        <v>399</v>
      </c>
      <c r="J544" s="7" t="s">
        <v>517</v>
      </c>
      <c r="K544" s="7" t="str">
        <f>VLOOKUP(J544,countries,2,false)</f>
        <v>Spain</v>
      </c>
      <c r="L544" s="7" t="str">
        <f>VLOOKUP($J544,countries,5,false)</f>
        <v>Europe</v>
      </c>
      <c r="M544" s="7" t="str">
        <f>VLOOKUP($J544,countries,6,false)</f>
        <v>Southern Europe</v>
      </c>
      <c r="N544" s="7">
        <v>8875.0</v>
      </c>
      <c r="O544" s="7" t="str">
        <f>VLOOKUP(N544, products, 2, FALSE)</f>
        <v>Meat</v>
      </c>
      <c r="P544" s="7" t="s">
        <v>264</v>
      </c>
      <c r="Q544" s="7">
        <v>983.0</v>
      </c>
      <c r="R544" s="17">
        <v>421.89</v>
      </c>
      <c r="S544" s="17">
        <v>364.69</v>
      </c>
      <c r="U544" s="18">
        <f t="shared" si="6"/>
        <v>414717.87</v>
      </c>
      <c r="V544" s="18">
        <f t="shared" si="7"/>
        <v>358490.27</v>
      </c>
      <c r="W544" s="19">
        <f t="shared" si="8"/>
        <v>56227.6</v>
      </c>
    </row>
    <row r="545">
      <c r="A545" s="7">
        <v>4.63591134E8</v>
      </c>
      <c r="B545" s="12">
        <v>42618.0</v>
      </c>
      <c r="C545" s="7">
        <f t="shared" si="1"/>
        <v>2016</v>
      </c>
      <c r="D545" s="14" t="str">
        <f t="shared" si="2"/>
        <v>09 - Sep</v>
      </c>
      <c r="E545" s="15" t="str">
        <f t="shared" si="3"/>
        <v>Mon</v>
      </c>
      <c r="F545" s="15">
        <f t="shared" si="4"/>
        <v>1</v>
      </c>
      <c r="G545" s="16">
        <v>42644.0</v>
      </c>
      <c r="H545" s="14">
        <f t="shared" si="5"/>
        <v>26</v>
      </c>
      <c r="I545" s="7" t="s">
        <v>305</v>
      </c>
      <c r="J545" s="7" t="s">
        <v>468</v>
      </c>
      <c r="K545" s="7" t="str">
        <f>VLOOKUP(J545,countries,2,false)</f>
        <v>Luxembourg</v>
      </c>
      <c r="L545" s="7" t="str">
        <f>VLOOKUP($J545,countries,5,false)</f>
        <v>Europe</v>
      </c>
      <c r="M545" s="7" t="str">
        <f>VLOOKUP($J545,countries,6,false)</f>
        <v>Western Europe</v>
      </c>
      <c r="N545" s="7">
        <v>7940.0</v>
      </c>
      <c r="O545" s="7" t="str">
        <f>VLOOKUP(N545, products, 2, FALSE)</f>
        <v>Household</v>
      </c>
      <c r="P545" s="7" t="s">
        <v>334</v>
      </c>
      <c r="Q545" s="7">
        <v>5773.0</v>
      </c>
      <c r="R545" s="17">
        <v>668.27</v>
      </c>
      <c r="S545" s="17">
        <v>502.54</v>
      </c>
      <c r="U545" s="18">
        <f t="shared" si="6"/>
        <v>3857922.71</v>
      </c>
      <c r="V545" s="18">
        <f t="shared" si="7"/>
        <v>2901163.42</v>
      </c>
      <c r="W545" s="19">
        <f t="shared" si="8"/>
        <v>956759.29</v>
      </c>
    </row>
    <row r="546">
      <c r="A546" s="7">
        <v>4.6491121E8</v>
      </c>
      <c r="B546" s="12">
        <v>41646.0</v>
      </c>
      <c r="C546" s="7">
        <f t="shared" si="1"/>
        <v>2014</v>
      </c>
      <c r="D546" s="14" t="str">
        <f t="shared" si="2"/>
        <v>01 - Jan</v>
      </c>
      <c r="E546" s="15" t="str">
        <f t="shared" si="3"/>
        <v>Tue</v>
      </c>
      <c r="F546" s="15">
        <f t="shared" si="4"/>
        <v>2</v>
      </c>
      <c r="G546" s="16">
        <v>41680.0</v>
      </c>
      <c r="H546" s="14">
        <f t="shared" si="5"/>
        <v>34</v>
      </c>
      <c r="I546" s="7" t="s">
        <v>364</v>
      </c>
      <c r="J546" s="7" t="s">
        <v>406</v>
      </c>
      <c r="K546" s="7" t="str">
        <f>VLOOKUP(J546,countries,2,false)</f>
        <v>Italy</v>
      </c>
      <c r="L546" s="7" t="str">
        <f>VLOOKUP($J546,countries,5,false)</f>
        <v>Europe</v>
      </c>
      <c r="M546" s="7" t="str">
        <f>VLOOKUP($J546,countries,6,false)</f>
        <v>Southern Europe</v>
      </c>
      <c r="N546" s="7">
        <v>8969.0</v>
      </c>
      <c r="O546" s="7" t="str">
        <f>VLOOKUP(N546, products, 2, FALSE)</f>
        <v>Snacks</v>
      </c>
      <c r="P546" s="7" t="s">
        <v>334</v>
      </c>
      <c r="Q546" s="7">
        <v>6413.0</v>
      </c>
      <c r="R546" s="17">
        <v>152.58</v>
      </c>
      <c r="S546" s="17">
        <v>97.44</v>
      </c>
      <c r="U546" s="18">
        <f t="shared" si="6"/>
        <v>978495.54</v>
      </c>
      <c r="V546" s="18">
        <f t="shared" si="7"/>
        <v>624882.72</v>
      </c>
      <c r="W546" s="19">
        <f t="shared" si="8"/>
        <v>353612.82</v>
      </c>
    </row>
    <row r="547">
      <c r="A547" s="7">
        <v>4.65753209E8</v>
      </c>
      <c r="B547" s="12">
        <v>40616.0</v>
      </c>
      <c r="C547" s="7">
        <f t="shared" si="1"/>
        <v>2011</v>
      </c>
      <c r="D547" s="14" t="str">
        <f t="shared" si="2"/>
        <v>03 - Mar</v>
      </c>
      <c r="E547" s="15" t="str">
        <f t="shared" si="3"/>
        <v>Mon</v>
      </c>
      <c r="F547" s="15">
        <f t="shared" si="4"/>
        <v>1</v>
      </c>
      <c r="G547" s="16">
        <v>40616.0</v>
      </c>
      <c r="H547" s="14">
        <f t="shared" si="5"/>
        <v>0</v>
      </c>
      <c r="I547" s="7" t="s">
        <v>305</v>
      </c>
      <c r="J547" s="7" t="s">
        <v>319</v>
      </c>
      <c r="K547" s="7" t="str">
        <f>VLOOKUP(J547,countries,2,false)</f>
        <v>Germany</v>
      </c>
      <c r="L547" s="7" t="str">
        <f>VLOOKUP($J547,countries,5,false)</f>
        <v>Europe</v>
      </c>
      <c r="M547" s="7" t="str">
        <f>VLOOKUP($J547,countries,6,false)</f>
        <v>Western Europe</v>
      </c>
      <c r="N547" s="7">
        <v>5988.0</v>
      </c>
      <c r="O547" s="7" t="str">
        <f>VLOOKUP(N547, products, 2, FALSE)</f>
        <v>Vegetables</v>
      </c>
      <c r="P547" s="7" t="s">
        <v>334</v>
      </c>
      <c r="Q547" s="7">
        <v>5579.0</v>
      </c>
      <c r="R547" s="17">
        <v>154.06</v>
      </c>
      <c r="S547" s="17">
        <v>90.93</v>
      </c>
      <c r="U547" s="18">
        <f t="shared" si="6"/>
        <v>859500.74</v>
      </c>
      <c r="V547" s="18">
        <f t="shared" si="7"/>
        <v>507298.47</v>
      </c>
      <c r="W547" s="19">
        <f t="shared" si="8"/>
        <v>352202.27</v>
      </c>
    </row>
    <row r="548">
      <c r="A548" s="7">
        <v>4.66517961E8</v>
      </c>
      <c r="B548" s="12">
        <v>40391.0</v>
      </c>
      <c r="C548" s="7">
        <f t="shared" si="1"/>
        <v>2010</v>
      </c>
      <c r="D548" s="14" t="str">
        <f t="shared" si="2"/>
        <v>08 - Aug</v>
      </c>
      <c r="E548" s="15" t="str">
        <f t="shared" si="3"/>
        <v>Sun</v>
      </c>
      <c r="F548" s="15">
        <f t="shared" si="4"/>
        <v>7</v>
      </c>
      <c r="G548" s="16">
        <v>40428.0</v>
      </c>
      <c r="H548" s="14">
        <f t="shared" si="5"/>
        <v>37</v>
      </c>
      <c r="I548" s="7" t="s">
        <v>364</v>
      </c>
      <c r="J548" s="7" t="s">
        <v>120</v>
      </c>
      <c r="K548" s="7" t="str">
        <f>VLOOKUP(J548,countries,2,false)</f>
        <v>Belarus</v>
      </c>
      <c r="L548" s="7" t="str">
        <f>VLOOKUP($J548,countries,5,false)</f>
        <v>Europe</v>
      </c>
      <c r="M548" s="7" t="str">
        <f>VLOOKUP($J548,countries,6,false)</f>
        <v>Eastern Europe</v>
      </c>
      <c r="N548" s="7">
        <v>4594.0</v>
      </c>
      <c r="O548" s="7" t="str">
        <f>VLOOKUP(N548, products, 2, FALSE)</f>
        <v>Fruits</v>
      </c>
      <c r="P548" s="7" t="s">
        <v>264</v>
      </c>
      <c r="Q548" s="7">
        <v>1886.0</v>
      </c>
      <c r="R548" s="17">
        <v>9.33</v>
      </c>
      <c r="S548" s="17">
        <v>6.92</v>
      </c>
      <c r="U548" s="18">
        <f t="shared" si="6"/>
        <v>17596.38</v>
      </c>
      <c r="V548" s="18">
        <f t="shared" si="7"/>
        <v>13051.12</v>
      </c>
      <c r="W548" s="19">
        <f t="shared" si="8"/>
        <v>4545.26</v>
      </c>
    </row>
    <row r="549">
      <c r="A549" s="7">
        <v>4.66988742E8</v>
      </c>
      <c r="B549" s="12">
        <v>40771.0</v>
      </c>
      <c r="C549" s="7">
        <f t="shared" si="1"/>
        <v>2011</v>
      </c>
      <c r="D549" s="14" t="str">
        <f t="shared" si="2"/>
        <v>08 - Aug</v>
      </c>
      <c r="E549" s="15" t="str">
        <f t="shared" si="3"/>
        <v>Tue</v>
      </c>
      <c r="F549" s="15">
        <f t="shared" si="4"/>
        <v>2</v>
      </c>
      <c r="G549" s="16">
        <v>40771.0</v>
      </c>
      <c r="H549" s="14">
        <f t="shared" si="5"/>
        <v>0</v>
      </c>
      <c r="I549" s="7" t="s">
        <v>232</v>
      </c>
      <c r="J549" s="7" t="s">
        <v>489</v>
      </c>
      <c r="K549" s="7" t="str">
        <f>VLOOKUP(J549,countries,2,false)</f>
        <v>Malta</v>
      </c>
      <c r="L549" s="7" t="str">
        <f>VLOOKUP($J549,countries,5,false)</f>
        <v>Europe</v>
      </c>
      <c r="M549" s="7" t="str">
        <f>VLOOKUP($J549,countries,6,false)</f>
        <v>Southern Europe</v>
      </c>
      <c r="N549" s="7">
        <v>3127.0</v>
      </c>
      <c r="O549" s="7" t="str">
        <f>VLOOKUP(N549, products, 2, FALSE)</f>
        <v>Personal Care</v>
      </c>
      <c r="P549" s="7" t="s">
        <v>334</v>
      </c>
      <c r="Q549" s="7">
        <v>1201.0</v>
      </c>
      <c r="R549" s="17">
        <v>81.73</v>
      </c>
      <c r="S549" s="17">
        <v>56.67</v>
      </c>
      <c r="U549" s="18">
        <f t="shared" si="6"/>
        <v>98157.73</v>
      </c>
      <c r="V549" s="18">
        <f t="shared" si="7"/>
        <v>68060.67</v>
      </c>
      <c r="W549" s="19">
        <f t="shared" si="8"/>
        <v>30097.06</v>
      </c>
    </row>
    <row r="550">
      <c r="A550" s="7">
        <v>4.67045819E8</v>
      </c>
      <c r="B550" s="12">
        <v>41344.0</v>
      </c>
      <c r="C550" s="7">
        <f t="shared" si="1"/>
        <v>2013</v>
      </c>
      <c r="D550" s="14" t="str">
        <f t="shared" si="2"/>
        <v>03 - Mar</v>
      </c>
      <c r="E550" s="15" t="str">
        <f t="shared" si="3"/>
        <v>Mon</v>
      </c>
      <c r="F550" s="15">
        <f t="shared" si="4"/>
        <v>1</v>
      </c>
      <c r="G550" s="16">
        <v>41376.0</v>
      </c>
      <c r="H550" s="14">
        <f t="shared" si="5"/>
        <v>32</v>
      </c>
      <c r="I550" s="7" t="s">
        <v>232</v>
      </c>
      <c r="J550" s="7" t="s">
        <v>348</v>
      </c>
      <c r="K550" s="7" t="s">
        <v>348</v>
      </c>
      <c r="L550" s="7" t="s">
        <v>348</v>
      </c>
      <c r="M550" s="7" t="s">
        <v>348</v>
      </c>
      <c r="N550" s="7">
        <v>3127.0</v>
      </c>
      <c r="O550" s="7" t="str">
        <f>VLOOKUP(N550, products, 2, FALSE)</f>
        <v>Personal Care</v>
      </c>
      <c r="P550" s="7" t="s">
        <v>264</v>
      </c>
      <c r="Q550" s="7">
        <v>8092.0</v>
      </c>
      <c r="R550" s="17">
        <v>81.73</v>
      </c>
      <c r="S550" s="17">
        <v>56.67</v>
      </c>
      <c r="U550" s="18">
        <f t="shared" si="6"/>
        <v>661359.16</v>
      </c>
      <c r="V550" s="18">
        <f t="shared" si="7"/>
        <v>458573.64</v>
      </c>
      <c r="W550" s="19">
        <f t="shared" si="8"/>
        <v>202785.52</v>
      </c>
    </row>
    <row r="551">
      <c r="A551" s="7">
        <v>4.67138516E8</v>
      </c>
      <c r="B551" s="12">
        <v>41485.0</v>
      </c>
      <c r="C551" s="7">
        <f t="shared" si="1"/>
        <v>2013</v>
      </c>
      <c r="D551" s="14" t="str">
        <f t="shared" si="2"/>
        <v>07 - Jul</v>
      </c>
      <c r="E551" s="15" t="str">
        <f t="shared" si="3"/>
        <v>Tue</v>
      </c>
      <c r="F551" s="15">
        <f t="shared" si="4"/>
        <v>2</v>
      </c>
      <c r="G551" s="16">
        <v>41494.0</v>
      </c>
      <c r="H551" s="14">
        <f t="shared" si="5"/>
        <v>9</v>
      </c>
      <c r="I551" s="7" t="s">
        <v>399</v>
      </c>
      <c r="J551" s="7" t="s">
        <v>656</v>
      </c>
      <c r="K551" s="7" t="str">
        <f>VLOOKUP(J551,countries,2,false)</f>
        <v>San Marino</v>
      </c>
      <c r="L551" s="7" t="str">
        <f>VLOOKUP($J551,countries,5,false)</f>
        <v>Europe</v>
      </c>
      <c r="M551" s="7" t="str">
        <f>VLOOKUP($J551,countries,6,false)</f>
        <v>Southern Europe</v>
      </c>
      <c r="N551" s="7">
        <v>2455.0</v>
      </c>
      <c r="O551" s="7" t="str">
        <f>VLOOKUP(N551, products, 2, FALSE)</f>
        <v>Clothes</v>
      </c>
      <c r="P551" s="7" t="s">
        <v>264</v>
      </c>
      <c r="Q551" s="7">
        <v>5523.0</v>
      </c>
      <c r="R551" s="17">
        <v>109.28</v>
      </c>
      <c r="S551" s="17">
        <v>35.84</v>
      </c>
      <c r="U551" s="18">
        <f t="shared" si="6"/>
        <v>603553.44</v>
      </c>
      <c r="V551" s="18">
        <f t="shared" si="7"/>
        <v>197944.32</v>
      </c>
      <c r="W551" s="19">
        <f t="shared" si="8"/>
        <v>405609.12</v>
      </c>
    </row>
    <row r="552">
      <c r="A552" s="7">
        <v>4.67312324E8</v>
      </c>
      <c r="B552" s="12">
        <v>42439.0</v>
      </c>
      <c r="C552" s="7">
        <f t="shared" si="1"/>
        <v>2016</v>
      </c>
      <c r="D552" s="14" t="str">
        <f t="shared" si="2"/>
        <v>03 - Mar</v>
      </c>
      <c r="E552" s="15" t="str">
        <f t="shared" si="3"/>
        <v>Thu</v>
      </c>
      <c r="F552" s="15">
        <f t="shared" si="4"/>
        <v>4</v>
      </c>
      <c r="G552" s="16">
        <v>42468.0</v>
      </c>
      <c r="H552" s="14">
        <f t="shared" si="5"/>
        <v>29</v>
      </c>
      <c r="I552" s="7" t="s">
        <v>305</v>
      </c>
      <c r="J552" s="7" t="s">
        <v>243</v>
      </c>
      <c r="K552" s="7" t="str">
        <f>VLOOKUP(J552,countries,2,false)</f>
        <v>Czech Republic</v>
      </c>
      <c r="L552" s="7" t="str">
        <f>VLOOKUP($J552,countries,5,false)</f>
        <v>Europe</v>
      </c>
      <c r="M552" s="7" t="str">
        <f>VLOOKUP($J552,countries,6,false)</f>
        <v>Eastern Europe</v>
      </c>
      <c r="N552" s="7">
        <v>7331.0</v>
      </c>
      <c r="O552" s="7" t="str">
        <f>VLOOKUP(N552, products, 2, FALSE)</f>
        <v>Baby Food</v>
      </c>
      <c r="P552" s="7" t="s">
        <v>264</v>
      </c>
      <c r="Q552" s="7">
        <v>6956.0</v>
      </c>
      <c r="R552" s="17">
        <v>255.28</v>
      </c>
      <c r="S552" s="17">
        <v>159.42</v>
      </c>
      <c r="U552" s="18">
        <f t="shared" si="6"/>
        <v>1775727.68</v>
      </c>
      <c r="V552" s="18">
        <f t="shared" si="7"/>
        <v>1108925.52</v>
      </c>
      <c r="W552" s="19">
        <f t="shared" si="8"/>
        <v>666802.16</v>
      </c>
    </row>
    <row r="553">
      <c r="A553" s="7">
        <v>4.67924726E8</v>
      </c>
      <c r="B553" s="12">
        <v>42265.0</v>
      </c>
      <c r="C553" s="7">
        <f t="shared" si="1"/>
        <v>2015</v>
      </c>
      <c r="D553" s="14" t="str">
        <f t="shared" si="2"/>
        <v>09 - Sep</v>
      </c>
      <c r="E553" s="15" t="str">
        <f t="shared" si="3"/>
        <v>Fri</v>
      </c>
      <c r="F553" s="15">
        <f t="shared" si="4"/>
        <v>5</v>
      </c>
      <c r="G553" s="16">
        <v>42297.0</v>
      </c>
      <c r="H553" s="14">
        <f t="shared" si="5"/>
        <v>32</v>
      </c>
      <c r="I553" s="7" t="s">
        <v>305</v>
      </c>
      <c r="J553" s="7" t="s">
        <v>378</v>
      </c>
      <c r="K553" s="7" t="str">
        <f>VLOOKUP(J553,countries,2,false)</f>
        <v>Hungary</v>
      </c>
      <c r="L553" s="7" t="str">
        <f>VLOOKUP($J553,countries,5,false)</f>
        <v>Europe</v>
      </c>
      <c r="M553" s="7" t="str">
        <f>VLOOKUP($J553,countries,6,false)</f>
        <v>Eastern Europe</v>
      </c>
      <c r="N553" s="7">
        <v>8681.0</v>
      </c>
      <c r="O553" s="7" t="str">
        <f>VLOOKUP(N553, products, 2, FALSE)</f>
        <v>Office Supplies</v>
      </c>
      <c r="P553" s="7" t="s">
        <v>334</v>
      </c>
      <c r="Q553" s="7">
        <v>8179.0</v>
      </c>
      <c r="R553" s="17">
        <v>651.21</v>
      </c>
      <c r="S553" s="17">
        <v>524.96</v>
      </c>
      <c r="U553" s="18">
        <f t="shared" si="6"/>
        <v>5326246.59</v>
      </c>
      <c r="V553" s="18">
        <f t="shared" si="7"/>
        <v>4293647.84</v>
      </c>
      <c r="W553" s="19">
        <f t="shared" si="8"/>
        <v>1032598.75</v>
      </c>
    </row>
    <row r="554">
      <c r="A554" s="7">
        <v>4.68320834E8</v>
      </c>
      <c r="B554" s="12">
        <v>42686.0</v>
      </c>
      <c r="C554" s="7">
        <f t="shared" si="1"/>
        <v>2016</v>
      </c>
      <c r="D554" s="14" t="str">
        <f t="shared" si="2"/>
        <v>11 - Nov</v>
      </c>
      <c r="E554" s="15" t="str">
        <f t="shared" si="3"/>
        <v>Sat</v>
      </c>
      <c r="F554" s="15">
        <f t="shared" si="4"/>
        <v>6</v>
      </c>
      <c r="G554" s="16">
        <v>42725.0</v>
      </c>
      <c r="H554" s="14">
        <f t="shared" si="5"/>
        <v>39</v>
      </c>
      <c r="I554" s="7" t="s">
        <v>232</v>
      </c>
      <c r="J554" s="7" t="s">
        <v>101</v>
      </c>
      <c r="K554" s="7" t="str">
        <f>VLOOKUP(J554,countries,2,false)</f>
        <v>Austria</v>
      </c>
      <c r="L554" s="7" t="str">
        <f>VLOOKUP($J554,countries,5,false)</f>
        <v>Europe</v>
      </c>
      <c r="M554" s="7" t="str">
        <f>VLOOKUP($J554,countries,6,false)</f>
        <v>Western Europe</v>
      </c>
      <c r="N554" s="7">
        <v>5988.0</v>
      </c>
      <c r="O554" s="7" t="str">
        <f>VLOOKUP(N554, products, 2, FALSE)</f>
        <v>Vegetables</v>
      </c>
      <c r="P554" s="7" t="s">
        <v>334</v>
      </c>
      <c r="Q554" s="7">
        <v>5397.0</v>
      </c>
      <c r="R554" s="17">
        <v>154.06</v>
      </c>
      <c r="S554" s="17">
        <v>90.93</v>
      </c>
      <c r="U554" s="18">
        <f t="shared" si="6"/>
        <v>831461.82</v>
      </c>
      <c r="V554" s="18">
        <f t="shared" si="7"/>
        <v>490749.21</v>
      </c>
      <c r="W554" s="19">
        <f t="shared" si="8"/>
        <v>340712.61</v>
      </c>
    </row>
    <row r="555">
      <c r="A555" s="7">
        <v>4.68803632E8</v>
      </c>
      <c r="B555" s="12">
        <v>40421.0</v>
      </c>
      <c r="C555" s="7">
        <f t="shared" si="1"/>
        <v>2010</v>
      </c>
      <c r="D555" s="14" t="str">
        <f t="shared" si="2"/>
        <v>08 - Aug</v>
      </c>
      <c r="E555" s="15" t="str">
        <f t="shared" si="3"/>
        <v>Tue</v>
      </c>
      <c r="F555" s="15">
        <f t="shared" si="4"/>
        <v>2</v>
      </c>
      <c r="G555" s="16">
        <v>40453.0</v>
      </c>
      <c r="H555" s="14">
        <f t="shared" si="5"/>
        <v>32</v>
      </c>
      <c r="I555" s="7" t="s">
        <v>364</v>
      </c>
      <c r="J555" s="7" t="s">
        <v>165</v>
      </c>
      <c r="K555" s="7" t="str">
        <f>VLOOKUP(J555,countries,2,false)</f>
        <v>Bulgaria</v>
      </c>
      <c r="L555" s="7" t="str">
        <f>VLOOKUP($J555,countries,5,false)</f>
        <v>Europe</v>
      </c>
      <c r="M555" s="7" t="str">
        <f>VLOOKUP($J555,countries,6,false)</f>
        <v>Eastern Europe</v>
      </c>
      <c r="N555" s="7">
        <v>4594.0</v>
      </c>
      <c r="O555" s="7" t="str">
        <f>VLOOKUP(N555, products, 2, FALSE)</f>
        <v>Fruits</v>
      </c>
      <c r="P555" s="7" t="s">
        <v>264</v>
      </c>
      <c r="Q555" s="7">
        <v>8267.0</v>
      </c>
      <c r="R555" s="17">
        <v>9.33</v>
      </c>
      <c r="S555" s="17">
        <v>6.92</v>
      </c>
      <c r="U555" s="18">
        <f t="shared" si="6"/>
        <v>77131.11</v>
      </c>
      <c r="V555" s="18">
        <f t="shared" si="7"/>
        <v>57207.64</v>
      </c>
      <c r="W555" s="19">
        <f t="shared" si="8"/>
        <v>19923.47</v>
      </c>
    </row>
    <row r="556">
      <c r="A556" s="7">
        <v>4.69129359E8</v>
      </c>
      <c r="B556" s="12">
        <v>40530.0</v>
      </c>
      <c r="C556" s="7">
        <f t="shared" si="1"/>
        <v>2010</v>
      </c>
      <c r="D556" s="14" t="str">
        <f t="shared" si="2"/>
        <v>12 - Dec</v>
      </c>
      <c r="E556" s="15" t="str">
        <f t="shared" si="3"/>
        <v>Sat</v>
      </c>
      <c r="F556" s="15">
        <f t="shared" si="4"/>
        <v>6</v>
      </c>
      <c r="G556" s="16">
        <v>40569.0</v>
      </c>
      <c r="H556" s="14">
        <f t="shared" si="5"/>
        <v>39</v>
      </c>
      <c r="I556" s="7" t="s">
        <v>232</v>
      </c>
      <c r="J556" s="7" t="s">
        <v>468</v>
      </c>
      <c r="K556" s="7" t="str">
        <f>VLOOKUP(J556,countries,2,false)</f>
        <v>Luxembourg</v>
      </c>
      <c r="L556" s="7" t="str">
        <f>VLOOKUP($J556,countries,5,false)</f>
        <v>Europe</v>
      </c>
      <c r="M556" s="7" t="str">
        <f>VLOOKUP($J556,countries,6,false)</f>
        <v>Western Europe</v>
      </c>
      <c r="N556" s="7">
        <v>8875.0</v>
      </c>
      <c r="O556" s="7" t="str">
        <f>VLOOKUP(N556, products, 2, FALSE)</f>
        <v>Meat</v>
      </c>
      <c r="P556" s="7" t="s">
        <v>334</v>
      </c>
      <c r="Q556" s="7">
        <v>4657.0</v>
      </c>
      <c r="R556" s="17">
        <v>421.89</v>
      </c>
      <c r="S556" s="17">
        <v>364.69</v>
      </c>
      <c r="U556" s="18">
        <f t="shared" si="6"/>
        <v>1964741.73</v>
      </c>
      <c r="V556" s="18">
        <f t="shared" si="7"/>
        <v>1698361.33</v>
      </c>
      <c r="W556" s="19">
        <f t="shared" si="8"/>
        <v>266380.4</v>
      </c>
    </row>
    <row r="557">
      <c r="A557" s="7">
        <v>4.69144809E8</v>
      </c>
      <c r="B557" s="12">
        <v>41475.0</v>
      </c>
      <c r="C557" s="7">
        <f t="shared" si="1"/>
        <v>2013</v>
      </c>
      <c r="D557" s="14" t="str">
        <f t="shared" si="2"/>
        <v>07 - Jul</v>
      </c>
      <c r="E557" s="15" t="str">
        <f t="shared" si="3"/>
        <v>Sat</v>
      </c>
      <c r="F557" s="15">
        <f t="shared" si="4"/>
        <v>6</v>
      </c>
      <c r="G557" s="16">
        <v>41510.0</v>
      </c>
      <c r="H557" s="14">
        <f t="shared" si="5"/>
        <v>35</v>
      </c>
      <c r="I557" s="7" t="s">
        <v>232</v>
      </c>
      <c r="J557" s="7" t="s">
        <v>489</v>
      </c>
      <c r="K557" s="7" t="str">
        <f>VLOOKUP(J557,countries,2,false)</f>
        <v>Malta</v>
      </c>
      <c r="L557" s="7" t="str">
        <f>VLOOKUP($J557,countries,5,false)</f>
        <v>Europe</v>
      </c>
      <c r="M557" s="7" t="str">
        <f>VLOOKUP($J557,countries,6,false)</f>
        <v>Southern Europe</v>
      </c>
      <c r="N557" s="7">
        <v>2103.0</v>
      </c>
      <c r="O557" s="7" t="str">
        <f>VLOOKUP(N557, products, 2, FALSE)</f>
        <v>Cereal</v>
      </c>
      <c r="P557" s="7" t="s">
        <v>334</v>
      </c>
      <c r="Q557" s="7">
        <v>9229.0</v>
      </c>
      <c r="R557" s="17">
        <v>205.7</v>
      </c>
      <c r="S557" s="17">
        <v>117.11</v>
      </c>
      <c r="U557" s="18">
        <f t="shared" si="6"/>
        <v>1898405.3</v>
      </c>
      <c r="V557" s="18">
        <f t="shared" si="7"/>
        <v>1080808.19</v>
      </c>
      <c r="W557" s="19">
        <f t="shared" si="8"/>
        <v>817597.11</v>
      </c>
    </row>
    <row r="558">
      <c r="A558" s="7">
        <v>4.69197165E8</v>
      </c>
      <c r="B558" s="12">
        <v>41605.0</v>
      </c>
      <c r="C558" s="7">
        <f t="shared" si="1"/>
        <v>2013</v>
      </c>
      <c r="D558" s="14" t="str">
        <f t="shared" si="2"/>
        <v>11 - Nov</v>
      </c>
      <c r="E558" s="15" t="str">
        <f t="shared" si="3"/>
        <v>Wed</v>
      </c>
      <c r="F558" s="15">
        <f t="shared" si="4"/>
        <v>3</v>
      </c>
      <c r="G558" s="16">
        <v>41619.0</v>
      </c>
      <c r="H558" s="14">
        <f t="shared" si="5"/>
        <v>14</v>
      </c>
      <c r="I558" s="7" t="s">
        <v>305</v>
      </c>
      <c r="J558" s="7" t="s">
        <v>447</v>
      </c>
      <c r="K558" s="7" t="str">
        <f>VLOOKUP(J558,countries,2,false)</f>
        <v>Latvia</v>
      </c>
      <c r="L558" s="7" t="str">
        <f>VLOOKUP($J558,countries,5,false)</f>
        <v>Europe</v>
      </c>
      <c r="M558" s="7" t="str">
        <f>VLOOKUP($J558,countries,6,false)</f>
        <v>Northern Europe</v>
      </c>
      <c r="N558" s="7">
        <v>1270.0</v>
      </c>
      <c r="O558" s="7" t="str">
        <f>VLOOKUP(N558, products, 2, FALSE)</f>
        <v>Beverages</v>
      </c>
      <c r="P558" s="7" t="s">
        <v>264</v>
      </c>
      <c r="Q558" s="7">
        <v>4723.0</v>
      </c>
      <c r="R558" s="17">
        <v>47.45</v>
      </c>
      <c r="S558" s="17">
        <v>31.79</v>
      </c>
      <c r="U558" s="18">
        <f t="shared" si="6"/>
        <v>224106.35</v>
      </c>
      <c r="V558" s="18">
        <f t="shared" si="7"/>
        <v>150144.17</v>
      </c>
      <c r="W558" s="19">
        <f t="shared" si="8"/>
        <v>73962.18</v>
      </c>
    </row>
    <row r="559">
      <c r="A559" s="7">
        <v>4.69840466E8</v>
      </c>
      <c r="B559" s="12">
        <v>40556.0</v>
      </c>
      <c r="C559" s="7">
        <f t="shared" si="1"/>
        <v>2011</v>
      </c>
      <c r="D559" s="14" t="str">
        <f t="shared" si="2"/>
        <v>01 - Jan</v>
      </c>
      <c r="E559" s="15" t="str">
        <f t="shared" si="3"/>
        <v>Thu</v>
      </c>
      <c r="F559" s="15">
        <f t="shared" si="4"/>
        <v>4</v>
      </c>
      <c r="G559" s="16">
        <v>40565.0</v>
      </c>
      <c r="H559" s="14">
        <f t="shared" si="5"/>
        <v>9</v>
      </c>
      <c r="I559" s="7" t="s">
        <v>399</v>
      </c>
      <c r="J559" s="7" t="s">
        <v>608</v>
      </c>
      <c r="K559" s="7" t="str">
        <f>VLOOKUP(J559,countries,2,false)</f>
        <v>Poland</v>
      </c>
      <c r="L559" s="7" t="str">
        <f>VLOOKUP($J559,countries,5,false)</f>
        <v>Europe</v>
      </c>
      <c r="M559" s="7" t="str">
        <f>VLOOKUP($J559,countries,6,false)</f>
        <v>Eastern Europe</v>
      </c>
      <c r="N559" s="7">
        <v>5988.0</v>
      </c>
      <c r="O559" s="7" t="str">
        <f>VLOOKUP(N559, products, 2, FALSE)</f>
        <v>Vegetables</v>
      </c>
      <c r="P559" s="7" t="s">
        <v>334</v>
      </c>
      <c r="Q559" s="7">
        <v>5090.0</v>
      </c>
      <c r="R559" s="17">
        <v>154.06</v>
      </c>
      <c r="S559" s="17">
        <v>90.93</v>
      </c>
      <c r="U559" s="18">
        <f t="shared" si="6"/>
        <v>784165.4</v>
      </c>
      <c r="V559" s="18">
        <f t="shared" si="7"/>
        <v>462833.7</v>
      </c>
      <c r="W559" s="19">
        <f t="shared" si="8"/>
        <v>321331.7</v>
      </c>
    </row>
    <row r="560">
      <c r="A560" s="7">
        <v>4.69974792E8</v>
      </c>
      <c r="B560" s="12">
        <v>40324.0</v>
      </c>
      <c r="C560" s="7">
        <f t="shared" si="1"/>
        <v>2010</v>
      </c>
      <c r="D560" s="14" t="str">
        <f t="shared" si="2"/>
        <v>05 - May</v>
      </c>
      <c r="E560" s="15" t="str">
        <f t="shared" si="3"/>
        <v>Wed</v>
      </c>
      <c r="F560" s="15">
        <f t="shared" si="4"/>
        <v>3</v>
      </c>
      <c r="G560" s="16">
        <v>40346.0</v>
      </c>
      <c r="H560" s="14">
        <f t="shared" si="5"/>
        <v>22</v>
      </c>
      <c r="I560" s="7" t="s">
        <v>232</v>
      </c>
      <c r="J560" s="7" t="s">
        <v>717</v>
      </c>
      <c r="K560" s="7" t="str">
        <f>VLOOKUP(J560,countries,2,false)</f>
        <v>Sweden</v>
      </c>
      <c r="L560" s="7" t="str">
        <f>VLOOKUP($J560,countries,5,false)</f>
        <v>Europe</v>
      </c>
      <c r="M560" s="7" t="str">
        <f>VLOOKUP($J560,countries,6,false)</f>
        <v>Northern Europe</v>
      </c>
      <c r="N560" s="7">
        <v>7331.0</v>
      </c>
      <c r="O560" s="7" t="str">
        <f>VLOOKUP(N560, products, 2, FALSE)</f>
        <v>Baby Food</v>
      </c>
      <c r="P560" s="7" t="s">
        <v>334</v>
      </c>
      <c r="Q560" s="7">
        <v>4840.0</v>
      </c>
      <c r="R560" s="17">
        <v>255.28</v>
      </c>
      <c r="S560" s="17">
        <v>159.42</v>
      </c>
      <c r="U560" s="18">
        <f t="shared" si="6"/>
        <v>1235555.2</v>
      </c>
      <c r="V560" s="18">
        <f t="shared" si="7"/>
        <v>771592.8</v>
      </c>
      <c r="W560" s="19">
        <f t="shared" si="8"/>
        <v>463962.4</v>
      </c>
    </row>
    <row r="561">
      <c r="A561" s="7">
        <v>4.70503079E8</v>
      </c>
      <c r="B561" s="12">
        <v>42072.0</v>
      </c>
      <c r="C561" s="7">
        <f t="shared" si="1"/>
        <v>2015</v>
      </c>
      <c r="D561" s="14" t="str">
        <f t="shared" si="2"/>
        <v>03 - Mar</v>
      </c>
      <c r="E561" s="15" t="str">
        <f t="shared" si="3"/>
        <v>Mon</v>
      </c>
      <c r="F561" s="15">
        <f t="shared" si="4"/>
        <v>1</v>
      </c>
      <c r="G561" s="16">
        <v>42084.0</v>
      </c>
      <c r="H561" s="14">
        <f t="shared" si="5"/>
        <v>12</v>
      </c>
      <c r="I561" s="7" t="s">
        <v>399</v>
      </c>
      <c r="J561" s="7" t="s">
        <v>41</v>
      </c>
      <c r="K561" s="7" t="str">
        <f>VLOOKUP(J561,countries,2,false)</f>
        <v>Albania</v>
      </c>
      <c r="L561" s="7" t="str">
        <f>VLOOKUP($J561,countries,5,false)</f>
        <v>Europe</v>
      </c>
      <c r="M561" s="7" t="str">
        <f>VLOOKUP($J561,countries,6,false)</f>
        <v>Southern Europe</v>
      </c>
      <c r="N561" s="7">
        <v>2455.0</v>
      </c>
      <c r="O561" s="7" t="str">
        <f>VLOOKUP(N561, products, 2, FALSE)</f>
        <v>Clothes</v>
      </c>
      <c r="P561" s="7" t="s">
        <v>334</v>
      </c>
      <c r="Q561" s="7">
        <v>1172.0</v>
      </c>
      <c r="R561" s="17">
        <v>109.28</v>
      </c>
      <c r="S561" s="17">
        <v>35.84</v>
      </c>
      <c r="U561" s="18">
        <f t="shared" si="6"/>
        <v>128076.16</v>
      </c>
      <c r="V561" s="18">
        <f t="shared" si="7"/>
        <v>42004.48</v>
      </c>
      <c r="W561" s="19">
        <f t="shared" si="8"/>
        <v>86071.68</v>
      </c>
    </row>
    <row r="562">
      <c r="A562" s="7">
        <v>4.71348512E8</v>
      </c>
      <c r="B562" s="12">
        <v>41867.0</v>
      </c>
      <c r="C562" s="7">
        <f t="shared" si="1"/>
        <v>2014</v>
      </c>
      <c r="D562" s="14" t="str">
        <f t="shared" si="2"/>
        <v>08 - Aug</v>
      </c>
      <c r="E562" s="15" t="str">
        <f t="shared" si="3"/>
        <v>Sat</v>
      </c>
      <c r="F562" s="15">
        <f t="shared" si="4"/>
        <v>6</v>
      </c>
      <c r="G562" s="16">
        <v>41913.0</v>
      </c>
      <c r="H562" s="14">
        <f t="shared" si="5"/>
        <v>46</v>
      </c>
      <c r="I562" s="7" t="s">
        <v>232</v>
      </c>
      <c r="J562" s="7" t="s">
        <v>328</v>
      </c>
      <c r="K562" s="7" t="str">
        <f>VLOOKUP(J562,countries,2,false)</f>
        <v>Greece</v>
      </c>
      <c r="L562" s="7" t="str">
        <f>VLOOKUP($J562,countries,5,false)</f>
        <v>Europe</v>
      </c>
      <c r="M562" s="7" t="str">
        <f>VLOOKUP($J562,countries,6,false)</f>
        <v>Southern Europe</v>
      </c>
      <c r="N562" s="7">
        <v>4594.0</v>
      </c>
      <c r="O562" s="7" t="str">
        <f>VLOOKUP(N562, products, 2, FALSE)</f>
        <v>Fruits</v>
      </c>
      <c r="P562" s="7" t="s">
        <v>264</v>
      </c>
      <c r="Q562" s="7">
        <v>1354.0</v>
      </c>
      <c r="R562" s="17">
        <v>9.33</v>
      </c>
      <c r="S562" s="17">
        <v>6.92</v>
      </c>
      <c r="U562" s="18">
        <f t="shared" si="6"/>
        <v>12632.82</v>
      </c>
      <c r="V562" s="18">
        <f t="shared" si="7"/>
        <v>9369.68</v>
      </c>
      <c r="W562" s="19">
        <f t="shared" si="8"/>
        <v>3263.14</v>
      </c>
    </row>
    <row r="563">
      <c r="A563" s="7">
        <v>4.71484124E8</v>
      </c>
      <c r="B563" s="12">
        <v>41252.0</v>
      </c>
      <c r="C563" s="7">
        <f t="shared" si="1"/>
        <v>2012</v>
      </c>
      <c r="D563" s="14" t="str">
        <f t="shared" si="2"/>
        <v>12 - Dec</v>
      </c>
      <c r="E563" s="15" t="str">
        <f t="shared" si="3"/>
        <v>Sun</v>
      </c>
      <c r="F563" s="15">
        <f t="shared" si="4"/>
        <v>7</v>
      </c>
      <c r="G563" s="16">
        <v>41298.0</v>
      </c>
      <c r="H563" s="14">
        <f t="shared" si="5"/>
        <v>46</v>
      </c>
      <c r="I563" s="7" t="s">
        <v>232</v>
      </c>
      <c r="J563" s="7" t="s">
        <v>246</v>
      </c>
      <c r="K563" s="7" t="str">
        <f>VLOOKUP(J563,countries,2,false)</f>
        <v>Denmark</v>
      </c>
      <c r="L563" s="7" t="str">
        <f>VLOOKUP($J563,countries,5,false)</f>
        <v>Europe</v>
      </c>
      <c r="M563" s="7" t="str">
        <f>VLOOKUP($J563,countries,6,false)</f>
        <v>Northern Europe</v>
      </c>
      <c r="N563" s="7">
        <v>7331.0</v>
      </c>
      <c r="O563" s="7" t="str">
        <f>VLOOKUP(N563, products, 2, FALSE)</f>
        <v>Baby Food</v>
      </c>
      <c r="P563" s="7" t="s">
        <v>264</v>
      </c>
      <c r="Q563" s="7">
        <v>1485.0</v>
      </c>
      <c r="R563" s="17">
        <v>255.28</v>
      </c>
      <c r="S563" s="17">
        <v>159.42</v>
      </c>
      <c r="U563" s="18">
        <f t="shared" si="6"/>
        <v>379090.8</v>
      </c>
      <c r="V563" s="18">
        <f t="shared" si="7"/>
        <v>236738.7</v>
      </c>
      <c r="W563" s="19">
        <f t="shared" si="8"/>
        <v>142352.1</v>
      </c>
    </row>
    <row r="564">
      <c r="A564" s="7">
        <v>4.73845756E8</v>
      </c>
      <c r="B564" s="12">
        <v>40859.0</v>
      </c>
      <c r="C564" s="7">
        <f t="shared" si="1"/>
        <v>2011</v>
      </c>
      <c r="D564" s="14" t="str">
        <f t="shared" si="2"/>
        <v>11 - Nov</v>
      </c>
      <c r="E564" s="15" t="str">
        <f t="shared" si="3"/>
        <v>Sat</v>
      </c>
      <c r="F564" s="15">
        <f t="shared" si="4"/>
        <v>6</v>
      </c>
      <c r="G564" s="16">
        <v>40893.0</v>
      </c>
      <c r="H564" s="14">
        <f t="shared" si="5"/>
        <v>34</v>
      </c>
      <c r="I564" s="7" t="s">
        <v>399</v>
      </c>
      <c r="J564" s="7" t="s">
        <v>626</v>
      </c>
      <c r="K564" s="7" t="str">
        <f>VLOOKUP(J564,countries,2,false)</f>
        <v>Russia</v>
      </c>
      <c r="L564" s="7" t="str">
        <f>VLOOKUP($J564,countries,5,false)</f>
        <v>Europe</v>
      </c>
      <c r="M564" s="7" t="str">
        <f>VLOOKUP($J564,countries,6,false)</f>
        <v>Eastern Europe</v>
      </c>
      <c r="N564" s="7">
        <v>3127.0</v>
      </c>
      <c r="O564" s="7" t="str">
        <f>VLOOKUP(N564, products, 2, FALSE)</f>
        <v>Personal Care</v>
      </c>
      <c r="P564" s="7" t="s">
        <v>334</v>
      </c>
      <c r="Q564" s="7">
        <v>344.0</v>
      </c>
      <c r="R564" s="17">
        <v>81.73</v>
      </c>
      <c r="S564" s="17">
        <v>56.67</v>
      </c>
      <c r="U564" s="18">
        <f t="shared" si="6"/>
        <v>28115.12</v>
      </c>
      <c r="V564" s="18">
        <f t="shared" si="7"/>
        <v>19494.48</v>
      </c>
      <c r="W564" s="19">
        <f t="shared" si="8"/>
        <v>8620.64</v>
      </c>
    </row>
    <row r="565">
      <c r="A565" s="7">
        <v>4.7517656E8</v>
      </c>
      <c r="B565" s="12">
        <v>40390.0</v>
      </c>
      <c r="C565" s="7">
        <f t="shared" si="1"/>
        <v>2010</v>
      </c>
      <c r="D565" s="14" t="str">
        <f t="shared" si="2"/>
        <v>07 - Jul</v>
      </c>
      <c r="E565" s="15" t="str">
        <f t="shared" si="3"/>
        <v>Sat</v>
      </c>
      <c r="F565" s="15">
        <f t="shared" si="4"/>
        <v>6</v>
      </c>
      <c r="G565" s="16">
        <v>40425.0</v>
      </c>
      <c r="H565" s="14">
        <f t="shared" si="5"/>
        <v>35</v>
      </c>
      <c r="I565" s="7" t="s">
        <v>364</v>
      </c>
      <c r="J565" s="7" t="s">
        <v>489</v>
      </c>
      <c r="K565" s="7" t="str">
        <f>VLOOKUP(J565,countries,2,false)</f>
        <v>Malta</v>
      </c>
      <c r="L565" s="7" t="str">
        <f>VLOOKUP($J565,countries,5,false)</f>
        <v>Europe</v>
      </c>
      <c r="M565" s="7" t="str">
        <f>VLOOKUP($J565,countries,6,false)</f>
        <v>Southern Europe</v>
      </c>
      <c r="N565" s="7">
        <v>4594.0</v>
      </c>
      <c r="O565" s="7" t="str">
        <f>VLOOKUP(N565, products, 2, FALSE)</f>
        <v>Fruits</v>
      </c>
      <c r="P565" s="7" t="s">
        <v>264</v>
      </c>
      <c r="Q565" s="7">
        <v>4159.0</v>
      </c>
      <c r="R565" s="17">
        <v>9.33</v>
      </c>
      <c r="S565" s="17">
        <v>6.92</v>
      </c>
      <c r="U565" s="18">
        <f t="shared" si="6"/>
        <v>38803.47</v>
      </c>
      <c r="V565" s="18">
        <f t="shared" si="7"/>
        <v>28780.28</v>
      </c>
      <c r="W565" s="19">
        <f t="shared" si="8"/>
        <v>10023.19</v>
      </c>
    </row>
    <row r="566">
      <c r="A566" s="7">
        <v>4.75992381E8</v>
      </c>
      <c r="B566" s="12">
        <v>40677.0</v>
      </c>
      <c r="C566" s="7">
        <f t="shared" si="1"/>
        <v>2011</v>
      </c>
      <c r="D566" s="14" t="str">
        <f t="shared" si="2"/>
        <v>05 - May</v>
      </c>
      <c r="E566" s="15" t="str">
        <f t="shared" si="3"/>
        <v>Sat</v>
      </c>
      <c r="F566" s="15">
        <f t="shared" si="4"/>
        <v>6</v>
      </c>
      <c r="G566" s="16">
        <v>40689.0</v>
      </c>
      <c r="H566" s="14">
        <f t="shared" si="5"/>
        <v>12</v>
      </c>
      <c r="I566" s="7" t="s">
        <v>399</v>
      </c>
      <c r="J566" s="7" t="s">
        <v>468</v>
      </c>
      <c r="K566" s="7" t="str">
        <f>VLOOKUP(J566,countries,2,false)</f>
        <v>Luxembourg</v>
      </c>
      <c r="L566" s="7" t="str">
        <f>VLOOKUP($J566,countries,5,false)</f>
        <v>Europe</v>
      </c>
      <c r="M566" s="7" t="str">
        <f>VLOOKUP($J566,countries,6,false)</f>
        <v>Western Europe</v>
      </c>
      <c r="N566" s="7">
        <v>2455.0</v>
      </c>
      <c r="O566" s="7" t="str">
        <f>VLOOKUP(N566, products, 2, FALSE)</f>
        <v>Clothes</v>
      </c>
      <c r="P566" s="7" t="s">
        <v>264</v>
      </c>
      <c r="Q566" s="7">
        <v>5578.0</v>
      </c>
      <c r="R566" s="17">
        <v>109.28</v>
      </c>
      <c r="S566" s="17">
        <v>35.84</v>
      </c>
      <c r="U566" s="18">
        <f t="shared" si="6"/>
        <v>609563.84</v>
      </c>
      <c r="V566" s="18">
        <f t="shared" si="7"/>
        <v>199915.52</v>
      </c>
      <c r="W566" s="19">
        <f t="shared" si="8"/>
        <v>409648.32</v>
      </c>
    </row>
    <row r="567">
      <c r="A567" s="7">
        <v>4.76453721E8</v>
      </c>
      <c r="B567" s="12">
        <v>42938.0</v>
      </c>
      <c r="C567" s="7">
        <f t="shared" si="1"/>
        <v>2017</v>
      </c>
      <c r="D567" s="14" t="str">
        <f t="shared" si="2"/>
        <v>07 - Jul</v>
      </c>
      <c r="E567" s="15" t="str">
        <f t="shared" si="3"/>
        <v>Sat</v>
      </c>
      <c r="F567" s="15">
        <f t="shared" si="4"/>
        <v>6</v>
      </c>
      <c r="G567" s="16">
        <v>42957.0</v>
      </c>
      <c r="H567" s="14">
        <f t="shared" si="5"/>
        <v>19</v>
      </c>
      <c r="I567" s="7" t="s">
        <v>305</v>
      </c>
      <c r="J567" s="7" t="s">
        <v>656</v>
      </c>
      <c r="K567" s="7" t="str">
        <f>VLOOKUP(J567,countries,2,false)</f>
        <v>San Marino</v>
      </c>
      <c r="L567" s="7" t="str">
        <f>VLOOKUP($J567,countries,5,false)</f>
        <v>Europe</v>
      </c>
      <c r="M567" s="7" t="str">
        <f>VLOOKUP($J567,countries,6,false)</f>
        <v>Southern Europe</v>
      </c>
      <c r="N567" s="7">
        <v>8969.0</v>
      </c>
      <c r="O567" s="7" t="str">
        <f>VLOOKUP(N567, products, 2, FALSE)</f>
        <v>Snacks</v>
      </c>
      <c r="P567" s="7" t="s">
        <v>334</v>
      </c>
      <c r="Q567" s="7">
        <v>2099.0</v>
      </c>
      <c r="R567" s="17">
        <v>152.58</v>
      </c>
      <c r="S567" s="17">
        <v>97.44</v>
      </c>
      <c r="U567" s="18">
        <f t="shared" si="6"/>
        <v>320265.42</v>
      </c>
      <c r="V567" s="18">
        <f t="shared" si="7"/>
        <v>204526.56</v>
      </c>
      <c r="W567" s="19">
        <f t="shared" si="8"/>
        <v>115738.86</v>
      </c>
    </row>
    <row r="568">
      <c r="A568" s="7">
        <v>4.76633536E8</v>
      </c>
      <c r="B568" s="12">
        <v>41187.0</v>
      </c>
      <c r="C568" s="7">
        <f t="shared" si="1"/>
        <v>2012</v>
      </c>
      <c r="D568" s="14" t="str">
        <f t="shared" si="2"/>
        <v>10 - Oct</v>
      </c>
      <c r="E568" s="15" t="str">
        <f t="shared" si="3"/>
        <v>Fri</v>
      </c>
      <c r="F568" s="15">
        <f t="shared" si="4"/>
        <v>5</v>
      </c>
      <c r="G568" s="16">
        <v>41216.0</v>
      </c>
      <c r="H568" s="14">
        <f t="shared" si="5"/>
        <v>29</v>
      </c>
      <c r="I568" s="7" t="s">
        <v>305</v>
      </c>
      <c r="J568" s="7" t="s">
        <v>41</v>
      </c>
      <c r="K568" s="7" t="str">
        <f>VLOOKUP(J568,countries,2,false)</f>
        <v>Albania</v>
      </c>
      <c r="L568" s="7" t="str">
        <f>VLOOKUP($J568,countries,5,false)</f>
        <v>Europe</v>
      </c>
      <c r="M568" s="7" t="str">
        <f>VLOOKUP($J568,countries,6,false)</f>
        <v>Southern Europe</v>
      </c>
      <c r="N568" s="7">
        <v>5988.0</v>
      </c>
      <c r="O568" s="7" t="str">
        <f>VLOOKUP(N568, products, 2, FALSE)</f>
        <v>Vegetables</v>
      </c>
      <c r="P568" s="7" t="s">
        <v>264</v>
      </c>
      <c r="Q568" s="7">
        <v>5310.0</v>
      </c>
      <c r="R568" s="17">
        <v>154.06</v>
      </c>
      <c r="S568" s="17">
        <v>90.93</v>
      </c>
      <c r="U568" s="18">
        <f t="shared" si="6"/>
        <v>818058.6</v>
      </c>
      <c r="V568" s="18">
        <f t="shared" si="7"/>
        <v>482838.3</v>
      </c>
      <c r="W568" s="19">
        <f t="shared" si="8"/>
        <v>335220.3</v>
      </c>
    </row>
    <row r="569">
      <c r="A569" s="7">
        <v>4.7679404E8</v>
      </c>
      <c r="B569" s="12">
        <v>42404.0</v>
      </c>
      <c r="C569" s="7">
        <f t="shared" si="1"/>
        <v>2016</v>
      </c>
      <c r="D569" s="14" t="str">
        <f t="shared" si="2"/>
        <v>02 - Feb</v>
      </c>
      <c r="E569" s="15" t="str">
        <f t="shared" si="3"/>
        <v>Thu</v>
      </c>
      <c r="F569" s="15">
        <f t="shared" si="4"/>
        <v>4</v>
      </c>
      <c r="G569" s="16">
        <v>42436.0</v>
      </c>
      <c r="H569" s="14">
        <f t="shared" si="5"/>
        <v>32</v>
      </c>
      <c r="I569" s="7" t="s">
        <v>399</v>
      </c>
      <c r="J569" s="7" t="s">
        <v>165</v>
      </c>
      <c r="K569" s="7" t="str">
        <f>VLOOKUP(J569,countries,2,false)</f>
        <v>Bulgaria</v>
      </c>
      <c r="L569" s="7" t="str">
        <f>VLOOKUP($J569,countries,5,false)</f>
        <v>Europe</v>
      </c>
      <c r="M569" s="7" t="str">
        <f>VLOOKUP($J569,countries,6,false)</f>
        <v>Eastern Europe</v>
      </c>
      <c r="N569" s="7">
        <v>1270.0</v>
      </c>
      <c r="O569" s="7" t="str">
        <f>VLOOKUP(N569, products, 2, FALSE)</f>
        <v>Beverages</v>
      </c>
      <c r="P569" s="7" t="s">
        <v>264</v>
      </c>
      <c r="Q569" s="7">
        <v>2807.0</v>
      </c>
      <c r="R569" s="17">
        <v>47.45</v>
      </c>
      <c r="S569" s="17">
        <v>31.79</v>
      </c>
      <c r="U569" s="18">
        <f t="shared" si="6"/>
        <v>133192.15</v>
      </c>
      <c r="V569" s="18">
        <f t="shared" si="7"/>
        <v>89234.53</v>
      </c>
      <c r="W569" s="19">
        <f t="shared" si="8"/>
        <v>43957.62</v>
      </c>
    </row>
    <row r="570">
      <c r="A570" s="7">
        <v>4.7699145E8</v>
      </c>
      <c r="B570" s="12">
        <v>42805.0</v>
      </c>
      <c r="C570" s="7">
        <f t="shared" si="1"/>
        <v>2017</v>
      </c>
      <c r="D570" s="14" t="str">
        <f t="shared" si="2"/>
        <v>03 - Mar</v>
      </c>
      <c r="E570" s="15" t="str">
        <f t="shared" si="3"/>
        <v>Sat</v>
      </c>
      <c r="F570" s="15">
        <f t="shared" si="4"/>
        <v>6</v>
      </c>
      <c r="G570" s="16">
        <v>42821.0</v>
      </c>
      <c r="H570" s="14">
        <f t="shared" si="5"/>
        <v>16</v>
      </c>
      <c r="I570" s="7" t="s">
        <v>364</v>
      </c>
      <c r="J570" s="7" t="s">
        <v>165</v>
      </c>
      <c r="K570" s="7" t="str">
        <f>VLOOKUP(J570,countries,2,false)</f>
        <v>Bulgaria</v>
      </c>
      <c r="L570" s="7" t="str">
        <f>VLOOKUP($J570,countries,5,false)</f>
        <v>Europe</v>
      </c>
      <c r="M570" s="7" t="str">
        <f>VLOOKUP($J570,countries,6,false)</f>
        <v>Eastern Europe</v>
      </c>
      <c r="N570" s="7">
        <v>8969.0</v>
      </c>
      <c r="O570" s="7" t="str">
        <f>VLOOKUP(N570, products, 2, FALSE)</f>
        <v>Snacks</v>
      </c>
      <c r="P570" s="7" t="s">
        <v>334</v>
      </c>
      <c r="Q570" s="7">
        <v>1225.0</v>
      </c>
      <c r="R570" s="17">
        <v>152.58</v>
      </c>
      <c r="S570" s="17">
        <v>97.44</v>
      </c>
      <c r="U570" s="18">
        <f t="shared" si="6"/>
        <v>186910.5</v>
      </c>
      <c r="V570" s="18">
        <f t="shared" si="7"/>
        <v>119364</v>
      </c>
      <c r="W570" s="19">
        <f t="shared" si="8"/>
        <v>67546.5</v>
      </c>
    </row>
    <row r="571">
      <c r="A571" s="7">
        <v>4.77282845E8</v>
      </c>
      <c r="B571" s="12">
        <v>40198.0</v>
      </c>
      <c r="C571" s="7">
        <f t="shared" si="1"/>
        <v>2010</v>
      </c>
      <c r="D571" s="14" t="str">
        <f t="shared" si="2"/>
        <v>01 - Jan</v>
      </c>
      <c r="E571" s="15" t="str">
        <f t="shared" si="3"/>
        <v>Wed</v>
      </c>
      <c r="F571" s="15">
        <f t="shared" si="4"/>
        <v>3</v>
      </c>
      <c r="G571" s="16">
        <v>40213.0</v>
      </c>
      <c r="H571" s="14">
        <f t="shared" si="5"/>
        <v>15</v>
      </c>
      <c r="I571" s="7" t="s">
        <v>399</v>
      </c>
      <c r="J571" s="7" t="s">
        <v>90</v>
      </c>
      <c r="K571" s="7" t="str">
        <f>VLOOKUP(J571,countries,2,false)</f>
        <v>Armenia</v>
      </c>
      <c r="L571" s="7" t="str">
        <f>VLOOKUP($J571,countries,5,false)</f>
        <v>Asia</v>
      </c>
      <c r="M571" s="7" t="str">
        <f>VLOOKUP($J571,countries,6,false)</f>
        <v>Western Asia</v>
      </c>
      <c r="N571" s="7">
        <v>2103.0</v>
      </c>
      <c r="O571" s="7" t="str">
        <f>VLOOKUP(N571, products, 2, FALSE)</f>
        <v>Cereal</v>
      </c>
      <c r="P571" s="7" t="s">
        <v>334</v>
      </c>
      <c r="Q571" s="7">
        <v>7455.0</v>
      </c>
      <c r="R571" s="17">
        <v>205.7</v>
      </c>
      <c r="S571" s="17">
        <v>117.11</v>
      </c>
      <c r="U571" s="18">
        <f t="shared" si="6"/>
        <v>1533493.5</v>
      </c>
      <c r="V571" s="18">
        <f t="shared" si="7"/>
        <v>873055.05</v>
      </c>
      <c r="W571" s="19">
        <f t="shared" si="8"/>
        <v>660438.45</v>
      </c>
    </row>
    <row r="572">
      <c r="A572" s="7">
        <v>4.77633464E8</v>
      </c>
      <c r="B572" s="12">
        <v>42138.0</v>
      </c>
      <c r="C572" s="7">
        <f t="shared" si="1"/>
        <v>2015</v>
      </c>
      <c r="D572" s="14" t="str">
        <f t="shared" si="2"/>
        <v>05 - May</v>
      </c>
      <c r="E572" s="15" t="str">
        <f t="shared" si="3"/>
        <v>Thu</v>
      </c>
      <c r="F572" s="15">
        <f t="shared" si="4"/>
        <v>4</v>
      </c>
      <c r="G572" s="16">
        <v>42162.0</v>
      </c>
      <c r="H572" s="14">
        <f t="shared" si="5"/>
        <v>24</v>
      </c>
      <c r="I572" s="7" t="s">
        <v>399</v>
      </c>
      <c r="J572" s="7" t="s">
        <v>233</v>
      </c>
      <c r="K572" s="7" t="str">
        <f>VLOOKUP(J572,countries,2,false)</f>
        <v>Norway</v>
      </c>
      <c r="L572" s="7" t="str">
        <f>VLOOKUP($J572,countries,5,false)</f>
        <v>Europe</v>
      </c>
      <c r="M572" s="7" t="str">
        <f>VLOOKUP($J572,countries,6,false)</f>
        <v>Northern Europe</v>
      </c>
      <c r="N572" s="7">
        <v>8293.0</v>
      </c>
      <c r="O572" s="7" t="str">
        <f>VLOOKUP(N572, products, 2, FALSE)</f>
        <v>Cosmetics</v>
      </c>
      <c r="P572" s="7" t="s">
        <v>264</v>
      </c>
      <c r="Q572" s="7">
        <v>1211.0</v>
      </c>
      <c r="R572" s="17">
        <v>437.2</v>
      </c>
      <c r="S572" s="17">
        <v>263.33</v>
      </c>
      <c r="U572" s="18">
        <f t="shared" si="6"/>
        <v>529449.2</v>
      </c>
      <c r="V572" s="18">
        <f t="shared" si="7"/>
        <v>318892.63</v>
      </c>
      <c r="W572" s="19">
        <f t="shared" si="8"/>
        <v>210556.57</v>
      </c>
    </row>
    <row r="573">
      <c r="A573" s="7">
        <v>4.7805103E8</v>
      </c>
      <c r="B573" s="12">
        <v>40798.0</v>
      </c>
      <c r="C573" s="7">
        <f t="shared" si="1"/>
        <v>2011</v>
      </c>
      <c r="D573" s="14" t="str">
        <f t="shared" si="2"/>
        <v>09 - Sep</v>
      </c>
      <c r="E573" s="15" t="str">
        <f t="shared" si="3"/>
        <v>Mon</v>
      </c>
      <c r="F573" s="15">
        <f t="shared" si="4"/>
        <v>1</v>
      </c>
      <c r="G573" s="16">
        <v>40815.0</v>
      </c>
      <c r="H573" s="14">
        <f t="shared" si="5"/>
        <v>17</v>
      </c>
      <c r="I573" s="7" t="s">
        <v>305</v>
      </c>
      <c r="J573" s="7" t="s">
        <v>243</v>
      </c>
      <c r="K573" s="7" t="str">
        <f>VLOOKUP(J573,countries,2,false)</f>
        <v>Czech Republic</v>
      </c>
      <c r="L573" s="7" t="str">
        <f>VLOOKUP($J573,countries,5,false)</f>
        <v>Europe</v>
      </c>
      <c r="M573" s="7" t="str">
        <f>VLOOKUP($J573,countries,6,false)</f>
        <v>Eastern Europe</v>
      </c>
      <c r="N573" s="7">
        <v>1270.0</v>
      </c>
      <c r="O573" s="7" t="str">
        <f>VLOOKUP(N573, products, 2, FALSE)</f>
        <v>Beverages</v>
      </c>
      <c r="P573" s="7" t="s">
        <v>334</v>
      </c>
      <c r="Q573" s="7">
        <v>4778.0</v>
      </c>
      <c r="R573" s="17">
        <v>47.45</v>
      </c>
      <c r="S573" s="17">
        <v>31.79</v>
      </c>
      <c r="U573" s="18">
        <f t="shared" si="6"/>
        <v>226716.1</v>
      </c>
      <c r="V573" s="18">
        <f t="shared" si="7"/>
        <v>151892.62</v>
      </c>
      <c r="W573" s="19">
        <f t="shared" si="8"/>
        <v>74823.48</v>
      </c>
    </row>
    <row r="574">
      <c r="A574" s="7">
        <v>4.78840672E8</v>
      </c>
      <c r="B574" s="12">
        <v>42404.0</v>
      </c>
      <c r="C574" s="7">
        <f t="shared" si="1"/>
        <v>2016</v>
      </c>
      <c r="D574" s="14" t="str">
        <f t="shared" si="2"/>
        <v>02 - Feb</v>
      </c>
      <c r="E574" s="15" t="str">
        <f t="shared" si="3"/>
        <v>Thu</v>
      </c>
      <c r="F574" s="15">
        <f t="shared" si="4"/>
        <v>4</v>
      </c>
      <c r="G574" s="16">
        <v>42409.0</v>
      </c>
      <c r="H574" s="14">
        <f t="shared" si="5"/>
        <v>5</v>
      </c>
      <c r="I574" s="7" t="s">
        <v>364</v>
      </c>
      <c r="J574" s="7" t="s">
        <v>246</v>
      </c>
      <c r="K574" s="7" t="str">
        <f>VLOOKUP(J574,countries,2,false)</f>
        <v>Denmark</v>
      </c>
      <c r="L574" s="7" t="str">
        <f>VLOOKUP($J574,countries,5,false)</f>
        <v>Europe</v>
      </c>
      <c r="M574" s="7" t="str">
        <f>VLOOKUP($J574,countries,6,false)</f>
        <v>Northern Europe</v>
      </c>
      <c r="N574" s="7">
        <v>3127.0</v>
      </c>
      <c r="O574" s="7" t="str">
        <f>VLOOKUP(N574, products, 2, FALSE)</f>
        <v>Personal Care</v>
      </c>
      <c r="P574" s="7" t="s">
        <v>264</v>
      </c>
      <c r="Q574" s="7">
        <v>8451.0</v>
      </c>
      <c r="R574" s="17">
        <v>81.73</v>
      </c>
      <c r="S574" s="17">
        <v>56.67</v>
      </c>
      <c r="U574" s="18">
        <f t="shared" si="6"/>
        <v>690700.23</v>
      </c>
      <c r="V574" s="18">
        <f t="shared" si="7"/>
        <v>478918.17</v>
      </c>
      <c r="W574" s="19">
        <f t="shared" si="8"/>
        <v>211782.06</v>
      </c>
    </row>
    <row r="575">
      <c r="A575" s="7">
        <v>4.79171121E8</v>
      </c>
      <c r="B575" s="12">
        <v>40189.0</v>
      </c>
      <c r="C575" s="7">
        <f t="shared" si="1"/>
        <v>2010</v>
      </c>
      <c r="D575" s="14" t="str">
        <f t="shared" si="2"/>
        <v>01 - Jan</v>
      </c>
      <c r="E575" s="15" t="str">
        <f t="shared" si="3"/>
        <v>Mon</v>
      </c>
      <c r="F575" s="15">
        <f t="shared" si="4"/>
        <v>1</v>
      </c>
      <c r="G575" s="16">
        <v>40205.0</v>
      </c>
      <c r="H575" s="14">
        <f t="shared" si="5"/>
        <v>16</v>
      </c>
      <c r="I575" s="7" t="s">
        <v>305</v>
      </c>
      <c r="J575" s="7" t="s">
        <v>611</v>
      </c>
      <c r="K575" s="7" t="str">
        <f>VLOOKUP(J575,countries,2,false)</f>
        <v>Portugal</v>
      </c>
      <c r="L575" s="7" t="str">
        <f>VLOOKUP($J575,countries,5,false)</f>
        <v>Europe</v>
      </c>
      <c r="M575" s="7" t="str">
        <f>VLOOKUP($J575,countries,6,false)</f>
        <v>Southern Europe</v>
      </c>
      <c r="N575" s="7">
        <v>7331.0</v>
      </c>
      <c r="O575" s="7" t="str">
        <f>VLOOKUP(N575, products, 2, FALSE)</f>
        <v>Baby Food</v>
      </c>
      <c r="P575" s="7" t="s">
        <v>334</v>
      </c>
      <c r="Q575" s="7">
        <v>6238.0</v>
      </c>
      <c r="R575" s="17">
        <v>255.28</v>
      </c>
      <c r="S575" s="17">
        <v>159.42</v>
      </c>
      <c r="U575" s="18">
        <f t="shared" si="6"/>
        <v>1592436.64</v>
      </c>
      <c r="V575" s="18">
        <f t="shared" si="7"/>
        <v>994461.96</v>
      </c>
      <c r="W575" s="19">
        <f t="shared" si="8"/>
        <v>597974.68</v>
      </c>
    </row>
    <row r="576">
      <c r="A576" s="7">
        <v>4.79234206E8</v>
      </c>
      <c r="B576" s="12">
        <v>40823.0</v>
      </c>
      <c r="C576" s="7">
        <f t="shared" si="1"/>
        <v>2011</v>
      </c>
      <c r="D576" s="14" t="str">
        <f t="shared" si="2"/>
        <v>10 - Oct</v>
      </c>
      <c r="E576" s="15" t="str">
        <f t="shared" si="3"/>
        <v>Fri</v>
      </c>
      <c r="F576" s="15">
        <f t="shared" si="4"/>
        <v>5</v>
      </c>
      <c r="G576" s="16">
        <v>40861.0</v>
      </c>
      <c r="H576" s="14">
        <f t="shared" si="5"/>
        <v>38</v>
      </c>
      <c r="I576" s="7" t="s">
        <v>399</v>
      </c>
      <c r="J576" s="7" t="s">
        <v>468</v>
      </c>
      <c r="K576" s="7" t="str">
        <f>VLOOKUP(J576,countries,2,false)</f>
        <v>Luxembourg</v>
      </c>
      <c r="L576" s="7" t="str">
        <f>VLOOKUP($J576,countries,5,false)</f>
        <v>Europe</v>
      </c>
      <c r="M576" s="7" t="str">
        <f>VLOOKUP($J576,countries,6,false)</f>
        <v>Western Europe</v>
      </c>
      <c r="N576" s="7">
        <v>4594.0</v>
      </c>
      <c r="O576" s="7" t="str">
        <f>VLOOKUP(N576, products, 2, FALSE)</f>
        <v>Fruits</v>
      </c>
      <c r="P576" s="7" t="s">
        <v>264</v>
      </c>
      <c r="Q576" s="7">
        <v>4906.0</v>
      </c>
      <c r="R576" s="17">
        <v>9.33</v>
      </c>
      <c r="S576" s="17">
        <v>6.92</v>
      </c>
      <c r="U576" s="18">
        <f t="shared" si="6"/>
        <v>45772.98</v>
      </c>
      <c r="V576" s="18">
        <f t="shared" si="7"/>
        <v>33949.52</v>
      </c>
      <c r="W576" s="19">
        <f t="shared" si="8"/>
        <v>11823.46</v>
      </c>
    </row>
    <row r="577">
      <c r="A577" s="7">
        <v>4.80652987E8</v>
      </c>
      <c r="B577" s="12">
        <v>42817.0</v>
      </c>
      <c r="C577" s="7">
        <f t="shared" si="1"/>
        <v>2017</v>
      </c>
      <c r="D577" s="14" t="str">
        <f t="shared" si="2"/>
        <v>03 - Mar</v>
      </c>
      <c r="E577" s="15" t="str">
        <f t="shared" si="3"/>
        <v>Thu</v>
      </c>
      <c r="F577" s="15">
        <f t="shared" si="4"/>
        <v>4</v>
      </c>
      <c r="G577" s="16">
        <v>42830.0</v>
      </c>
      <c r="H577" s="14">
        <f t="shared" si="5"/>
        <v>13</v>
      </c>
      <c r="I577" s="7" t="s">
        <v>364</v>
      </c>
      <c r="J577" s="7" t="s">
        <v>406</v>
      </c>
      <c r="K577" s="7" t="str">
        <f>VLOOKUP(J577,countries,2,false)</f>
        <v>Italy</v>
      </c>
      <c r="L577" s="7" t="str">
        <f>VLOOKUP($J577,countries,5,false)</f>
        <v>Europe</v>
      </c>
      <c r="M577" s="7" t="str">
        <f>VLOOKUP($J577,countries,6,false)</f>
        <v>Southern Europe</v>
      </c>
      <c r="N577" s="7">
        <v>7331.0</v>
      </c>
      <c r="O577" s="7" t="str">
        <f>VLOOKUP(N577, products, 2, FALSE)</f>
        <v>Baby Food</v>
      </c>
      <c r="P577" s="7" t="s">
        <v>334</v>
      </c>
      <c r="Q577" s="7">
        <v>4755.0</v>
      </c>
      <c r="R577" s="17">
        <v>255.28</v>
      </c>
      <c r="S577" s="17">
        <v>159.42</v>
      </c>
      <c r="U577" s="18">
        <f t="shared" si="6"/>
        <v>1213856.4</v>
      </c>
      <c r="V577" s="18">
        <f t="shared" si="7"/>
        <v>758042.1</v>
      </c>
      <c r="W577" s="19">
        <f t="shared" si="8"/>
        <v>455814.3</v>
      </c>
    </row>
    <row r="578">
      <c r="A578" s="7">
        <v>4.80904042E8</v>
      </c>
      <c r="B578" s="12">
        <v>40201.0</v>
      </c>
      <c r="C578" s="7">
        <f t="shared" si="1"/>
        <v>2010</v>
      </c>
      <c r="D578" s="14" t="str">
        <f t="shared" si="2"/>
        <v>01 - Jan</v>
      </c>
      <c r="E578" s="15" t="str">
        <f t="shared" si="3"/>
        <v>Sat</v>
      </c>
      <c r="F578" s="15">
        <f t="shared" si="4"/>
        <v>6</v>
      </c>
      <c r="G578" s="16">
        <v>40214.0</v>
      </c>
      <c r="H578" s="14">
        <f t="shared" si="5"/>
        <v>13</v>
      </c>
      <c r="I578" s="7" t="s">
        <v>305</v>
      </c>
      <c r="J578" s="7" t="s">
        <v>67</v>
      </c>
      <c r="K578" s="7" t="str">
        <f>VLOOKUP(J578,countries,2,false)</f>
        <v>Andorra</v>
      </c>
      <c r="L578" s="7" t="str">
        <f>VLOOKUP($J578,countries,5,false)</f>
        <v>Europe</v>
      </c>
      <c r="M578" s="7" t="str">
        <f>VLOOKUP($J578,countries,6,false)</f>
        <v>Southern Europe</v>
      </c>
      <c r="N578" s="7">
        <v>8969.0</v>
      </c>
      <c r="O578" s="7" t="str">
        <f>VLOOKUP(N578, products, 2, FALSE)</f>
        <v>Snacks</v>
      </c>
      <c r="P578" s="7" t="s">
        <v>334</v>
      </c>
      <c r="Q578" s="7">
        <v>9048.0</v>
      </c>
      <c r="R578" s="17">
        <v>152.58</v>
      </c>
      <c r="S578" s="17">
        <v>97.44</v>
      </c>
      <c r="U578" s="18">
        <f t="shared" si="6"/>
        <v>1380543.84</v>
      </c>
      <c r="V578" s="18">
        <f t="shared" si="7"/>
        <v>881637.12</v>
      </c>
      <c r="W578" s="19">
        <f t="shared" si="8"/>
        <v>498906.72</v>
      </c>
    </row>
    <row r="579">
      <c r="A579" s="7">
        <v>4.81114327E8</v>
      </c>
      <c r="B579" s="12">
        <v>42312.0</v>
      </c>
      <c r="C579" s="7">
        <f t="shared" si="1"/>
        <v>2015</v>
      </c>
      <c r="D579" s="14" t="str">
        <f t="shared" si="2"/>
        <v>11 - Nov</v>
      </c>
      <c r="E579" s="15" t="str">
        <f t="shared" si="3"/>
        <v>Wed</v>
      </c>
      <c r="F579" s="15">
        <f t="shared" si="4"/>
        <v>3</v>
      </c>
      <c r="G579" s="16">
        <v>42332.0</v>
      </c>
      <c r="H579" s="14">
        <f t="shared" si="5"/>
        <v>20</v>
      </c>
      <c r="I579" s="7" t="s">
        <v>232</v>
      </c>
      <c r="J579" s="7" t="s">
        <v>233</v>
      </c>
      <c r="K579" s="7" t="str">
        <f>VLOOKUP(J579,countries,2,false)</f>
        <v>Norway</v>
      </c>
      <c r="L579" s="7" t="str">
        <f>VLOOKUP($J579,countries,5,false)</f>
        <v>Europe</v>
      </c>
      <c r="M579" s="7" t="str">
        <f>VLOOKUP($J579,countries,6,false)</f>
        <v>Northern Europe</v>
      </c>
      <c r="N579" s="7">
        <v>2103.0</v>
      </c>
      <c r="O579" s="7" t="str">
        <f>VLOOKUP(N579, products, 2, FALSE)</f>
        <v>Cereal</v>
      </c>
      <c r="P579" s="7" t="s">
        <v>264</v>
      </c>
      <c r="Q579" s="7">
        <v>1276.0</v>
      </c>
      <c r="R579" s="17">
        <v>205.7</v>
      </c>
      <c r="S579" s="17">
        <v>117.11</v>
      </c>
      <c r="U579" s="18">
        <f t="shared" si="6"/>
        <v>262473.2</v>
      </c>
      <c r="V579" s="18">
        <f t="shared" si="7"/>
        <v>149432.36</v>
      </c>
      <c r="W579" s="19">
        <f t="shared" si="8"/>
        <v>113040.84</v>
      </c>
    </row>
    <row r="580">
      <c r="A580" s="7">
        <v>4.81308305E8</v>
      </c>
      <c r="B580" s="12">
        <v>41889.0</v>
      </c>
      <c r="C580" s="7">
        <f t="shared" si="1"/>
        <v>2014</v>
      </c>
      <c r="D580" s="14" t="str">
        <f t="shared" si="2"/>
        <v>09 - Sep</v>
      </c>
      <c r="E580" s="15" t="str">
        <f t="shared" si="3"/>
        <v>Sun</v>
      </c>
      <c r="F580" s="15">
        <f t="shared" si="4"/>
        <v>7</v>
      </c>
      <c r="G580" s="16">
        <v>41928.0</v>
      </c>
      <c r="H580" s="14">
        <f t="shared" si="5"/>
        <v>39</v>
      </c>
      <c r="I580" s="7" t="s">
        <v>305</v>
      </c>
      <c r="J580" s="7" t="s">
        <v>293</v>
      </c>
      <c r="K580" s="7" t="str">
        <f>VLOOKUP(J580,countries,2,false)</f>
        <v>Finland</v>
      </c>
      <c r="L580" s="7" t="str">
        <f>VLOOKUP($J580,countries,5,false)</f>
        <v>Europe</v>
      </c>
      <c r="M580" s="7" t="str">
        <f>VLOOKUP($J580,countries,6,false)</f>
        <v>Northern Europe</v>
      </c>
      <c r="N580" s="7">
        <v>7331.0</v>
      </c>
      <c r="O580" s="7" t="str">
        <f>VLOOKUP(N580, products, 2, FALSE)</f>
        <v>Baby Food</v>
      </c>
      <c r="P580" s="7" t="s">
        <v>334</v>
      </c>
      <c r="Q580" s="7">
        <v>8678.0</v>
      </c>
      <c r="R580" s="17">
        <v>255.28</v>
      </c>
      <c r="S580" s="17">
        <v>159.42</v>
      </c>
      <c r="U580" s="18">
        <f t="shared" si="6"/>
        <v>2215319.84</v>
      </c>
      <c r="V580" s="18">
        <f t="shared" si="7"/>
        <v>1383446.76</v>
      </c>
      <c r="W580" s="19">
        <f t="shared" si="8"/>
        <v>831873.08</v>
      </c>
    </row>
    <row r="581">
      <c r="A581" s="7">
        <v>4.81976497E8</v>
      </c>
      <c r="B581" s="12">
        <v>42670.0</v>
      </c>
      <c r="C581" s="7">
        <f t="shared" si="1"/>
        <v>2016</v>
      </c>
      <c r="D581" s="14" t="str">
        <f t="shared" si="2"/>
        <v>10 - Oct</v>
      </c>
      <c r="E581" s="15" t="str">
        <f t="shared" si="3"/>
        <v>Thu</v>
      </c>
      <c r="F581" s="15">
        <f t="shared" si="4"/>
        <v>4</v>
      </c>
      <c r="G581" s="16">
        <v>42707.0</v>
      </c>
      <c r="H581" s="14">
        <f t="shared" si="5"/>
        <v>37</v>
      </c>
      <c r="I581" s="7" t="s">
        <v>399</v>
      </c>
      <c r="J581" s="7" t="s">
        <v>623</v>
      </c>
      <c r="K581" s="7" t="str">
        <f>VLOOKUP(J581,countries,2,false)</f>
        <v>Romania</v>
      </c>
      <c r="L581" s="7" t="str">
        <f>VLOOKUP($J581,countries,5,false)</f>
        <v>Europe</v>
      </c>
      <c r="M581" s="7" t="str">
        <f>VLOOKUP($J581,countries,6,false)</f>
        <v>Eastern Europe</v>
      </c>
      <c r="N581" s="7">
        <v>4594.0</v>
      </c>
      <c r="O581" s="7" t="str">
        <f>VLOOKUP(N581, products, 2, FALSE)</f>
        <v>Fruits</v>
      </c>
      <c r="P581" s="7" t="s">
        <v>264</v>
      </c>
      <c r="Q581" s="7">
        <v>6411.0</v>
      </c>
      <c r="R581" s="17">
        <v>9.33</v>
      </c>
      <c r="S581" s="17">
        <v>6.92</v>
      </c>
      <c r="U581" s="18">
        <f t="shared" si="6"/>
        <v>59814.63</v>
      </c>
      <c r="V581" s="18">
        <f t="shared" si="7"/>
        <v>44364.12</v>
      </c>
      <c r="W581" s="19">
        <f t="shared" si="8"/>
        <v>15450.51</v>
      </c>
    </row>
    <row r="582">
      <c r="A582" s="7">
        <v>4.83438193E8</v>
      </c>
      <c r="B582" s="12">
        <v>41144.0</v>
      </c>
      <c r="C582" s="7">
        <f t="shared" si="1"/>
        <v>2012</v>
      </c>
      <c r="D582" s="14" t="str">
        <f t="shared" si="2"/>
        <v>08 - Aug</v>
      </c>
      <c r="E582" s="15" t="str">
        <f t="shared" si="3"/>
        <v>Thu</v>
      </c>
      <c r="F582" s="15">
        <f t="shared" si="4"/>
        <v>4</v>
      </c>
      <c r="G582" s="16">
        <v>41178.0</v>
      </c>
      <c r="H582" s="14">
        <f t="shared" si="5"/>
        <v>34</v>
      </c>
      <c r="I582" s="7" t="s">
        <v>399</v>
      </c>
      <c r="J582" s="7" t="s">
        <v>316</v>
      </c>
      <c r="K582" s="7" t="str">
        <f>VLOOKUP(J582,countries,2,false)</f>
        <v>Georgia</v>
      </c>
      <c r="L582" s="7" t="str">
        <f>VLOOKUP($J582,countries,5,false)</f>
        <v>Asia</v>
      </c>
      <c r="M582" s="7" t="str">
        <f>VLOOKUP($J582,countries,6,false)</f>
        <v>Western Asia</v>
      </c>
      <c r="N582" s="7">
        <v>8875.0</v>
      </c>
      <c r="O582" s="7" t="str">
        <f>VLOOKUP(N582, products, 2, FALSE)</f>
        <v>Meat</v>
      </c>
      <c r="P582" s="7" t="s">
        <v>264</v>
      </c>
      <c r="Q582" s="7">
        <v>8959.0</v>
      </c>
      <c r="R582" s="17">
        <v>421.89</v>
      </c>
      <c r="S582" s="17">
        <v>364.69</v>
      </c>
      <c r="U582" s="18">
        <f t="shared" si="6"/>
        <v>3779712.51</v>
      </c>
      <c r="V582" s="18">
        <f t="shared" si="7"/>
        <v>3267257.71</v>
      </c>
      <c r="W582" s="19">
        <f t="shared" si="8"/>
        <v>512454.8</v>
      </c>
    </row>
    <row r="583">
      <c r="A583" s="7">
        <v>4.83655774E8</v>
      </c>
      <c r="B583" s="12">
        <v>42934.0</v>
      </c>
      <c r="C583" s="7">
        <f t="shared" si="1"/>
        <v>2017</v>
      </c>
      <c r="D583" s="14" t="str">
        <f t="shared" si="2"/>
        <v>07 - Jul</v>
      </c>
      <c r="E583" s="15" t="str">
        <f t="shared" si="3"/>
        <v>Tue</v>
      </c>
      <c r="F583" s="15">
        <f t="shared" si="4"/>
        <v>2</v>
      </c>
      <c r="G583" s="16">
        <v>42952.0</v>
      </c>
      <c r="H583" s="14">
        <f t="shared" si="5"/>
        <v>18</v>
      </c>
      <c r="I583" s="7" t="s">
        <v>399</v>
      </c>
      <c r="J583" s="7" t="s">
        <v>348</v>
      </c>
      <c r="K583" s="7" t="s">
        <v>348</v>
      </c>
      <c r="L583" s="7" t="s">
        <v>348</v>
      </c>
      <c r="M583" s="7" t="s">
        <v>348</v>
      </c>
      <c r="N583" s="7">
        <v>2103.0</v>
      </c>
      <c r="O583" s="7" t="str">
        <f>VLOOKUP(N583, products, 2, FALSE)</f>
        <v>Cereal</v>
      </c>
      <c r="P583" s="7" t="s">
        <v>334</v>
      </c>
      <c r="Q583" s="7">
        <v>3346.0</v>
      </c>
      <c r="R583" s="17">
        <v>205.7</v>
      </c>
      <c r="S583" s="17">
        <v>117.11</v>
      </c>
      <c r="U583" s="18">
        <f t="shared" si="6"/>
        <v>688272.2</v>
      </c>
      <c r="V583" s="18">
        <f t="shared" si="7"/>
        <v>391850.06</v>
      </c>
      <c r="W583" s="19">
        <f t="shared" si="8"/>
        <v>296422.14</v>
      </c>
    </row>
    <row r="584">
      <c r="A584" s="7">
        <v>4.83981502E8</v>
      </c>
      <c r="B584" s="12">
        <v>40277.0</v>
      </c>
      <c r="C584" s="7">
        <f t="shared" si="1"/>
        <v>2010</v>
      </c>
      <c r="D584" s="14" t="str">
        <f t="shared" si="2"/>
        <v>04 - Apr</v>
      </c>
      <c r="E584" s="15" t="str">
        <f t="shared" si="3"/>
        <v>Fri</v>
      </c>
      <c r="F584" s="15">
        <f t="shared" si="4"/>
        <v>5</v>
      </c>
      <c r="G584" s="16">
        <v>40302.0</v>
      </c>
      <c r="H584" s="14">
        <f t="shared" si="5"/>
        <v>25</v>
      </c>
      <c r="I584" s="7" t="s">
        <v>399</v>
      </c>
      <c r="J584" s="7" t="s">
        <v>685</v>
      </c>
      <c r="K584" s="7" t="str">
        <f>VLOOKUP(J584,countries,2,false)</f>
        <v>Slovenia</v>
      </c>
      <c r="L584" s="7" t="str">
        <f>VLOOKUP($J584,countries,5,false)</f>
        <v>Europe</v>
      </c>
      <c r="M584" s="7" t="str">
        <f>VLOOKUP($J584,countries,6,false)</f>
        <v>Southern Europe</v>
      </c>
      <c r="N584" s="7">
        <v>8681.0</v>
      </c>
      <c r="O584" s="7" t="str">
        <f>VLOOKUP(N584, products, 2, FALSE)</f>
        <v>Office Supplies</v>
      </c>
      <c r="P584" s="7" t="s">
        <v>264</v>
      </c>
      <c r="Q584" s="7">
        <v>9736.0</v>
      </c>
      <c r="R584" s="17">
        <v>651.21</v>
      </c>
      <c r="S584" s="17">
        <v>524.96</v>
      </c>
      <c r="U584" s="18">
        <f t="shared" si="6"/>
        <v>6340180.56</v>
      </c>
      <c r="V584" s="18">
        <f t="shared" si="7"/>
        <v>5111010.56</v>
      </c>
      <c r="W584" s="19">
        <f t="shared" si="8"/>
        <v>1229170</v>
      </c>
    </row>
    <row r="585">
      <c r="A585" s="7">
        <v>4.85165965E8</v>
      </c>
      <c r="B585" s="12">
        <v>42685.0</v>
      </c>
      <c r="C585" s="7">
        <f t="shared" si="1"/>
        <v>2016</v>
      </c>
      <c r="D585" s="14" t="str">
        <f t="shared" si="2"/>
        <v>11 - Nov</v>
      </c>
      <c r="E585" s="15" t="str">
        <f t="shared" si="3"/>
        <v>Fri</v>
      </c>
      <c r="F585" s="15">
        <f t="shared" si="4"/>
        <v>5</v>
      </c>
      <c r="G585" s="16">
        <v>42718.0</v>
      </c>
      <c r="H585" s="14">
        <f t="shared" si="5"/>
        <v>33</v>
      </c>
      <c r="I585" s="7" t="s">
        <v>305</v>
      </c>
      <c r="J585" s="7" t="s">
        <v>517</v>
      </c>
      <c r="K585" s="7" t="str">
        <f>VLOOKUP(J585,countries,2,false)</f>
        <v>Spain</v>
      </c>
      <c r="L585" s="7" t="str">
        <f>VLOOKUP($J585,countries,5,false)</f>
        <v>Europe</v>
      </c>
      <c r="M585" s="7" t="str">
        <f>VLOOKUP($J585,countries,6,false)</f>
        <v>Southern Europe</v>
      </c>
      <c r="N585" s="7">
        <v>8969.0</v>
      </c>
      <c r="O585" s="7" t="str">
        <f>VLOOKUP(N585, products, 2, FALSE)</f>
        <v>Snacks</v>
      </c>
      <c r="P585" s="7" t="s">
        <v>264</v>
      </c>
      <c r="Q585" s="7">
        <v>245.0</v>
      </c>
      <c r="R585" s="17">
        <v>152.58</v>
      </c>
      <c r="S585" s="17">
        <v>97.44</v>
      </c>
      <c r="U585" s="18">
        <f t="shared" si="6"/>
        <v>37382.1</v>
      </c>
      <c r="V585" s="18">
        <f t="shared" si="7"/>
        <v>23872.8</v>
      </c>
      <c r="W585" s="19">
        <f t="shared" si="8"/>
        <v>13509.3</v>
      </c>
    </row>
    <row r="586">
      <c r="A586" s="7">
        <v>4.85929429E8</v>
      </c>
      <c r="B586" s="12">
        <v>42842.0</v>
      </c>
      <c r="C586" s="7">
        <f t="shared" si="1"/>
        <v>2017</v>
      </c>
      <c r="D586" s="14" t="str">
        <f t="shared" si="2"/>
        <v>04 - Apr</v>
      </c>
      <c r="E586" s="15" t="str">
        <f t="shared" si="3"/>
        <v>Mon</v>
      </c>
      <c r="F586" s="15">
        <f t="shared" si="4"/>
        <v>1</v>
      </c>
      <c r="G586" s="16">
        <v>42874.0</v>
      </c>
      <c r="H586" s="14">
        <f t="shared" si="5"/>
        <v>32</v>
      </c>
      <c r="I586" s="7" t="s">
        <v>305</v>
      </c>
      <c r="J586" s="7" t="s">
        <v>771</v>
      </c>
      <c r="K586" s="7" t="str">
        <f>VLOOKUP(J586,countries,2,false)</f>
        <v>Ukraine</v>
      </c>
      <c r="L586" s="7" t="str">
        <f>VLOOKUP($J586,countries,5,false)</f>
        <v>Europe</v>
      </c>
      <c r="M586" s="7" t="str">
        <f>VLOOKUP($J586,countries,6,false)</f>
        <v>Eastern Europe</v>
      </c>
      <c r="N586" s="7">
        <v>3127.0</v>
      </c>
      <c r="O586" s="7" t="str">
        <f>VLOOKUP(N586, products, 2, FALSE)</f>
        <v>Personal Care</v>
      </c>
      <c r="P586" s="7" t="s">
        <v>334</v>
      </c>
      <c r="Q586" s="7">
        <v>6171.0</v>
      </c>
      <c r="R586" s="17">
        <v>81.73</v>
      </c>
      <c r="S586" s="17">
        <v>56.67</v>
      </c>
      <c r="U586" s="18">
        <f t="shared" si="6"/>
        <v>504355.83</v>
      </c>
      <c r="V586" s="18">
        <f t="shared" si="7"/>
        <v>349710.57</v>
      </c>
      <c r="W586" s="19">
        <f t="shared" si="8"/>
        <v>154645.26</v>
      </c>
    </row>
    <row r="587">
      <c r="A587" s="7">
        <v>4.86345708E8</v>
      </c>
      <c r="B587" s="12">
        <v>41885.0</v>
      </c>
      <c r="C587" s="7">
        <f t="shared" si="1"/>
        <v>2014</v>
      </c>
      <c r="D587" s="14" t="str">
        <f t="shared" si="2"/>
        <v>09 - Sep</v>
      </c>
      <c r="E587" s="15" t="str">
        <f t="shared" si="3"/>
        <v>Wed</v>
      </c>
      <c r="F587" s="15">
        <f t="shared" si="4"/>
        <v>3</v>
      </c>
      <c r="G587" s="16">
        <v>41923.0</v>
      </c>
      <c r="H587" s="14">
        <f t="shared" si="5"/>
        <v>38</v>
      </c>
      <c r="I587" s="7" t="s">
        <v>399</v>
      </c>
      <c r="J587" s="7" t="s">
        <v>626</v>
      </c>
      <c r="K587" s="7" t="str">
        <f>VLOOKUP(J587,countries,2,false)</f>
        <v>Russia</v>
      </c>
      <c r="L587" s="7" t="str">
        <f>VLOOKUP($J587,countries,5,false)</f>
        <v>Europe</v>
      </c>
      <c r="M587" s="7" t="str">
        <f>VLOOKUP($J587,countries,6,false)</f>
        <v>Eastern Europe</v>
      </c>
      <c r="N587" s="7">
        <v>8293.0</v>
      </c>
      <c r="O587" s="7" t="str">
        <f>VLOOKUP(N587, products, 2, FALSE)</f>
        <v>Cosmetics</v>
      </c>
      <c r="P587" s="7" t="s">
        <v>334</v>
      </c>
      <c r="Q587" s="7">
        <v>9357.0</v>
      </c>
      <c r="R587" s="17">
        <v>437.2</v>
      </c>
      <c r="S587" s="17">
        <v>263.33</v>
      </c>
      <c r="U587" s="18">
        <f t="shared" si="6"/>
        <v>4090880.4</v>
      </c>
      <c r="V587" s="18">
        <f t="shared" si="7"/>
        <v>2463978.81</v>
      </c>
      <c r="W587" s="19">
        <f t="shared" si="8"/>
        <v>1626901.59</v>
      </c>
    </row>
    <row r="588">
      <c r="A588" s="7">
        <v>4.8646115E8</v>
      </c>
      <c r="B588" s="12">
        <v>42648.0</v>
      </c>
      <c r="C588" s="7">
        <f t="shared" si="1"/>
        <v>2016</v>
      </c>
      <c r="D588" s="14" t="str">
        <f t="shared" si="2"/>
        <v>10 - Oct</v>
      </c>
      <c r="E588" s="15" t="str">
        <f t="shared" si="3"/>
        <v>Wed</v>
      </c>
      <c r="F588" s="15">
        <f t="shared" si="4"/>
        <v>3</v>
      </c>
      <c r="G588" s="16">
        <v>42687.0</v>
      </c>
      <c r="H588" s="14">
        <f t="shared" si="5"/>
        <v>39</v>
      </c>
      <c r="I588" s="7" t="s">
        <v>232</v>
      </c>
      <c r="J588" s="7" t="s">
        <v>447</v>
      </c>
      <c r="K588" s="7" t="str">
        <f>VLOOKUP(J588,countries,2,false)</f>
        <v>Latvia</v>
      </c>
      <c r="L588" s="7" t="str">
        <f>VLOOKUP($J588,countries,5,false)</f>
        <v>Europe</v>
      </c>
      <c r="M588" s="7" t="str">
        <f>VLOOKUP($J588,countries,6,false)</f>
        <v>Northern Europe</v>
      </c>
      <c r="N588" s="7">
        <v>5988.0</v>
      </c>
      <c r="O588" s="7" t="str">
        <f>VLOOKUP(N588, products, 2, FALSE)</f>
        <v>Vegetables</v>
      </c>
      <c r="P588" s="7" t="s">
        <v>334</v>
      </c>
      <c r="Q588" s="7">
        <v>3519.0</v>
      </c>
      <c r="R588" s="17">
        <v>154.06</v>
      </c>
      <c r="S588" s="17">
        <v>90.93</v>
      </c>
      <c r="U588" s="18">
        <f t="shared" si="6"/>
        <v>542137.14</v>
      </c>
      <c r="V588" s="18">
        <f t="shared" si="7"/>
        <v>319982.67</v>
      </c>
      <c r="W588" s="19">
        <f t="shared" si="8"/>
        <v>222154.47</v>
      </c>
    </row>
    <row r="589">
      <c r="A589" s="7">
        <v>4.8831638E8</v>
      </c>
      <c r="B589" s="12">
        <v>42308.0</v>
      </c>
      <c r="C589" s="7">
        <f t="shared" si="1"/>
        <v>2015</v>
      </c>
      <c r="D589" s="14" t="str">
        <f t="shared" si="2"/>
        <v>10 - Oct</v>
      </c>
      <c r="E589" s="15" t="str">
        <f t="shared" si="3"/>
        <v>Sat</v>
      </c>
      <c r="F589" s="15">
        <f t="shared" si="4"/>
        <v>6</v>
      </c>
      <c r="G589" s="16">
        <v>42326.0</v>
      </c>
      <c r="H589" s="14">
        <f t="shared" si="5"/>
        <v>18</v>
      </c>
      <c r="I589" s="7" t="s">
        <v>364</v>
      </c>
      <c r="J589" s="7" t="s">
        <v>328</v>
      </c>
      <c r="K589" s="7" t="str">
        <f>VLOOKUP(J589,countries,2,false)</f>
        <v>Greece</v>
      </c>
      <c r="L589" s="7" t="str">
        <f>VLOOKUP($J589,countries,5,false)</f>
        <v>Europe</v>
      </c>
      <c r="M589" s="7" t="str">
        <f>VLOOKUP($J589,countries,6,false)</f>
        <v>Southern Europe</v>
      </c>
      <c r="N589" s="7">
        <v>4594.0</v>
      </c>
      <c r="O589" s="7" t="str">
        <f>VLOOKUP(N589, products, 2, FALSE)</f>
        <v>Fruits</v>
      </c>
      <c r="P589" s="7" t="s">
        <v>264</v>
      </c>
      <c r="Q589" s="7">
        <v>2523.0</v>
      </c>
      <c r="R589" s="17">
        <v>9.33</v>
      </c>
      <c r="S589" s="17">
        <v>6.92</v>
      </c>
      <c r="U589" s="18">
        <f t="shared" si="6"/>
        <v>23539.59</v>
      </c>
      <c r="V589" s="18">
        <f t="shared" si="7"/>
        <v>17459.16</v>
      </c>
      <c r="W589" s="19">
        <f t="shared" si="8"/>
        <v>6080.43</v>
      </c>
    </row>
    <row r="590">
      <c r="A590" s="7">
        <v>4.88815915E8</v>
      </c>
      <c r="B590" s="12">
        <v>40605.0</v>
      </c>
      <c r="C590" s="7">
        <f t="shared" si="1"/>
        <v>2011</v>
      </c>
      <c r="D590" s="14" t="str">
        <f t="shared" si="2"/>
        <v>03 - Mar</v>
      </c>
      <c r="E590" s="15" t="str">
        <f t="shared" si="3"/>
        <v>Thu</v>
      </c>
      <c r="F590" s="15">
        <f t="shared" si="4"/>
        <v>4</v>
      </c>
      <c r="G590" s="16">
        <v>40650.0</v>
      </c>
      <c r="H590" s="14">
        <f t="shared" si="5"/>
        <v>45</v>
      </c>
      <c r="I590" s="7" t="s">
        <v>232</v>
      </c>
      <c r="J590" s="7" t="s">
        <v>229</v>
      </c>
      <c r="K590" s="7" t="str">
        <f>VLOOKUP(J590,countries,2,false)</f>
        <v>Croatia</v>
      </c>
      <c r="L590" s="7" t="str">
        <f>VLOOKUP($J590,countries,5,false)</f>
        <v>Europe</v>
      </c>
      <c r="M590" s="7" t="str">
        <f>VLOOKUP($J590,countries,6,false)</f>
        <v>Southern Europe</v>
      </c>
      <c r="N590" s="7">
        <v>8969.0</v>
      </c>
      <c r="O590" s="7" t="str">
        <f>VLOOKUP(N590, products, 2, FALSE)</f>
        <v>Snacks</v>
      </c>
      <c r="P590" s="7" t="s">
        <v>334</v>
      </c>
      <c r="Q590" s="7">
        <v>347.0</v>
      </c>
      <c r="R590" s="17">
        <v>152.58</v>
      </c>
      <c r="S590" s="17">
        <v>97.44</v>
      </c>
      <c r="U590" s="18">
        <f t="shared" si="6"/>
        <v>52945.26</v>
      </c>
      <c r="V590" s="18">
        <f t="shared" si="7"/>
        <v>33811.68</v>
      </c>
      <c r="W590" s="19">
        <f t="shared" si="8"/>
        <v>19133.58</v>
      </c>
    </row>
    <row r="591">
      <c r="A591" s="7">
        <v>4.89600837E8</v>
      </c>
      <c r="B591" s="12">
        <v>41768.0</v>
      </c>
      <c r="C591" s="7">
        <f t="shared" si="1"/>
        <v>2014</v>
      </c>
      <c r="D591" s="14" t="str">
        <f t="shared" si="2"/>
        <v>05 - May</v>
      </c>
      <c r="E591" s="15" t="str">
        <f t="shared" si="3"/>
        <v>Fri</v>
      </c>
      <c r="F591" s="15">
        <f t="shared" si="4"/>
        <v>5</v>
      </c>
      <c r="G591" s="16">
        <v>41799.0</v>
      </c>
      <c r="H591" s="14">
        <f t="shared" si="5"/>
        <v>31</v>
      </c>
      <c r="I591" s="7" t="s">
        <v>305</v>
      </c>
      <c r="J591" s="7" t="s">
        <v>101</v>
      </c>
      <c r="K591" s="7" t="str">
        <f>VLOOKUP(J591,countries,2,false)</f>
        <v>Austria</v>
      </c>
      <c r="L591" s="7" t="str">
        <f>VLOOKUP($J591,countries,5,false)</f>
        <v>Europe</v>
      </c>
      <c r="M591" s="7" t="str">
        <f>VLOOKUP($J591,countries,6,false)</f>
        <v>Western Europe</v>
      </c>
      <c r="N591" s="7">
        <v>5988.0</v>
      </c>
      <c r="O591" s="7" t="str">
        <f>VLOOKUP(N591, products, 2, FALSE)</f>
        <v>Vegetables</v>
      </c>
      <c r="P591" s="7" t="s">
        <v>334</v>
      </c>
      <c r="Q591" s="7">
        <v>2622.0</v>
      </c>
      <c r="R591" s="17">
        <v>154.06</v>
      </c>
      <c r="S591" s="17">
        <v>90.93</v>
      </c>
      <c r="U591" s="18">
        <f t="shared" si="6"/>
        <v>403945.32</v>
      </c>
      <c r="V591" s="18">
        <f t="shared" si="7"/>
        <v>238418.46</v>
      </c>
      <c r="W591" s="19">
        <f t="shared" si="8"/>
        <v>165526.86</v>
      </c>
    </row>
    <row r="592">
      <c r="A592" s="7">
        <v>4.89848029E8</v>
      </c>
      <c r="B592" s="12">
        <v>40299.0</v>
      </c>
      <c r="C592" s="7">
        <f t="shared" si="1"/>
        <v>2010</v>
      </c>
      <c r="D592" s="14" t="str">
        <f t="shared" si="2"/>
        <v>05 - May</v>
      </c>
      <c r="E592" s="15" t="str">
        <f t="shared" si="3"/>
        <v>Sat</v>
      </c>
      <c r="F592" s="15">
        <f t="shared" si="4"/>
        <v>6</v>
      </c>
      <c r="G592" s="16">
        <v>40318.0</v>
      </c>
      <c r="H592" s="14">
        <f t="shared" si="5"/>
        <v>19</v>
      </c>
      <c r="I592" s="7" t="s">
        <v>232</v>
      </c>
      <c r="J592" s="7" t="s">
        <v>348</v>
      </c>
      <c r="K592" s="7" t="s">
        <v>348</v>
      </c>
      <c r="L592" s="7" t="s">
        <v>348</v>
      </c>
      <c r="M592" s="7" t="s">
        <v>348</v>
      </c>
      <c r="N592" s="7">
        <v>8969.0</v>
      </c>
      <c r="O592" s="7" t="str">
        <f>VLOOKUP(N592, products, 2, FALSE)</f>
        <v>Snacks</v>
      </c>
      <c r="P592" s="7" t="s">
        <v>334</v>
      </c>
      <c r="Q592" s="7">
        <v>5772.0</v>
      </c>
      <c r="R592" s="17">
        <v>152.58</v>
      </c>
      <c r="S592" s="17">
        <v>97.44</v>
      </c>
      <c r="U592" s="18">
        <f t="shared" si="6"/>
        <v>880691.76</v>
      </c>
      <c r="V592" s="18">
        <f t="shared" si="7"/>
        <v>562423.68</v>
      </c>
      <c r="W592" s="19">
        <f t="shared" si="8"/>
        <v>318268.08</v>
      </c>
    </row>
    <row r="593">
      <c r="A593" s="7">
        <v>4.91547477E8</v>
      </c>
      <c r="B593" s="12">
        <v>41950.0</v>
      </c>
      <c r="C593" s="7">
        <f t="shared" si="1"/>
        <v>2014</v>
      </c>
      <c r="D593" s="14" t="str">
        <f t="shared" si="2"/>
        <v>11 - Nov</v>
      </c>
      <c r="E593" s="15" t="str">
        <f t="shared" si="3"/>
        <v>Fri</v>
      </c>
      <c r="F593" s="15">
        <f t="shared" si="4"/>
        <v>5</v>
      </c>
      <c r="G593" s="16">
        <v>41950.0</v>
      </c>
      <c r="H593" s="14">
        <f t="shared" si="5"/>
        <v>0</v>
      </c>
      <c r="I593" s="7" t="s">
        <v>399</v>
      </c>
      <c r="J593" s="7" t="s">
        <v>348</v>
      </c>
      <c r="K593" s="7" t="s">
        <v>348</v>
      </c>
      <c r="L593" s="7" t="s">
        <v>348</v>
      </c>
      <c r="M593" s="7" t="s">
        <v>348</v>
      </c>
      <c r="N593" s="7">
        <v>5988.0</v>
      </c>
      <c r="O593" s="7" t="str">
        <f>VLOOKUP(N593, products, 2, FALSE)</f>
        <v>Vegetables</v>
      </c>
      <c r="P593" s="7" t="s">
        <v>264</v>
      </c>
      <c r="Q593" s="7">
        <v>8676.0</v>
      </c>
      <c r="R593" s="17">
        <v>154.06</v>
      </c>
      <c r="S593" s="17">
        <v>90.93</v>
      </c>
      <c r="U593" s="18">
        <f t="shared" si="6"/>
        <v>1336624.56</v>
      </c>
      <c r="V593" s="18">
        <f t="shared" si="7"/>
        <v>788908.68</v>
      </c>
      <c r="W593" s="19">
        <f t="shared" si="8"/>
        <v>547715.88</v>
      </c>
    </row>
    <row r="594">
      <c r="A594" s="7">
        <v>4.92353856E8</v>
      </c>
      <c r="B594" s="12">
        <v>41353.0</v>
      </c>
      <c r="C594" s="7">
        <f t="shared" si="1"/>
        <v>2013</v>
      </c>
      <c r="D594" s="14" t="str">
        <f t="shared" si="2"/>
        <v>03 - Mar</v>
      </c>
      <c r="E594" s="15" t="str">
        <f t="shared" si="3"/>
        <v>Wed</v>
      </c>
      <c r="F594" s="15">
        <f t="shared" si="4"/>
        <v>3</v>
      </c>
      <c r="G594" s="16">
        <v>41375.0</v>
      </c>
      <c r="H594" s="14">
        <f t="shared" si="5"/>
        <v>22</v>
      </c>
      <c r="I594" s="7" t="s">
        <v>364</v>
      </c>
      <c r="J594" s="7" t="s">
        <v>240</v>
      </c>
      <c r="K594" s="7" t="str">
        <f>VLOOKUP(J594,countries,2,false)</f>
        <v>Cyprus</v>
      </c>
      <c r="L594" s="7" t="str">
        <f>VLOOKUP($J594,countries,5,false)</f>
        <v>Asia</v>
      </c>
      <c r="M594" s="7" t="str">
        <f>VLOOKUP($J594,countries,6,false)</f>
        <v>Western Asia</v>
      </c>
      <c r="N594" s="7">
        <v>7940.0</v>
      </c>
      <c r="O594" s="7" t="str">
        <f>VLOOKUP(N594, products, 2, FALSE)</f>
        <v>Household</v>
      </c>
      <c r="P594" s="7" t="s">
        <v>264</v>
      </c>
      <c r="Q594" s="7">
        <v>7302.0</v>
      </c>
      <c r="R594" s="17">
        <v>668.27</v>
      </c>
      <c r="S594" s="17">
        <v>502.54</v>
      </c>
      <c r="U594" s="18">
        <f t="shared" si="6"/>
        <v>4879707.54</v>
      </c>
      <c r="V594" s="18">
        <f t="shared" si="7"/>
        <v>3669547.08</v>
      </c>
      <c r="W594" s="19">
        <f t="shared" si="8"/>
        <v>1210160.46</v>
      </c>
    </row>
    <row r="595">
      <c r="A595" s="7">
        <v>4.95450627E8</v>
      </c>
      <c r="B595" s="12">
        <v>41227.0</v>
      </c>
      <c r="C595" s="7">
        <f t="shared" si="1"/>
        <v>2012</v>
      </c>
      <c r="D595" s="14" t="str">
        <f t="shared" si="2"/>
        <v>11 - Nov</v>
      </c>
      <c r="E595" s="15" t="str">
        <f t="shared" si="3"/>
        <v>Wed</v>
      </c>
      <c r="F595" s="15">
        <f t="shared" si="4"/>
        <v>3</v>
      </c>
      <c r="G595" s="16">
        <v>41269.0</v>
      </c>
      <c r="H595" s="14">
        <f t="shared" si="5"/>
        <v>42</v>
      </c>
      <c r="I595" s="7" t="s">
        <v>364</v>
      </c>
      <c r="J595" s="7" t="s">
        <v>124</v>
      </c>
      <c r="K595" s="7" t="str">
        <f>VLOOKUP(J595,countries,2,false)</f>
        <v>Belgium</v>
      </c>
      <c r="L595" s="7" t="str">
        <f>VLOOKUP($J595,countries,5,false)</f>
        <v>Europe</v>
      </c>
      <c r="M595" s="7" t="str">
        <f>VLOOKUP($J595,countries,6,false)</f>
        <v>Western Europe</v>
      </c>
      <c r="N595" s="7">
        <v>2103.0</v>
      </c>
      <c r="O595" s="7" t="str">
        <f>VLOOKUP(N595, products, 2, FALSE)</f>
        <v>Cereal</v>
      </c>
      <c r="P595" s="7" t="s">
        <v>334</v>
      </c>
      <c r="Q595" s="7">
        <v>3705.0</v>
      </c>
      <c r="R595" s="17">
        <v>205.7</v>
      </c>
      <c r="S595" s="17">
        <v>117.11</v>
      </c>
      <c r="U595" s="18">
        <f t="shared" si="6"/>
        <v>762118.5</v>
      </c>
      <c r="V595" s="18">
        <f t="shared" si="7"/>
        <v>433892.55</v>
      </c>
      <c r="W595" s="19">
        <f t="shared" si="8"/>
        <v>328225.95</v>
      </c>
    </row>
    <row r="596">
      <c r="A596" s="7">
        <v>4.95593106E8</v>
      </c>
      <c r="B596" s="12">
        <v>42262.0</v>
      </c>
      <c r="C596" s="7">
        <f t="shared" si="1"/>
        <v>2015</v>
      </c>
      <c r="D596" s="14" t="str">
        <f t="shared" si="2"/>
        <v>09 - Sep</v>
      </c>
      <c r="E596" s="15" t="str">
        <f t="shared" si="3"/>
        <v>Tue</v>
      </c>
      <c r="F596" s="15">
        <f t="shared" si="4"/>
        <v>2</v>
      </c>
      <c r="G596" s="16">
        <v>42285.0</v>
      </c>
      <c r="H596" s="14">
        <f t="shared" si="5"/>
        <v>23</v>
      </c>
      <c r="I596" s="7" t="s">
        <v>232</v>
      </c>
      <c r="J596" s="7" t="s">
        <v>435</v>
      </c>
      <c r="K596" s="7" t="str">
        <f>VLOOKUP(J596,countries,2,false)</f>
        <v>Slovakia</v>
      </c>
      <c r="L596" s="7" t="str">
        <f>VLOOKUP($J596,countries,5,false)</f>
        <v>Europe</v>
      </c>
      <c r="M596" s="7" t="str">
        <f>VLOOKUP($J596,countries,6,false)</f>
        <v>Eastern Europe</v>
      </c>
      <c r="N596" s="7">
        <v>1270.0</v>
      </c>
      <c r="O596" s="7" t="str">
        <f>VLOOKUP(N596, products, 2, FALSE)</f>
        <v>Beverages</v>
      </c>
      <c r="P596" s="7" t="s">
        <v>334</v>
      </c>
      <c r="Q596" s="7">
        <v>5868.0</v>
      </c>
      <c r="R596" s="17">
        <v>47.45</v>
      </c>
      <c r="S596" s="17">
        <v>31.79</v>
      </c>
      <c r="U596" s="18">
        <f t="shared" si="6"/>
        <v>278436.6</v>
      </c>
      <c r="V596" s="18">
        <f t="shared" si="7"/>
        <v>186543.72</v>
      </c>
      <c r="W596" s="19">
        <f t="shared" si="8"/>
        <v>91892.88</v>
      </c>
    </row>
    <row r="597">
      <c r="A597" s="7">
        <v>4.95631301E8</v>
      </c>
      <c r="B597" s="12">
        <v>41065.0</v>
      </c>
      <c r="C597" s="7">
        <f t="shared" si="1"/>
        <v>2012</v>
      </c>
      <c r="D597" s="14" t="str">
        <f t="shared" si="2"/>
        <v>06 - Jun</v>
      </c>
      <c r="E597" s="15" t="str">
        <f t="shared" si="3"/>
        <v>Tue</v>
      </c>
      <c r="F597" s="15">
        <f t="shared" si="4"/>
        <v>2</v>
      </c>
      <c r="G597" s="16">
        <v>41108.0</v>
      </c>
      <c r="H597" s="14">
        <f t="shared" si="5"/>
        <v>43</v>
      </c>
      <c r="I597" s="7" t="s">
        <v>232</v>
      </c>
      <c r="J597" s="7" t="s">
        <v>378</v>
      </c>
      <c r="K597" s="7" t="str">
        <f>VLOOKUP(J597,countries,2,false)</f>
        <v>Hungary</v>
      </c>
      <c r="L597" s="7" t="str">
        <f>VLOOKUP($J597,countries,5,false)</f>
        <v>Europe</v>
      </c>
      <c r="M597" s="7" t="str">
        <f>VLOOKUP($J597,countries,6,false)</f>
        <v>Eastern Europe</v>
      </c>
      <c r="N597" s="7">
        <v>5988.0</v>
      </c>
      <c r="O597" s="7" t="str">
        <f>VLOOKUP(N597, products, 2, FALSE)</f>
        <v>Vegetables</v>
      </c>
      <c r="P597" s="7" t="s">
        <v>264</v>
      </c>
      <c r="Q597" s="7">
        <v>7171.0</v>
      </c>
      <c r="R597" s="17">
        <v>154.06</v>
      </c>
      <c r="S597" s="17">
        <v>90.93</v>
      </c>
      <c r="U597" s="18">
        <f t="shared" si="6"/>
        <v>1104764.26</v>
      </c>
      <c r="V597" s="18">
        <f t="shared" si="7"/>
        <v>652059.03</v>
      </c>
      <c r="W597" s="19">
        <f t="shared" si="8"/>
        <v>452705.23</v>
      </c>
    </row>
    <row r="598">
      <c r="A598" s="7">
        <v>4.96826493E8</v>
      </c>
      <c r="B598" s="12">
        <v>41210.0</v>
      </c>
      <c r="C598" s="7">
        <f t="shared" si="1"/>
        <v>2012</v>
      </c>
      <c r="D598" s="14" t="str">
        <f t="shared" si="2"/>
        <v>10 - Oct</v>
      </c>
      <c r="E598" s="15" t="str">
        <f t="shared" si="3"/>
        <v>Sun</v>
      </c>
      <c r="F598" s="15">
        <f t="shared" si="4"/>
        <v>7</v>
      </c>
      <c r="G598" s="16">
        <v>41254.0</v>
      </c>
      <c r="H598" s="14">
        <f t="shared" si="5"/>
        <v>44</v>
      </c>
      <c r="I598" s="7" t="s">
        <v>364</v>
      </c>
      <c r="J598" s="7" t="s">
        <v>316</v>
      </c>
      <c r="K598" s="7" t="str">
        <f>VLOOKUP(J598,countries,2,false)</f>
        <v>Georgia</v>
      </c>
      <c r="L598" s="7" t="str">
        <f>VLOOKUP($J598,countries,5,false)</f>
        <v>Asia</v>
      </c>
      <c r="M598" s="7" t="str">
        <f>VLOOKUP($J598,countries,6,false)</f>
        <v>Western Asia</v>
      </c>
      <c r="N598" s="7">
        <v>4594.0</v>
      </c>
      <c r="O598" s="7" t="str">
        <f>VLOOKUP(N598, products, 2, FALSE)</f>
        <v>Fruits</v>
      </c>
      <c r="P598" s="7" t="s">
        <v>264</v>
      </c>
      <c r="Q598" s="7">
        <v>855.0</v>
      </c>
      <c r="R598" s="17">
        <v>9.33</v>
      </c>
      <c r="S598" s="17">
        <v>6.92</v>
      </c>
      <c r="U598" s="18">
        <f t="shared" si="6"/>
        <v>7977.15</v>
      </c>
      <c r="V598" s="18">
        <f t="shared" si="7"/>
        <v>5916.6</v>
      </c>
      <c r="W598" s="19">
        <f t="shared" si="8"/>
        <v>2060.55</v>
      </c>
    </row>
    <row r="599">
      <c r="A599" s="7">
        <v>4.97466361E8</v>
      </c>
      <c r="B599" s="12">
        <v>42102.0</v>
      </c>
      <c r="C599" s="7">
        <f t="shared" si="1"/>
        <v>2015</v>
      </c>
      <c r="D599" s="14" t="str">
        <f t="shared" si="2"/>
        <v>04 - Apr</v>
      </c>
      <c r="E599" s="15" t="str">
        <f t="shared" si="3"/>
        <v>Wed</v>
      </c>
      <c r="F599" s="15">
        <f t="shared" si="4"/>
        <v>3</v>
      </c>
      <c r="G599" s="16">
        <v>42125.0</v>
      </c>
      <c r="H599" s="14">
        <f t="shared" si="5"/>
        <v>23</v>
      </c>
      <c r="I599" s="7" t="s">
        <v>305</v>
      </c>
      <c r="J599" s="7" t="s">
        <v>124</v>
      </c>
      <c r="K599" s="7" t="str">
        <f>VLOOKUP(J599,countries,2,false)</f>
        <v>Belgium</v>
      </c>
      <c r="L599" s="7" t="str">
        <f>VLOOKUP($J599,countries,5,false)</f>
        <v>Europe</v>
      </c>
      <c r="M599" s="7" t="str">
        <f>VLOOKUP($J599,countries,6,false)</f>
        <v>Western Europe</v>
      </c>
      <c r="N599" s="7">
        <v>7940.0</v>
      </c>
      <c r="O599" s="7" t="str">
        <f>VLOOKUP(N599, products, 2, FALSE)</f>
        <v>Household</v>
      </c>
      <c r="P599" s="7" t="s">
        <v>334</v>
      </c>
      <c r="Q599" s="7">
        <v>206.0</v>
      </c>
      <c r="R599" s="17">
        <v>668.27</v>
      </c>
      <c r="S599" s="17">
        <v>502.54</v>
      </c>
      <c r="U599" s="18">
        <f t="shared" si="6"/>
        <v>137663.62</v>
      </c>
      <c r="V599" s="18">
        <f t="shared" si="7"/>
        <v>103523.24</v>
      </c>
      <c r="W599" s="19">
        <f t="shared" si="8"/>
        <v>34140.38</v>
      </c>
    </row>
    <row r="600">
      <c r="A600" s="7">
        <v>4.97506701E8</v>
      </c>
      <c r="B600" s="12">
        <v>42112.0</v>
      </c>
      <c r="C600" s="7">
        <f t="shared" si="1"/>
        <v>2015</v>
      </c>
      <c r="D600" s="14" t="str">
        <f t="shared" si="2"/>
        <v>04 - Apr</v>
      </c>
      <c r="E600" s="15" t="str">
        <f t="shared" si="3"/>
        <v>Sat</v>
      </c>
      <c r="F600" s="15">
        <f t="shared" si="4"/>
        <v>6</v>
      </c>
      <c r="G600" s="16">
        <v>42134.0</v>
      </c>
      <c r="H600" s="14">
        <f t="shared" si="5"/>
        <v>22</v>
      </c>
      <c r="I600" s="7" t="s">
        <v>399</v>
      </c>
      <c r="J600" s="7" t="s">
        <v>396</v>
      </c>
      <c r="K600" s="7" t="str">
        <f>VLOOKUP(J600,countries,2,false)</f>
        <v>Ireland</v>
      </c>
      <c r="L600" s="7" t="str">
        <f>VLOOKUP($J600,countries,5,false)</f>
        <v>Europe</v>
      </c>
      <c r="M600" s="7" t="str">
        <f>VLOOKUP($J600,countries,6,false)</f>
        <v>Northern Europe</v>
      </c>
      <c r="N600" s="7">
        <v>7331.0</v>
      </c>
      <c r="O600" s="7" t="str">
        <f>VLOOKUP(N600, products, 2, FALSE)</f>
        <v>Baby Food</v>
      </c>
      <c r="P600" s="7" t="s">
        <v>264</v>
      </c>
      <c r="Q600" s="7">
        <v>2144.0</v>
      </c>
      <c r="R600" s="17">
        <v>255.28</v>
      </c>
      <c r="S600" s="17">
        <v>159.42</v>
      </c>
      <c r="U600" s="18">
        <f t="shared" si="6"/>
        <v>547320.32</v>
      </c>
      <c r="V600" s="18">
        <f t="shared" si="7"/>
        <v>341796.48</v>
      </c>
      <c r="W600" s="19">
        <f t="shared" si="8"/>
        <v>205523.84</v>
      </c>
    </row>
    <row r="601">
      <c r="A601" s="7">
        <v>4.97554337E8</v>
      </c>
      <c r="B601" s="12">
        <v>41800.0</v>
      </c>
      <c r="C601" s="7">
        <f t="shared" si="1"/>
        <v>2014</v>
      </c>
      <c r="D601" s="14" t="str">
        <f t="shared" si="2"/>
        <v>06 - Jun</v>
      </c>
      <c r="E601" s="15" t="str">
        <f t="shared" si="3"/>
        <v>Tue</v>
      </c>
      <c r="F601" s="15">
        <f t="shared" si="4"/>
        <v>2</v>
      </c>
      <c r="G601" s="16">
        <v>41848.0</v>
      </c>
      <c r="H601" s="14">
        <f t="shared" si="5"/>
        <v>48</v>
      </c>
      <c r="I601" s="7" t="s">
        <v>399</v>
      </c>
      <c r="J601" s="7" t="s">
        <v>240</v>
      </c>
      <c r="K601" s="7" t="str">
        <f>VLOOKUP(J601,countries,2,false)</f>
        <v>Cyprus</v>
      </c>
      <c r="L601" s="7" t="str">
        <f>VLOOKUP($J601,countries,5,false)</f>
        <v>Asia</v>
      </c>
      <c r="M601" s="7" t="str">
        <f>VLOOKUP($J601,countries,6,false)</f>
        <v>Western Asia</v>
      </c>
      <c r="N601" s="7">
        <v>2455.0</v>
      </c>
      <c r="O601" s="7" t="str">
        <f>VLOOKUP(N601, products, 2, FALSE)</f>
        <v>Clothes</v>
      </c>
      <c r="P601" s="7" t="s">
        <v>264</v>
      </c>
      <c r="Q601" s="7">
        <v>6240.0</v>
      </c>
      <c r="R601" s="17">
        <v>109.28</v>
      </c>
      <c r="S601" s="17">
        <v>35.84</v>
      </c>
      <c r="U601" s="18">
        <f t="shared" si="6"/>
        <v>681907.2</v>
      </c>
      <c r="V601" s="18">
        <f t="shared" si="7"/>
        <v>223641.6</v>
      </c>
      <c r="W601" s="19">
        <f t="shared" si="8"/>
        <v>458265.6</v>
      </c>
    </row>
    <row r="602">
      <c r="A602" s="7">
        <v>4.98089492E8</v>
      </c>
      <c r="B602" s="12">
        <v>42431.0</v>
      </c>
      <c r="C602" s="7">
        <f t="shared" si="1"/>
        <v>2016</v>
      </c>
      <c r="D602" s="14" t="str">
        <f t="shared" si="2"/>
        <v>03 - Mar</v>
      </c>
      <c r="E602" s="15" t="str">
        <f t="shared" si="3"/>
        <v>Wed</v>
      </c>
      <c r="F602" s="15">
        <f t="shared" si="4"/>
        <v>3</v>
      </c>
      <c r="G602" s="16">
        <v>42451.0</v>
      </c>
      <c r="H602" s="14">
        <f t="shared" si="5"/>
        <v>20</v>
      </c>
      <c r="I602" s="7" t="s">
        <v>364</v>
      </c>
      <c r="J602" s="7" t="s">
        <v>240</v>
      </c>
      <c r="K602" s="7" t="str">
        <f>VLOOKUP(J602,countries,2,false)</f>
        <v>Cyprus</v>
      </c>
      <c r="L602" s="7" t="str">
        <f>VLOOKUP($J602,countries,5,false)</f>
        <v>Asia</v>
      </c>
      <c r="M602" s="7" t="str">
        <f>VLOOKUP($J602,countries,6,false)</f>
        <v>Western Asia</v>
      </c>
      <c r="N602" s="7">
        <v>8875.0</v>
      </c>
      <c r="O602" s="7" t="str">
        <f>VLOOKUP(N602, products, 2, FALSE)</f>
        <v>Meat</v>
      </c>
      <c r="P602" s="7" t="s">
        <v>264</v>
      </c>
      <c r="Q602" s="7">
        <v>4604.0</v>
      </c>
      <c r="R602" s="17">
        <v>421.89</v>
      </c>
      <c r="S602" s="17">
        <v>364.69</v>
      </c>
      <c r="U602" s="18">
        <f t="shared" si="6"/>
        <v>1942381.56</v>
      </c>
      <c r="V602" s="18">
        <f t="shared" si="7"/>
        <v>1679032.76</v>
      </c>
      <c r="W602" s="19">
        <f t="shared" si="8"/>
        <v>263348.8</v>
      </c>
    </row>
    <row r="603">
      <c r="A603" s="7">
        <v>4.98201072E8</v>
      </c>
      <c r="B603" s="12">
        <v>41576.0</v>
      </c>
      <c r="C603" s="7">
        <f t="shared" si="1"/>
        <v>2013</v>
      </c>
      <c r="D603" s="14" t="str">
        <f t="shared" si="2"/>
        <v>10 - Oct</v>
      </c>
      <c r="E603" s="15" t="str">
        <f t="shared" si="3"/>
        <v>Tue</v>
      </c>
      <c r="F603" s="15">
        <f t="shared" si="4"/>
        <v>2</v>
      </c>
      <c r="G603" s="16">
        <v>41585.0</v>
      </c>
      <c r="H603" s="14">
        <f t="shared" si="5"/>
        <v>9</v>
      </c>
      <c r="I603" s="7" t="s">
        <v>399</v>
      </c>
      <c r="J603" s="7" t="s">
        <v>685</v>
      </c>
      <c r="K603" s="7" t="str">
        <f>VLOOKUP(J603,countries,2,false)</f>
        <v>Slovenia</v>
      </c>
      <c r="L603" s="7" t="str">
        <f>VLOOKUP($J603,countries,5,false)</f>
        <v>Europe</v>
      </c>
      <c r="M603" s="7" t="str">
        <f>VLOOKUP($J603,countries,6,false)</f>
        <v>Southern Europe</v>
      </c>
      <c r="N603" s="7">
        <v>8293.0</v>
      </c>
      <c r="O603" s="7" t="str">
        <f>VLOOKUP(N603, products, 2, FALSE)</f>
        <v>Cosmetics</v>
      </c>
      <c r="P603" s="7" t="s">
        <v>264</v>
      </c>
      <c r="Q603" s="7">
        <v>7623.0</v>
      </c>
      <c r="R603" s="17">
        <v>437.2</v>
      </c>
      <c r="S603" s="17">
        <v>263.33</v>
      </c>
      <c r="U603" s="18">
        <f t="shared" si="6"/>
        <v>3332775.6</v>
      </c>
      <c r="V603" s="18">
        <f t="shared" si="7"/>
        <v>2007364.59</v>
      </c>
      <c r="W603" s="19">
        <f t="shared" si="8"/>
        <v>1325411.01</v>
      </c>
    </row>
    <row r="604">
      <c r="A604" s="7">
        <v>4.9894694E8</v>
      </c>
      <c r="B604" s="12">
        <v>42347.0</v>
      </c>
      <c r="C604" s="7">
        <f t="shared" si="1"/>
        <v>2015</v>
      </c>
      <c r="D604" s="14" t="str">
        <f t="shared" si="2"/>
        <v>12 - Dec</v>
      </c>
      <c r="E604" s="15" t="str">
        <f t="shared" si="3"/>
        <v>Wed</v>
      </c>
      <c r="F604" s="15">
        <f t="shared" si="4"/>
        <v>3</v>
      </c>
      <c r="G604" s="16">
        <v>42380.0</v>
      </c>
      <c r="H604" s="14">
        <f t="shared" si="5"/>
        <v>33</v>
      </c>
      <c r="I604" s="7" t="s">
        <v>305</v>
      </c>
      <c r="J604" s="7" t="s">
        <v>146</v>
      </c>
      <c r="K604" s="7" t="str">
        <f>VLOOKUP(J604,countries,2,false)</f>
        <v>Bosnia and Herzegovina</v>
      </c>
      <c r="L604" s="7" t="str">
        <f>VLOOKUP($J604,countries,5,false)</f>
        <v>Europe</v>
      </c>
      <c r="M604" s="7" t="str">
        <f>VLOOKUP($J604,countries,6,false)</f>
        <v>Southern Europe</v>
      </c>
      <c r="N604" s="7">
        <v>8875.0</v>
      </c>
      <c r="O604" s="7" t="str">
        <f>VLOOKUP(N604, products, 2, FALSE)</f>
        <v>Meat</v>
      </c>
      <c r="P604" s="7" t="s">
        <v>334</v>
      </c>
      <c r="Q604" s="7">
        <v>8342.0</v>
      </c>
      <c r="R604" s="17">
        <v>421.89</v>
      </c>
      <c r="S604" s="17">
        <v>364.69</v>
      </c>
      <c r="U604" s="18">
        <f t="shared" si="6"/>
        <v>3519406.38</v>
      </c>
      <c r="V604" s="18">
        <f t="shared" si="7"/>
        <v>3042243.98</v>
      </c>
      <c r="W604" s="19">
        <f t="shared" si="8"/>
        <v>477162.4</v>
      </c>
    </row>
    <row r="605">
      <c r="A605" s="7">
        <v>4.99101436E8</v>
      </c>
      <c r="B605" s="12">
        <v>40737.0</v>
      </c>
      <c r="C605" s="7">
        <f t="shared" si="1"/>
        <v>2011</v>
      </c>
      <c r="D605" s="14" t="str">
        <f t="shared" si="2"/>
        <v>07 - Jul</v>
      </c>
      <c r="E605" s="15" t="str">
        <f t="shared" si="3"/>
        <v>Wed</v>
      </c>
      <c r="F605" s="15">
        <f t="shared" si="4"/>
        <v>3</v>
      </c>
      <c r="G605" s="16">
        <v>40783.0</v>
      </c>
      <c r="H605" s="14">
        <f t="shared" si="5"/>
        <v>46</v>
      </c>
      <c r="I605" s="7" t="s">
        <v>305</v>
      </c>
      <c r="J605" s="7" t="s">
        <v>348</v>
      </c>
      <c r="K605" s="7" t="s">
        <v>348</v>
      </c>
      <c r="L605" s="7" t="s">
        <v>348</v>
      </c>
      <c r="M605" s="7" t="s">
        <v>348</v>
      </c>
      <c r="N605" s="7">
        <v>8969.0</v>
      </c>
      <c r="O605" s="7" t="str">
        <f>VLOOKUP(N605, products, 2, FALSE)</f>
        <v>Snacks</v>
      </c>
      <c r="P605" s="7" t="s">
        <v>334</v>
      </c>
      <c r="Q605" s="7">
        <v>4061.0</v>
      </c>
      <c r="R605" s="17">
        <v>152.58</v>
      </c>
      <c r="S605" s="17">
        <v>97.44</v>
      </c>
      <c r="U605" s="18">
        <f t="shared" si="6"/>
        <v>619627.38</v>
      </c>
      <c r="V605" s="18">
        <f t="shared" si="7"/>
        <v>395703.84</v>
      </c>
      <c r="W605" s="19">
        <f t="shared" si="8"/>
        <v>223923.54</v>
      </c>
    </row>
    <row r="606">
      <c r="A606" s="7">
        <v>5.04024684E8</v>
      </c>
      <c r="B606" s="12">
        <v>42352.0</v>
      </c>
      <c r="C606" s="7">
        <f t="shared" si="1"/>
        <v>2015</v>
      </c>
      <c r="D606" s="14" t="str">
        <f t="shared" si="2"/>
        <v>12 - Dec</v>
      </c>
      <c r="E606" s="15" t="str">
        <f t="shared" si="3"/>
        <v>Mon</v>
      </c>
      <c r="F606" s="15">
        <f t="shared" si="4"/>
        <v>1</v>
      </c>
      <c r="G606" s="16">
        <v>42383.0</v>
      </c>
      <c r="H606" s="14">
        <f t="shared" si="5"/>
        <v>31</v>
      </c>
      <c r="I606" s="7" t="s">
        <v>399</v>
      </c>
      <c r="J606" s="7" t="s">
        <v>771</v>
      </c>
      <c r="K606" s="7" t="str">
        <f>VLOOKUP(J606,countries,2,false)</f>
        <v>Ukraine</v>
      </c>
      <c r="L606" s="7" t="str">
        <f>VLOOKUP($J606,countries,5,false)</f>
        <v>Europe</v>
      </c>
      <c r="M606" s="7" t="str">
        <f>VLOOKUP($J606,countries,6,false)</f>
        <v>Eastern Europe</v>
      </c>
      <c r="N606" s="7">
        <v>2103.0</v>
      </c>
      <c r="O606" s="7" t="str">
        <f>VLOOKUP(N606, products, 2, FALSE)</f>
        <v>Cereal</v>
      </c>
      <c r="P606" s="7" t="s">
        <v>264</v>
      </c>
      <c r="Q606" s="7">
        <v>959.0</v>
      </c>
      <c r="R606" s="17">
        <v>205.7</v>
      </c>
      <c r="S606" s="17">
        <v>117.11</v>
      </c>
      <c r="U606" s="18">
        <f t="shared" si="6"/>
        <v>197266.3</v>
      </c>
      <c r="V606" s="18">
        <f t="shared" si="7"/>
        <v>112308.49</v>
      </c>
      <c r="W606" s="19">
        <f t="shared" si="8"/>
        <v>84957.81</v>
      </c>
    </row>
    <row r="607">
      <c r="A607" s="7">
        <v>5.04973971E8</v>
      </c>
      <c r="B607" s="12">
        <v>40819.0</v>
      </c>
      <c r="C607" s="7">
        <f t="shared" si="1"/>
        <v>2011</v>
      </c>
      <c r="D607" s="14" t="str">
        <f t="shared" si="2"/>
        <v>10 - Oct</v>
      </c>
      <c r="E607" s="15" t="str">
        <f t="shared" si="3"/>
        <v>Mon</v>
      </c>
      <c r="F607" s="15">
        <f t="shared" si="4"/>
        <v>1</v>
      </c>
      <c r="G607" s="16">
        <v>40849.0</v>
      </c>
      <c r="H607" s="14">
        <f t="shared" si="5"/>
        <v>30</v>
      </c>
      <c r="I607" s="7" t="s">
        <v>232</v>
      </c>
      <c r="J607" s="7" t="s">
        <v>67</v>
      </c>
      <c r="K607" s="7" t="str">
        <f>VLOOKUP(J607,countries,2,false)</f>
        <v>Andorra</v>
      </c>
      <c r="L607" s="7" t="str">
        <f>VLOOKUP($J607,countries,5,false)</f>
        <v>Europe</v>
      </c>
      <c r="M607" s="7" t="str">
        <f>VLOOKUP($J607,countries,6,false)</f>
        <v>Southern Europe</v>
      </c>
      <c r="N607" s="7">
        <v>8875.0</v>
      </c>
      <c r="O607" s="7" t="str">
        <f>VLOOKUP(N607, products, 2, FALSE)</f>
        <v>Meat</v>
      </c>
      <c r="P607" s="7" t="s">
        <v>264</v>
      </c>
      <c r="Q607" s="7">
        <v>1875.0</v>
      </c>
      <c r="R607" s="17">
        <v>421.89</v>
      </c>
      <c r="S607" s="17">
        <v>364.69</v>
      </c>
      <c r="U607" s="18">
        <f t="shared" si="6"/>
        <v>791043.75</v>
      </c>
      <c r="V607" s="18">
        <f t="shared" si="7"/>
        <v>683793.75</v>
      </c>
      <c r="W607" s="19">
        <f t="shared" si="8"/>
        <v>107250</v>
      </c>
    </row>
    <row r="608">
      <c r="A608" s="7">
        <v>5.0586704E8</v>
      </c>
      <c r="B608" s="12">
        <v>40302.0</v>
      </c>
      <c r="C608" s="7">
        <f t="shared" si="1"/>
        <v>2010</v>
      </c>
      <c r="D608" s="14" t="str">
        <f t="shared" si="2"/>
        <v>05 - May</v>
      </c>
      <c r="E608" s="15" t="str">
        <f t="shared" si="3"/>
        <v>Tue</v>
      </c>
      <c r="F608" s="15">
        <f t="shared" si="4"/>
        <v>2</v>
      </c>
      <c r="G608" s="16">
        <v>40341.0</v>
      </c>
      <c r="H608" s="14">
        <f t="shared" si="5"/>
        <v>39</v>
      </c>
      <c r="I608" s="7" t="s">
        <v>364</v>
      </c>
      <c r="J608" s="7" t="s">
        <v>165</v>
      </c>
      <c r="K608" s="7" t="str">
        <f>VLOOKUP(J608,countries,2,false)</f>
        <v>Bulgaria</v>
      </c>
      <c r="L608" s="7" t="str">
        <f>VLOOKUP($J608,countries,5,false)</f>
        <v>Europe</v>
      </c>
      <c r="M608" s="7" t="str">
        <f>VLOOKUP($J608,countries,6,false)</f>
        <v>Eastern Europe</v>
      </c>
      <c r="N608" s="7">
        <v>2455.0</v>
      </c>
      <c r="O608" s="7" t="str">
        <f>VLOOKUP(N608, products, 2, FALSE)</f>
        <v>Clothes</v>
      </c>
      <c r="P608" s="7" t="s">
        <v>334</v>
      </c>
      <c r="Q608" s="7">
        <v>6153.0</v>
      </c>
      <c r="R608" s="17">
        <v>109.28</v>
      </c>
      <c r="S608" s="17">
        <v>35.84</v>
      </c>
      <c r="U608" s="18">
        <f t="shared" si="6"/>
        <v>672399.84</v>
      </c>
      <c r="V608" s="18">
        <f t="shared" si="7"/>
        <v>220523.52</v>
      </c>
      <c r="W608" s="19">
        <f t="shared" si="8"/>
        <v>451876.32</v>
      </c>
    </row>
    <row r="609">
      <c r="A609" s="7">
        <v>5.07040774E8</v>
      </c>
      <c r="B609" s="12">
        <v>42207.0</v>
      </c>
      <c r="C609" s="7">
        <f t="shared" si="1"/>
        <v>2015</v>
      </c>
      <c r="D609" s="14" t="str">
        <f t="shared" si="2"/>
        <v>07 - Jul</v>
      </c>
      <c r="E609" s="15" t="str">
        <f t="shared" si="3"/>
        <v>Wed</v>
      </c>
      <c r="F609" s="15">
        <f t="shared" si="4"/>
        <v>3</v>
      </c>
      <c r="G609" s="16">
        <v>42210.0</v>
      </c>
      <c r="H609" s="14">
        <f t="shared" si="5"/>
        <v>3</v>
      </c>
      <c r="I609" s="7" t="s">
        <v>364</v>
      </c>
      <c r="J609" s="7" t="s">
        <v>274</v>
      </c>
      <c r="K609" s="7" t="str">
        <f>VLOOKUP(J609,countries,2,false)</f>
        <v>Estonia</v>
      </c>
      <c r="L609" s="7" t="str">
        <f>VLOOKUP($J609,countries,5,false)</f>
        <v>Europe</v>
      </c>
      <c r="M609" s="7" t="str">
        <f>VLOOKUP($J609,countries,6,false)</f>
        <v>Northern Europe</v>
      </c>
      <c r="N609" s="7">
        <v>8969.0</v>
      </c>
      <c r="O609" s="7" t="str">
        <f>VLOOKUP(N609, products, 2, FALSE)</f>
        <v>Snacks</v>
      </c>
      <c r="P609" s="7" t="s">
        <v>264</v>
      </c>
      <c r="Q609" s="7">
        <v>3488.0</v>
      </c>
      <c r="R609" s="17">
        <v>152.58</v>
      </c>
      <c r="S609" s="17">
        <v>97.44</v>
      </c>
      <c r="U609" s="18">
        <f t="shared" si="6"/>
        <v>532199.04</v>
      </c>
      <c r="V609" s="18">
        <f t="shared" si="7"/>
        <v>339870.72</v>
      </c>
      <c r="W609" s="19">
        <f t="shared" si="8"/>
        <v>192328.32</v>
      </c>
    </row>
    <row r="610">
      <c r="A610" s="7">
        <v>5.07531726E8</v>
      </c>
      <c r="B610" s="12">
        <v>41209.0</v>
      </c>
      <c r="C610" s="7">
        <f t="shared" si="1"/>
        <v>2012</v>
      </c>
      <c r="D610" s="14" t="str">
        <f t="shared" si="2"/>
        <v>10 - Oct</v>
      </c>
      <c r="E610" s="15" t="str">
        <f t="shared" si="3"/>
        <v>Sat</v>
      </c>
      <c r="F610" s="15">
        <f t="shared" si="4"/>
        <v>6</v>
      </c>
      <c r="G610" s="16">
        <v>41224.0</v>
      </c>
      <c r="H610" s="14">
        <f t="shared" si="5"/>
        <v>15</v>
      </c>
      <c r="I610" s="7" t="s">
        <v>399</v>
      </c>
      <c r="J610" s="7" t="s">
        <v>717</v>
      </c>
      <c r="K610" s="7" t="str">
        <f>VLOOKUP(J610,countries,2,false)</f>
        <v>Sweden</v>
      </c>
      <c r="L610" s="7" t="str">
        <f>VLOOKUP($J610,countries,5,false)</f>
        <v>Europe</v>
      </c>
      <c r="M610" s="7" t="str">
        <f>VLOOKUP($J610,countries,6,false)</f>
        <v>Northern Europe</v>
      </c>
      <c r="N610" s="7">
        <v>8969.0</v>
      </c>
      <c r="O610" s="7" t="str">
        <f>VLOOKUP(N610, products, 2, FALSE)</f>
        <v>Snacks</v>
      </c>
      <c r="P610" s="7" t="s">
        <v>334</v>
      </c>
      <c r="Q610" s="7">
        <v>8771.0</v>
      </c>
      <c r="R610" s="17">
        <v>152.58</v>
      </c>
      <c r="S610" s="17">
        <v>97.44</v>
      </c>
      <c r="U610" s="18">
        <f t="shared" si="6"/>
        <v>1338279.18</v>
      </c>
      <c r="V610" s="18">
        <f t="shared" si="7"/>
        <v>854646.24</v>
      </c>
      <c r="W610" s="19">
        <f t="shared" si="8"/>
        <v>483632.94</v>
      </c>
    </row>
    <row r="611">
      <c r="A611" s="7">
        <v>5.08014523E8</v>
      </c>
      <c r="B611" s="12">
        <v>41709.0</v>
      </c>
      <c r="C611" s="7">
        <f t="shared" si="1"/>
        <v>2014</v>
      </c>
      <c r="D611" s="14" t="str">
        <f t="shared" si="2"/>
        <v>03 - Mar</v>
      </c>
      <c r="E611" s="15" t="str">
        <f t="shared" si="3"/>
        <v>Tue</v>
      </c>
      <c r="F611" s="15">
        <f t="shared" si="4"/>
        <v>2</v>
      </c>
      <c r="G611" s="16">
        <v>41718.0</v>
      </c>
      <c r="H611" s="14">
        <f t="shared" si="5"/>
        <v>9</v>
      </c>
      <c r="I611" s="7" t="s">
        <v>399</v>
      </c>
      <c r="J611" s="7" t="s">
        <v>348</v>
      </c>
      <c r="K611" s="7" t="s">
        <v>348</v>
      </c>
      <c r="L611" s="7" t="s">
        <v>348</v>
      </c>
      <c r="M611" s="7" t="s">
        <v>348</v>
      </c>
      <c r="N611" s="7">
        <v>2455.0</v>
      </c>
      <c r="O611" s="7" t="str">
        <f>VLOOKUP(N611, products, 2, FALSE)</f>
        <v>Clothes</v>
      </c>
      <c r="P611" s="7" t="s">
        <v>334</v>
      </c>
      <c r="Q611" s="7">
        <v>1642.0</v>
      </c>
      <c r="R611" s="17">
        <v>109.28</v>
      </c>
      <c r="S611" s="17">
        <v>35.84</v>
      </c>
      <c r="U611" s="18">
        <f t="shared" si="6"/>
        <v>179437.76</v>
      </c>
      <c r="V611" s="18">
        <f t="shared" si="7"/>
        <v>58849.28</v>
      </c>
      <c r="W611" s="19">
        <f t="shared" si="8"/>
        <v>120588.48</v>
      </c>
    </row>
    <row r="612">
      <c r="A612" s="7">
        <v>5.09356057E8</v>
      </c>
      <c r="B612" s="12">
        <v>41743.0</v>
      </c>
      <c r="C612" s="7">
        <f t="shared" si="1"/>
        <v>2014</v>
      </c>
      <c r="D612" s="14" t="str">
        <f t="shared" si="2"/>
        <v>04 - Apr</v>
      </c>
      <c r="E612" s="15" t="str">
        <f t="shared" si="3"/>
        <v>Mon</v>
      </c>
      <c r="F612" s="15">
        <f t="shared" si="4"/>
        <v>1</v>
      </c>
      <c r="G612" s="16">
        <v>41746.0</v>
      </c>
      <c r="H612" s="14">
        <f t="shared" si="5"/>
        <v>3</v>
      </c>
      <c r="I612" s="7" t="s">
        <v>399</v>
      </c>
      <c r="J612" s="7" t="s">
        <v>233</v>
      </c>
      <c r="K612" s="7" t="str">
        <f>VLOOKUP(J612,countries,2,false)</f>
        <v>Norway</v>
      </c>
      <c r="L612" s="7" t="str">
        <f>VLOOKUP($J612,countries,5,false)</f>
        <v>Europe</v>
      </c>
      <c r="M612" s="7" t="str">
        <f>VLOOKUP($J612,countries,6,false)</f>
        <v>Northern Europe</v>
      </c>
      <c r="N612" s="7">
        <v>2455.0</v>
      </c>
      <c r="O612" s="7" t="str">
        <f>VLOOKUP(N612, products, 2, FALSE)</f>
        <v>Clothes</v>
      </c>
      <c r="P612" s="7" t="s">
        <v>264</v>
      </c>
      <c r="Q612" s="7">
        <v>8631.0</v>
      </c>
      <c r="R612" s="17">
        <v>109.28</v>
      </c>
      <c r="S612" s="17">
        <v>35.84</v>
      </c>
      <c r="U612" s="18">
        <f t="shared" si="6"/>
        <v>943195.68</v>
      </c>
      <c r="V612" s="18">
        <f t="shared" si="7"/>
        <v>309335.04</v>
      </c>
      <c r="W612" s="19">
        <f t="shared" si="8"/>
        <v>633860.64</v>
      </c>
    </row>
    <row r="613">
      <c r="A613" s="7">
        <v>5.09380948E8</v>
      </c>
      <c r="B613" s="12">
        <v>40808.0</v>
      </c>
      <c r="C613" s="7">
        <f t="shared" si="1"/>
        <v>2011</v>
      </c>
      <c r="D613" s="14" t="str">
        <f t="shared" si="2"/>
        <v>09 - Sep</v>
      </c>
      <c r="E613" s="15" t="str">
        <f t="shared" si="3"/>
        <v>Thu</v>
      </c>
      <c r="F613" s="15">
        <f t="shared" si="4"/>
        <v>4</v>
      </c>
      <c r="G613" s="16">
        <v>40813.0</v>
      </c>
      <c r="H613" s="14">
        <f t="shared" si="5"/>
        <v>5</v>
      </c>
      <c r="I613" s="7" t="s">
        <v>232</v>
      </c>
      <c r="J613" s="7" t="s">
        <v>681</v>
      </c>
      <c r="K613" s="7" t="str">
        <f>VLOOKUP(J613,countries,2,false)</f>
        <v>United Kingdom</v>
      </c>
      <c r="L613" s="7" t="str">
        <f>VLOOKUP($J613,countries,5,false)</f>
        <v>Europe</v>
      </c>
      <c r="M613" s="7" t="str">
        <f>VLOOKUP($J613,countries,6,false)</f>
        <v>Northern Europe</v>
      </c>
      <c r="N613" s="7">
        <v>3127.0</v>
      </c>
      <c r="O613" s="7" t="str">
        <f>VLOOKUP(N613, products, 2, FALSE)</f>
        <v>Personal Care</v>
      </c>
      <c r="P613" s="7" t="s">
        <v>334</v>
      </c>
      <c r="Q613" s="7">
        <v>5997.0</v>
      </c>
      <c r="R613" s="17">
        <v>81.73</v>
      </c>
      <c r="S613" s="17">
        <v>56.67</v>
      </c>
      <c r="U613" s="18">
        <f t="shared" si="6"/>
        <v>490134.81</v>
      </c>
      <c r="V613" s="18">
        <f t="shared" si="7"/>
        <v>339849.99</v>
      </c>
      <c r="W613" s="19">
        <f t="shared" si="8"/>
        <v>150284.82</v>
      </c>
    </row>
    <row r="614">
      <c r="A614" s="7">
        <v>5.10762822E8</v>
      </c>
      <c r="B614" s="12">
        <v>40851.0</v>
      </c>
      <c r="C614" s="7">
        <f t="shared" si="1"/>
        <v>2011</v>
      </c>
      <c r="D614" s="14" t="str">
        <f t="shared" si="2"/>
        <v>11 - Nov</v>
      </c>
      <c r="E614" s="15" t="str">
        <f t="shared" si="3"/>
        <v>Fri</v>
      </c>
      <c r="F614" s="15">
        <f t="shared" si="4"/>
        <v>5</v>
      </c>
      <c r="G614" s="16">
        <v>40899.0</v>
      </c>
      <c r="H614" s="14">
        <f t="shared" si="5"/>
        <v>48</v>
      </c>
      <c r="I614" s="7" t="s">
        <v>364</v>
      </c>
      <c r="J614" s="7" t="s">
        <v>348</v>
      </c>
      <c r="K614" s="7" t="s">
        <v>348</v>
      </c>
      <c r="L614" s="7" t="s">
        <v>348</v>
      </c>
      <c r="M614" s="7" t="s">
        <v>348</v>
      </c>
      <c r="N614" s="7">
        <v>1270.0</v>
      </c>
      <c r="O614" s="7" t="str">
        <f>VLOOKUP(N614, products, 2, FALSE)</f>
        <v>Beverages</v>
      </c>
      <c r="P614" s="7" t="s">
        <v>334</v>
      </c>
      <c r="Q614" s="7">
        <v>4924.0</v>
      </c>
      <c r="R614" s="17">
        <v>47.45</v>
      </c>
      <c r="S614" s="17">
        <v>31.79</v>
      </c>
      <c r="U614" s="18">
        <f t="shared" si="6"/>
        <v>233643.8</v>
      </c>
      <c r="V614" s="18">
        <f t="shared" si="7"/>
        <v>156533.96</v>
      </c>
      <c r="W614" s="19">
        <f t="shared" si="8"/>
        <v>77109.84</v>
      </c>
    </row>
    <row r="615">
      <c r="A615" s="7">
        <v>5.10956799E8</v>
      </c>
      <c r="B615" s="12">
        <v>40428.0</v>
      </c>
      <c r="C615" s="7">
        <f t="shared" si="1"/>
        <v>2010</v>
      </c>
      <c r="D615" s="14" t="str">
        <f t="shared" si="2"/>
        <v>09 - Sep</v>
      </c>
      <c r="E615" s="15" t="str">
        <f t="shared" si="3"/>
        <v>Tue</v>
      </c>
      <c r="F615" s="15">
        <f t="shared" si="4"/>
        <v>2</v>
      </c>
      <c r="G615" s="16">
        <v>40444.0</v>
      </c>
      <c r="H615" s="14">
        <f t="shared" si="5"/>
        <v>16</v>
      </c>
      <c r="I615" s="7" t="s">
        <v>399</v>
      </c>
      <c r="J615" s="7" t="s">
        <v>468</v>
      </c>
      <c r="K615" s="7" t="str">
        <f>VLOOKUP(J615,countries,2,false)</f>
        <v>Luxembourg</v>
      </c>
      <c r="L615" s="7" t="str">
        <f>VLOOKUP($J615,countries,5,false)</f>
        <v>Europe</v>
      </c>
      <c r="M615" s="7" t="str">
        <f>VLOOKUP($J615,countries,6,false)</f>
        <v>Western Europe</v>
      </c>
      <c r="N615" s="7">
        <v>8969.0</v>
      </c>
      <c r="O615" s="7" t="str">
        <f>VLOOKUP(N615, products, 2, FALSE)</f>
        <v>Snacks</v>
      </c>
      <c r="P615" s="7" t="s">
        <v>264</v>
      </c>
      <c r="Q615" s="7">
        <v>2326.0</v>
      </c>
      <c r="R615" s="17">
        <v>152.58</v>
      </c>
      <c r="S615" s="17">
        <v>97.44</v>
      </c>
      <c r="U615" s="18">
        <f t="shared" si="6"/>
        <v>354901.08</v>
      </c>
      <c r="V615" s="18">
        <f t="shared" si="7"/>
        <v>226645.44</v>
      </c>
      <c r="W615" s="19">
        <f t="shared" si="8"/>
        <v>128255.64</v>
      </c>
    </row>
    <row r="616">
      <c r="A616" s="7">
        <v>5.11155498E8</v>
      </c>
      <c r="B616" s="12">
        <v>40447.0</v>
      </c>
      <c r="C616" s="7">
        <f t="shared" si="1"/>
        <v>2010</v>
      </c>
      <c r="D616" s="14" t="str">
        <f t="shared" si="2"/>
        <v>09 - Sep</v>
      </c>
      <c r="E616" s="15" t="str">
        <f t="shared" si="3"/>
        <v>Sun</v>
      </c>
      <c r="F616" s="15">
        <f t="shared" si="4"/>
        <v>7</v>
      </c>
      <c r="G616" s="16">
        <v>40486.0</v>
      </c>
      <c r="H616" s="14">
        <f t="shared" si="5"/>
        <v>39</v>
      </c>
      <c r="I616" s="7" t="s">
        <v>399</v>
      </c>
      <c r="J616" s="7" t="s">
        <v>246</v>
      </c>
      <c r="K616" s="7" t="str">
        <f>VLOOKUP(J616,countries,2,false)</f>
        <v>Denmark</v>
      </c>
      <c r="L616" s="7" t="str">
        <f>VLOOKUP($J616,countries,5,false)</f>
        <v>Europe</v>
      </c>
      <c r="M616" s="7" t="str">
        <f>VLOOKUP($J616,countries,6,false)</f>
        <v>Northern Europe</v>
      </c>
      <c r="N616" s="7">
        <v>1270.0</v>
      </c>
      <c r="O616" s="7" t="str">
        <f>VLOOKUP(N616, products, 2, FALSE)</f>
        <v>Beverages</v>
      </c>
      <c r="P616" s="7" t="s">
        <v>334</v>
      </c>
      <c r="Q616" s="7">
        <v>1126.0</v>
      </c>
      <c r="R616" s="17">
        <v>47.45</v>
      </c>
      <c r="S616" s="17">
        <v>31.79</v>
      </c>
      <c r="U616" s="18">
        <f t="shared" si="6"/>
        <v>53428.7</v>
      </c>
      <c r="V616" s="18">
        <f t="shared" si="7"/>
        <v>35795.54</v>
      </c>
      <c r="W616" s="19">
        <f t="shared" si="8"/>
        <v>17633.16</v>
      </c>
    </row>
    <row r="617">
      <c r="A617" s="7">
        <v>5.1171211E8</v>
      </c>
      <c r="B617" s="12">
        <v>42084.0</v>
      </c>
      <c r="C617" s="7">
        <f t="shared" si="1"/>
        <v>2015</v>
      </c>
      <c r="D617" s="14" t="str">
        <f t="shared" si="2"/>
        <v>03 - Mar</v>
      </c>
      <c r="E617" s="15" t="str">
        <f t="shared" si="3"/>
        <v>Sat</v>
      </c>
      <c r="F617" s="15">
        <f t="shared" si="4"/>
        <v>6</v>
      </c>
      <c r="G617" s="16">
        <v>42131.0</v>
      </c>
      <c r="H617" s="14">
        <f t="shared" si="5"/>
        <v>47</v>
      </c>
      <c r="I617" s="7" t="s">
        <v>305</v>
      </c>
      <c r="J617" s="7" t="s">
        <v>101</v>
      </c>
      <c r="K617" s="7" t="str">
        <f>VLOOKUP(J617,countries,2,false)</f>
        <v>Austria</v>
      </c>
      <c r="L617" s="7" t="str">
        <f>VLOOKUP($J617,countries,5,false)</f>
        <v>Europe</v>
      </c>
      <c r="M617" s="7" t="str">
        <f>VLOOKUP($J617,countries,6,false)</f>
        <v>Western Europe</v>
      </c>
      <c r="N617" s="7">
        <v>8681.0</v>
      </c>
      <c r="O617" s="7" t="str">
        <f>VLOOKUP(N617, products, 2, FALSE)</f>
        <v>Office Supplies</v>
      </c>
      <c r="P617" s="7" t="s">
        <v>334</v>
      </c>
      <c r="Q617" s="7">
        <v>5839.0</v>
      </c>
      <c r="R617" s="17">
        <v>651.21</v>
      </c>
      <c r="S617" s="17">
        <v>524.96</v>
      </c>
      <c r="U617" s="18">
        <f t="shared" si="6"/>
        <v>3802415.19</v>
      </c>
      <c r="V617" s="18">
        <f t="shared" si="7"/>
        <v>3065241.44</v>
      </c>
      <c r="W617" s="19">
        <f t="shared" si="8"/>
        <v>737173.75</v>
      </c>
    </row>
    <row r="618">
      <c r="A618" s="7">
        <v>5.12662255E8</v>
      </c>
      <c r="B618" s="12">
        <v>42139.0</v>
      </c>
      <c r="C618" s="7">
        <f t="shared" si="1"/>
        <v>2015</v>
      </c>
      <c r="D618" s="14" t="str">
        <f t="shared" si="2"/>
        <v>05 - May</v>
      </c>
      <c r="E618" s="15" t="str">
        <f t="shared" si="3"/>
        <v>Fri</v>
      </c>
      <c r="F618" s="15">
        <f t="shared" si="4"/>
        <v>5</v>
      </c>
      <c r="G618" s="16">
        <v>42177.0</v>
      </c>
      <c r="H618" s="14">
        <f t="shared" si="5"/>
        <v>38</v>
      </c>
      <c r="I618" s="7" t="s">
        <v>364</v>
      </c>
      <c r="J618" s="7" t="s">
        <v>243</v>
      </c>
      <c r="K618" s="7" t="str">
        <f>VLOOKUP(J618,countries,2,false)</f>
        <v>Czech Republic</v>
      </c>
      <c r="L618" s="7" t="str">
        <f>VLOOKUP($J618,countries,5,false)</f>
        <v>Europe</v>
      </c>
      <c r="M618" s="7" t="str">
        <f>VLOOKUP($J618,countries,6,false)</f>
        <v>Eastern Europe</v>
      </c>
      <c r="N618" s="7">
        <v>7940.0</v>
      </c>
      <c r="O618" s="7" t="str">
        <f>VLOOKUP(N618, products, 2, FALSE)</f>
        <v>Household</v>
      </c>
      <c r="P618" s="7" t="s">
        <v>334</v>
      </c>
      <c r="Q618" s="7">
        <v>7009.0</v>
      </c>
      <c r="R618" s="17">
        <v>668.27</v>
      </c>
      <c r="S618" s="17">
        <v>502.54</v>
      </c>
      <c r="U618" s="18">
        <f t="shared" si="6"/>
        <v>4683904.43</v>
      </c>
      <c r="V618" s="18">
        <f t="shared" si="7"/>
        <v>3522302.86</v>
      </c>
      <c r="W618" s="19">
        <f t="shared" si="8"/>
        <v>1161601.57</v>
      </c>
    </row>
    <row r="619">
      <c r="A619" s="7">
        <v>5.12714612E8</v>
      </c>
      <c r="B619" s="12">
        <v>42270.0</v>
      </c>
      <c r="C619" s="7">
        <f t="shared" si="1"/>
        <v>2015</v>
      </c>
      <c r="D619" s="14" t="str">
        <f t="shared" si="2"/>
        <v>09 - Sep</v>
      </c>
      <c r="E619" s="15" t="str">
        <f t="shared" si="3"/>
        <v>Wed</v>
      </c>
      <c r="F619" s="15">
        <f t="shared" si="4"/>
        <v>3</v>
      </c>
      <c r="G619" s="16">
        <v>42286.0</v>
      </c>
      <c r="H619" s="14">
        <f t="shared" si="5"/>
        <v>16</v>
      </c>
      <c r="I619" s="7" t="s">
        <v>399</v>
      </c>
      <c r="J619" s="7" t="s">
        <v>124</v>
      </c>
      <c r="K619" s="7" t="str">
        <f>VLOOKUP(J619,countries,2,false)</f>
        <v>Belgium</v>
      </c>
      <c r="L619" s="7" t="str">
        <f>VLOOKUP($J619,countries,5,false)</f>
        <v>Europe</v>
      </c>
      <c r="M619" s="7" t="str">
        <f>VLOOKUP($J619,countries,6,false)</f>
        <v>Western Europe</v>
      </c>
      <c r="N619" s="7">
        <v>8875.0</v>
      </c>
      <c r="O619" s="7" t="str">
        <f>VLOOKUP(N619, products, 2, FALSE)</f>
        <v>Meat</v>
      </c>
      <c r="P619" s="7" t="s">
        <v>264</v>
      </c>
      <c r="Q619" s="7">
        <v>2502.0</v>
      </c>
      <c r="R619" s="17">
        <v>421.89</v>
      </c>
      <c r="S619" s="17">
        <v>364.69</v>
      </c>
      <c r="U619" s="18">
        <f t="shared" si="6"/>
        <v>1055568.78</v>
      </c>
      <c r="V619" s="18">
        <f t="shared" si="7"/>
        <v>912454.38</v>
      </c>
      <c r="W619" s="19">
        <f t="shared" si="8"/>
        <v>143114.4</v>
      </c>
    </row>
    <row r="620">
      <c r="A620" s="7">
        <v>5.13026177E8</v>
      </c>
      <c r="B620" s="12">
        <v>41051.0</v>
      </c>
      <c r="C620" s="7">
        <f t="shared" si="1"/>
        <v>2012</v>
      </c>
      <c r="D620" s="14" t="str">
        <f t="shared" si="2"/>
        <v>05 - May</v>
      </c>
      <c r="E620" s="15" t="str">
        <f t="shared" si="3"/>
        <v>Tue</v>
      </c>
      <c r="F620" s="15">
        <f t="shared" si="4"/>
        <v>2</v>
      </c>
      <c r="G620" s="16">
        <v>41065.0</v>
      </c>
      <c r="H620" s="14">
        <f t="shared" si="5"/>
        <v>14</v>
      </c>
      <c r="I620" s="7" t="s">
        <v>232</v>
      </c>
      <c r="J620" s="7" t="s">
        <v>165</v>
      </c>
      <c r="K620" s="7" t="str">
        <f>VLOOKUP(J620,countries,2,false)</f>
        <v>Bulgaria</v>
      </c>
      <c r="L620" s="7" t="str">
        <f>VLOOKUP($J620,countries,5,false)</f>
        <v>Europe</v>
      </c>
      <c r="M620" s="7" t="str">
        <f>VLOOKUP($J620,countries,6,false)</f>
        <v>Eastern Europe</v>
      </c>
      <c r="N620" s="7">
        <v>8681.0</v>
      </c>
      <c r="O620" s="7" t="str">
        <f>VLOOKUP(N620, products, 2, FALSE)</f>
        <v>Office Supplies</v>
      </c>
      <c r="P620" s="7" t="s">
        <v>264</v>
      </c>
      <c r="Q620" s="7">
        <v>4701.0</v>
      </c>
      <c r="R620" s="17">
        <v>651.21</v>
      </c>
      <c r="S620" s="17">
        <v>524.96</v>
      </c>
      <c r="U620" s="18">
        <f t="shared" si="6"/>
        <v>3061338.21</v>
      </c>
      <c r="V620" s="18">
        <f t="shared" si="7"/>
        <v>2467836.96</v>
      </c>
      <c r="W620" s="19">
        <f t="shared" si="8"/>
        <v>593501.25</v>
      </c>
    </row>
    <row r="621">
      <c r="A621" s="7">
        <v>5.13611114E8</v>
      </c>
      <c r="B621" s="12">
        <v>42577.0</v>
      </c>
      <c r="C621" s="7">
        <f t="shared" si="1"/>
        <v>2016</v>
      </c>
      <c r="D621" s="14" t="str">
        <f t="shared" si="2"/>
        <v>07 - Jul</v>
      </c>
      <c r="E621" s="15" t="str">
        <f t="shared" si="3"/>
        <v>Tue</v>
      </c>
      <c r="F621" s="15">
        <f t="shared" si="4"/>
        <v>2</v>
      </c>
      <c r="G621" s="16">
        <v>42618.0</v>
      </c>
      <c r="H621" s="14">
        <f t="shared" si="5"/>
        <v>41</v>
      </c>
      <c r="I621" s="7" t="s">
        <v>399</v>
      </c>
      <c r="J621" s="7" t="s">
        <v>546</v>
      </c>
      <c r="K621" s="7" t="str">
        <f>VLOOKUP(J621,countries,2,false)</f>
        <v>Netherlands</v>
      </c>
      <c r="L621" s="7" t="str">
        <f>VLOOKUP($J621,countries,5,false)</f>
        <v>Europe</v>
      </c>
      <c r="M621" s="7" t="str">
        <f>VLOOKUP($J621,countries,6,false)</f>
        <v>Western Europe</v>
      </c>
      <c r="N621" s="7">
        <v>2455.0</v>
      </c>
      <c r="O621" s="7" t="str">
        <f>VLOOKUP(N621, products, 2, FALSE)</f>
        <v>Clothes</v>
      </c>
      <c r="P621" s="7" t="s">
        <v>334</v>
      </c>
      <c r="Q621" s="7">
        <v>7797.0</v>
      </c>
      <c r="R621" s="17">
        <v>109.28</v>
      </c>
      <c r="S621" s="17">
        <v>35.84</v>
      </c>
      <c r="U621" s="18">
        <f t="shared" si="6"/>
        <v>852056.16</v>
      </c>
      <c r="V621" s="18">
        <f t="shared" si="7"/>
        <v>279444.48</v>
      </c>
      <c r="W621" s="19">
        <f t="shared" si="8"/>
        <v>572611.68</v>
      </c>
    </row>
    <row r="622">
      <c r="A622" s="7">
        <v>5.13802516E8</v>
      </c>
      <c r="B622" s="12">
        <v>42918.0</v>
      </c>
      <c r="C622" s="7">
        <f t="shared" si="1"/>
        <v>2017</v>
      </c>
      <c r="D622" s="14" t="str">
        <f t="shared" si="2"/>
        <v>07 - Jul</v>
      </c>
      <c r="E622" s="15" t="str">
        <f t="shared" si="3"/>
        <v>Sun</v>
      </c>
      <c r="F622" s="15">
        <f t="shared" si="4"/>
        <v>7</v>
      </c>
      <c r="G622" s="16">
        <v>42954.0</v>
      </c>
      <c r="H622" s="14">
        <f t="shared" si="5"/>
        <v>36</v>
      </c>
      <c r="I622" s="7" t="s">
        <v>364</v>
      </c>
      <c r="J622" s="7" t="s">
        <v>517</v>
      </c>
      <c r="K622" s="7" t="str">
        <f>VLOOKUP(J622,countries,2,false)</f>
        <v>Spain</v>
      </c>
      <c r="L622" s="7" t="str">
        <f>VLOOKUP($J622,countries,5,false)</f>
        <v>Europe</v>
      </c>
      <c r="M622" s="7" t="str">
        <f>VLOOKUP($J622,countries,6,false)</f>
        <v>Southern Europe</v>
      </c>
      <c r="N622" s="7">
        <v>8681.0</v>
      </c>
      <c r="O622" s="7" t="str">
        <f>VLOOKUP(N622, products, 2, FALSE)</f>
        <v>Office Supplies</v>
      </c>
      <c r="P622" s="7" t="s">
        <v>264</v>
      </c>
      <c r="Q622" s="7">
        <v>4437.0</v>
      </c>
      <c r="R622" s="17">
        <v>651.21</v>
      </c>
      <c r="S622" s="17">
        <v>524.96</v>
      </c>
      <c r="U622" s="18">
        <f t="shared" si="6"/>
        <v>2889418.77</v>
      </c>
      <c r="V622" s="18">
        <f t="shared" si="7"/>
        <v>2329247.52</v>
      </c>
      <c r="W622" s="19">
        <f t="shared" si="8"/>
        <v>560171.25</v>
      </c>
    </row>
    <row r="623">
      <c r="A623" s="7">
        <v>5.15771901E8</v>
      </c>
      <c r="B623" s="12">
        <v>40958.0</v>
      </c>
      <c r="C623" s="7">
        <f t="shared" si="1"/>
        <v>2012</v>
      </c>
      <c r="D623" s="14" t="str">
        <f t="shared" si="2"/>
        <v>02 - Feb</v>
      </c>
      <c r="E623" s="15" t="str">
        <f t="shared" si="3"/>
        <v>Sun</v>
      </c>
      <c r="F623" s="15">
        <f t="shared" si="4"/>
        <v>7</v>
      </c>
      <c r="G623" s="16">
        <v>40987.0</v>
      </c>
      <c r="H623" s="14">
        <f t="shared" si="5"/>
        <v>29</v>
      </c>
      <c r="I623" s="7" t="s">
        <v>364</v>
      </c>
      <c r="J623" s="7" t="s">
        <v>656</v>
      </c>
      <c r="K623" s="7" t="str">
        <f>VLOOKUP(J623,countries,2,false)</f>
        <v>San Marino</v>
      </c>
      <c r="L623" s="7" t="str">
        <f>VLOOKUP($J623,countries,5,false)</f>
        <v>Europe</v>
      </c>
      <c r="M623" s="7" t="str">
        <f>VLOOKUP($J623,countries,6,false)</f>
        <v>Southern Europe</v>
      </c>
      <c r="N623" s="7">
        <v>5988.0</v>
      </c>
      <c r="O623" s="7" t="str">
        <f>VLOOKUP(N623, products, 2, FALSE)</f>
        <v>Vegetables</v>
      </c>
      <c r="P623" s="7" t="s">
        <v>334</v>
      </c>
      <c r="Q623" s="7">
        <v>7222.0</v>
      </c>
      <c r="R623" s="17">
        <v>154.06</v>
      </c>
      <c r="S623" s="17">
        <v>90.93</v>
      </c>
      <c r="U623" s="18">
        <f t="shared" si="6"/>
        <v>1112621.32</v>
      </c>
      <c r="V623" s="18">
        <f t="shared" si="7"/>
        <v>656696.46</v>
      </c>
      <c r="W623" s="19">
        <f t="shared" si="8"/>
        <v>455924.86</v>
      </c>
    </row>
    <row r="624">
      <c r="A624" s="7">
        <v>5.15773189E8</v>
      </c>
      <c r="B624" s="12">
        <v>40575.0</v>
      </c>
      <c r="C624" s="7">
        <f t="shared" si="1"/>
        <v>2011</v>
      </c>
      <c r="D624" s="14" t="str">
        <f t="shared" si="2"/>
        <v>02 - Feb</v>
      </c>
      <c r="E624" s="15" t="str">
        <f t="shared" si="3"/>
        <v>Tue</v>
      </c>
      <c r="F624" s="15">
        <f t="shared" si="4"/>
        <v>2</v>
      </c>
      <c r="G624" s="16">
        <v>40591.0</v>
      </c>
      <c r="H624" s="14">
        <f t="shared" si="5"/>
        <v>16</v>
      </c>
      <c r="I624" s="7" t="s">
        <v>399</v>
      </c>
      <c r="J624" s="7" t="s">
        <v>348</v>
      </c>
      <c r="K624" s="7" t="s">
        <v>348</v>
      </c>
      <c r="L624" s="7" t="s">
        <v>348</v>
      </c>
      <c r="M624" s="7" t="s">
        <v>348</v>
      </c>
      <c r="N624" s="7">
        <v>8875.0</v>
      </c>
      <c r="O624" s="7" t="str">
        <f>VLOOKUP(N624, products, 2, FALSE)</f>
        <v>Meat</v>
      </c>
      <c r="P624" s="7" t="s">
        <v>334</v>
      </c>
      <c r="Q624" s="7">
        <v>7603.0</v>
      </c>
      <c r="R624" s="17">
        <v>421.89</v>
      </c>
      <c r="S624" s="17">
        <v>364.69</v>
      </c>
      <c r="U624" s="18">
        <f t="shared" si="6"/>
        <v>3207629.67</v>
      </c>
      <c r="V624" s="18">
        <f t="shared" si="7"/>
        <v>2772738.07</v>
      </c>
      <c r="W624" s="19">
        <f t="shared" si="8"/>
        <v>434891.6</v>
      </c>
    </row>
    <row r="625">
      <c r="A625" s="7">
        <v>5.16122949E8</v>
      </c>
      <c r="B625" s="12">
        <v>40926.0</v>
      </c>
      <c r="C625" s="7">
        <f t="shared" si="1"/>
        <v>2012</v>
      </c>
      <c r="D625" s="14" t="str">
        <f t="shared" si="2"/>
        <v>01 - Jan</v>
      </c>
      <c r="E625" s="15" t="str">
        <f t="shared" si="3"/>
        <v>Wed</v>
      </c>
      <c r="F625" s="15">
        <f t="shared" si="4"/>
        <v>3</v>
      </c>
      <c r="G625" s="16">
        <v>40960.0</v>
      </c>
      <c r="H625" s="14">
        <f t="shared" si="5"/>
        <v>34</v>
      </c>
      <c r="I625" s="7" t="s">
        <v>232</v>
      </c>
      <c r="J625" s="7" t="s">
        <v>101</v>
      </c>
      <c r="K625" s="7" t="str">
        <f>VLOOKUP(J625,countries,2,false)</f>
        <v>Austria</v>
      </c>
      <c r="L625" s="7" t="str">
        <f>VLOOKUP($J625,countries,5,false)</f>
        <v>Europe</v>
      </c>
      <c r="M625" s="7" t="str">
        <f>VLOOKUP($J625,countries,6,false)</f>
        <v>Western Europe</v>
      </c>
      <c r="N625" s="7">
        <v>8969.0</v>
      </c>
      <c r="O625" s="7" t="str">
        <f>VLOOKUP(N625, products, 2, FALSE)</f>
        <v>Snacks</v>
      </c>
      <c r="P625" s="7" t="s">
        <v>264</v>
      </c>
      <c r="Q625" s="7">
        <v>1105.0</v>
      </c>
      <c r="R625" s="17">
        <v>152.58</v>
      </c>
      <c r="S625" s="17">
        <v>97.44</v>
      </c>
      <c r="U625" s="18">
        <f t="shared" si="6"/>
        <v>168600.9</v>
      </c>
      <c r="V625" s="18">
        <f t="shared" si="7"/>
        <v>107671.2</v>
      </c>
      <c r="W625" s="19">
        <f t="shared" si="8"/>
        <v>60929.7</v>
      </c>
    </row>
    <row r="626">
      <c r="A626" s="7">
        <v>5.16460692E8</v>
      </c>
      <c r="B626" s="12">
        <v>41155.0</v>
      </c>
      <c r="C626" s="7">
        <f t="shared" si="1"/>
        <v>2012</v>
      </c>
      <c r="D626" s="14" t="str">
        <f t="shared" si="2"/>
        <v>09 - Sep</v>
      </c>
      <c r="E626" s="15" t="str">
        <f t="shared" si="3"/>
        <v>Mon</v>
      </c>
      <c r="F626" s="15">
        <f t="shared" si="4"/>
        <v>1</v>
      </c>
      <c r="G626" s="16">
        <v>41176.0</v>
      </c>
      <c r="H626" s="14">
        <f t="shared" si="5"/>
        <v>21</v>
      </c>
      <c r="I626" s="7" t="s">
        <v>232</v>
      </c>
      <c r="J626" s="7" t="s">
        <v>90</v>
      </c>
      <c r="K626" s="7" t="str">
        <f>VLOOKUP(J626,countries,2,false)</f>
        <v>Armenia</v>
      </c>
      <c r="L626" s="7" t="str">
        <f>VLOOKUP($J626,countries,5,false)</f>
        <v>Asia</v>
      </c>
      <c r="M626" s="7" t="str">
        <f>VLOOKUP($J626,countries,6,false)</f>
        <v>Western Asia</v>
      </c>
      <c r="N626" s="7">
        <v>7940.0</v>
      </c>
      <c r="O626" s="7" t="str">
        <f>VLOOKUP(N626, products, 2, FALSE)</f>
        <v>Household</v>
      </c>
      <c r="P626" s="7" t="s">
        <v>334</v>
      </c>
      <c r="Q626" s="7">
        <v>1051.0</v>
      </c>
      <c r="R626" s="17">
        <v>668.27</v>
      </c>
      <c r="S626" s="17">
        <v>502.54</v>
      </c>
      <c r="U626" s="18">
        <f t="shared" si="6"/>
        <v>702351.77</v>
      </c>
      <c r="V626" s="18">
        <f t="shared" si="7"/>
        <v>528169.54</v>
      </c>
      <c r="W626" s="19">
        <f t="shared" si="8"/>
        <v>174182.23</v>
      </c>
    </row>
    <row r="627">
      <c r="A627" s="7">
        <v>5.16485583E8</v>
      </c>
      <c r="B627" s="12">
        <v>40220.0</v>
      </c>
      <c r="C627" s="7">
        <f t="shared" si="1"/>
        <v>2010</v>
      </c>
      <c r="D627" s="14" t="str">
        <f t="shared" si="2"/>
        <v>02 - Feb</v>
      </c>
      <c r="E627" s="15" t="str">
        <f t="shared" si="3"/>
        <v>Thu</v>
      </c>
      <c r="F627" s="15">
        <f t="shared" si="4"/>
        <v>4</v>
      </c>
      <c r="G627" s="16">
        <v>40243.0</v>
      </c>
      <c r="H627" s="14">
        <f t="shared" si="5"/>
        <v>23</v>
      </c>
      <c r="I627" s="7" t="s">
        <v>232</v>
      </c>
      <c r="J627" s="7" t="s">
        <v>316</v>
      </c>
      <c r="K627" s="7" t="str">
        <f>VLOOKUP(J627,countries,2,false)</f>
        <v>Georgia</v>
      </c>
      <c r="L627" s="7" t="str">
        <f>VLOOKUP($J627,countries,5,false)</f>
        <v>Asia</v>
      </c>
      <c r="M627" s="7" t="str">
        <f>VLOOKUP($J627,countries,6,false)</f>
        <v>Western Asia</v>
      </c>
      <c r="N627" s="7">
        <v>8875.0</v>
      </c>
      <c r="O627" s="7" t="str">
        <f>VLOOKUP(N627, products, 2, FALSE)</f>
        <v>Meat</v>
      </c>
      <c r="P627" s="7" t="s">
        <v>334</v>
      </c>
      <c r="Q627" s="7">
        <v>8416.0</v>
      </c>
      <c r="R627" s="17">
        <v>421.89</v>
      </c>
      <c r="S627" s="17">
        <v>364.69</v>
      </c>
      <c r="U627" s="18">
        <f t="shared" si="6"/>
        <v>3550626.24</v>
      </c>
      <c r="V627" s="18">
        <f t="shared" si="7"/>
        <v>3069231.04</v>
      </c>
      <c r="W627" s="19">
        <f t="shared" si="8"/>
        <v>481395.2</v>
      </c>
    </row>
    <row r="628">
      <c r="A628" s="7">
        <v>5.16599738E8</v>
      </c>
      <c r="B628" s="12">
        <v>41366.0</v>
      </c>
      <c r="C628" s="7">
        <f t="shared" si="1"/>
        <v>2013</v>
      </c>
      <c r="D628" s="14" t="str">
        <f t="shared" si="2"/>
        <v>04 - Apr</v>
      </c>
      <c r="E628" s="15" t="str">
        <f t="shared" si="3"/>
        <v>Tue</v>
      </c>
      <c r="F628" s="15">
        <f t="shared" si="4"/>
        <v>2</v>
      </c>
      <c r="G628" s="16">
        <v>41403.0</v>
      </c>
      <c r="H628" s="14">
        <f t="shared" si="5"/>
        <v>37</v>
      </c>
      <c r="I628" s="7" t="s">
        <v>232</v>
      </c>
      <c r="J628" s="7" t="s">
        <v>328</v>
      </c>
      <c r="K628" s="7" t="str">
        <f>VLOOKUP(J628,countries,2,false)</f>
        <v>Greece</v>
      </c>
      <c r="L628" s="7" t="str">
        <f>VLOOKUP($J628,countries,5,false)</f>
        <v>Europe</v>
      </c>
      <c r="M628" s="7" t="str">
        <f>VLOOKUP($J628,countries,6,false)</f>
        <v>Southern Europe</v>
      </c>
      <c r="N628" s="7">
        <v>8681.0</v>
      </c>
      <c r="O628" s="7" t="str">
        <f>VLOOKUP(N628, products, 2, FALSE)</f>
        <v>Office Supplies</v>
      </c>
      <c r="P628" s="7" t="s">
        <v>334</v>
      </c>
      <c r="Q628" s="7">
        <v>2197.0</v>
      </c>
      <c r="R628" s="17">
        <v>651.21</v>
      </c>
      <c r="S628" s="17">
        <v>524.96</v>
      </c>
      <c r="U628" s="18">
        <f t="shared" si="6"/>
        <v>1430708.37</v>
      </c>
      <c r="V628" s="18">
        <f t="shared" si="7"/>
        <v>1153337.12</v>
      </c>
      <c r="W628" s="19">
        <f t="shared" si="8"/>
        <v>277371.25</v>
      </c>
    </row>
    <row r="629">
      <c r="A629" s="7">
        <v>5.16635358E8</v>
      </c>
      <c r="B629" s="12">
        <v>40933.0</v>
      </c>
      <c r="C629" s="7">
        <f t="shared" si="1"/>
        <v>2012</v>
      </c>
      <c r="D629" s="14" t="str">
        <f t="shared" si="2"/>
        <v>01 - Jan</v>
      </c>
      <c r="E629" s="15" t="str">
        <f t="shared" si="3"/>
        <v>Wed</v>
      </c>
      <c r="F629" s="15">
        <f t="shared" si="4"/>
        <v>3</v>
      </c>
      <c r="G629" s="16">
        <v>40965.0</v>
      </c>
      <c r="H629" s="14">
        <f t="shared" si="5"/>
        <v>32</v>
      </c>
      <c r="I629" s="7" t="s">
        <v>399</v>
      </c>
      <c r="J629" s="7" t="s">
        <v>465</v>
      </c>
      <c r="K629" s="7" t="str">
        <f>VLOOKUP(J629,countries,2,false)</f>
        <v>Lithuania</v>
      </c>
      <c r="L629" s="7" t="str">
        <f>VLOOKUP($J629,countries,5,false)</f>
        <v>Europe</v>
      </c>
      <c r="M629" s="7" t="str">
        <f>VLOOKUP($J629,countries,6,false)</f>
        <v>Northern Europe</v>
      </c>
      <c r="N629" s="7">
        <v>7940.0</v>
      </c>
      <c r="O629" s="7" t="str">
        <f>VLOOKUP(N629, products, 2, FALSE)</f>
        <v>Household</v>
      </c>
      <c r="P629" s="7" t="s">
        <v>264</v>
      </c>
      <c r="Q629" s="7">
        <v>2738.0</v>
      </c>
      <c r="R629" s="17">
        <v>668.27</v>
      </c>
      <c r="S629" s="17">
        <v>502.54</v>
      </c>
      <c r="U629" s="18">
        <f t="shared" si="6"/>
        <v>1829723.26</v>
      </c>
      <c r="V629" s="18">
        <f t="shared" si="7"/>
        <v>1375954.52</v>
      </c>
      <c r="W629" s="19">
        <f t="shared" si="8"/>
        <v>453768.74</v>
      </c>
    </row>
    <row r="630">
      <c r="A630" s="7">
        <v>5.16994559E8</v>
      </c>
      <c r="B630" s="12">
        <v>42169.0</v>
      </c>
      <c r="C630" s="7">
        <f t="shared" si="1"/>
        <v>2015</v>
      </c>
      <c r="D630" s="14" t="str">
        <f t="shared" si="2"/>
        <v>06 - Jun</v>
      </c>
      <c r="E630" s="15" t="str">
        <f t="shared" si="3"/>
        <v>Sun</v>
      </c>
      <c r="F630" s="15">
        <f t="shared" si="4"/>
        <v>7</v>
      </c>
      <c r="G630" s="16">
        <v>42175.0</v>
      </c>
      <c r="H630" s="14">
        <f t="shared" si="5"/>
        <v>6</v>
      </c>
      <c r="I630" s="7" t="s">
        <v>399</v>
      </c>
      <c r="J630" s="7" t="s">
        <v>328</v>
      </c>
      <c r="K630" s="7" t="str">
        <f>VLOOKUP(J630,countries,2,false)</f>
        <v>Greece</v>
      </c>
      <c r="L630" s="7" t="str">
        <f>VLOOKUP($J630,countries,5,false)</f>
        <v>Europe</v>
      </c>
      <c r="M630" s="7" t="str">
        <f>VLOOKUP($J630,countries,6,false)</f>
        <v>Southern Europe</v>
      </c>
      <c r="N630" s="7">
        <v>4594.0</v>
      </c>
      <c r="O630" s="7" t="str">
        <f>VLOOKUP(N630, products, 2, FALSE)</f>
        <v>Fruits</v>
      </c>
      <c r="P630" s="7" t="s">
        <v>334</v>
      </c>
      <c r="Q630" s="7">
        <v>9034.0</v>
      </c>
      <c r="R630" s="17">
        <v>9.33</v>
      </c>
      <c r="S630" s="17">
        <v>6.92</v>
      </c>
      <c r="U630" s="18">
        <f t="shared" si="6"/>
        <v>84287.22</v>
      </c>
      <c r="V630" s="18">
        <f t="shared" si="7"/>
        <v>62515.28</v>
      </c>
      <c r="W630" s="19">
        <f t="shared" si="8"/>
        <v>21771.94</v>
      </c>
    </row>
    <row r="631">
      <c r="A631" s="7">
        <v>5.17097985E8</v>
      </c>
      <c r="B631" s="12">
        <v>42812.0</v>
      </c>
      <c r="C631" s="7">
        <f t="shared" si="1"/>
        <v>2017</v>
      </c>
      <c r="D631" s="14" t="str">
        <f t="shared" si="2"/>
        <v>03 - Mar</v>
      </c>
      <c r="E631" s="15" t="str">
        <f t="shared" si="3"/>
        <v>Sat</v>
      </c>
      <c r="F631" s="15">
        <f t="shared" si="4"/>
        <v>6</v>
      </c>
      <c r="G631" s="16">
        <v>42839.0</v>
      </c>
      <c r="H631" s="14">
        <f t="shared" si="5"/>
        <v>27</v>
      </c>
      <c r="I631" s="7" t="s">
        <v>232</v>
      </c>
      <c r="J631" s="7" t="s">
        <v>447</v>
      </c>
      <c r="K631" s="7" t="str">
        <f>VLOOKUP(J631,countries,2,false)</f>
        <v>Latvia</v>
      </c>
      <c r="L631" s="7" t="str">
        <f>VLOOKUP($J631,countries,5,false)</f>
        <v>Europe</v>
      </c>
      <c r="M631" s="7" t="str">
        <f>VLOOKUP($J631,countries,6,false)</f>
        <v>Northern Europe</v>
      </c>
      <c r="N631" s="7">
        <v>8969.0</v>
      </c>
      <c r="O631" s="7" t="str">
        <f>VLOOKUP(N631, products, 2, FALSE)</f>
        <v>Snacks</v>
      </c>
      <c r="P631" s="7" t="s">
        <v>264</v>
      </c>
      <c r="Q631" s="7">
        <v>9640.0</v>
      </c>
      <c r="R631" s="17">
        <v>152.58</v>
      </c>
      <c r="S631" s="17">
        <v>97.44</v>
      </c>
      <c r="U631" s="18">
        <f t="shared" si="6"/>
        <v>1470871.2</v>
      </c>
      <c r="V631" s="18">
        <f t="shared" si="7"/>
        <v>939321.6</v>
      </c>
      <c r="W631" s="19">
        <f t="shared" si="8"/>
        <v>531549.6</v>
      </c>
    </row>
    <row r="632">
      <c r="A632" s="7">
        <v>5.17514264E8</v>
      </c>
      <c r="B632" s="12">
        <v>41854.0</v>
      </c>
      <c r="C632" s="7">
        <f t="shared" si="1"/>
        <v>2014</v>
      </c>
      <c r="D632" s="14" t="str">
        <f t="shared" si="2"/>
        <v>08 - Aug</v>
      </c>
      <c r="E632" s="15" t="str">
        <f t="shared" si="3"/>
        <v>Sun</v>
      </c>
      <c r="F632" s="15">
        <f t="shared" si="4"/>
        <v>7</v>
      </c>
      <c r="G632" s="16">
        <v>41886.0</v>
      </c>
      <c r="H632" s="14">
        <f t="shared" si="5"/>
        <v>32</v>
      </c>
      <c r="I632" s="7" t="s">
        <v>364</v>
      </c>
      <c r="J632" s="7" t="s">
        <v>316</v>
      </c>
      <c r="K632" s="7" t="str">
        <f>VLOOKUP(J632,countries,2,false)</f>
        <v>Georgia</v>
      </c>
      <c r="L632" s="7" t="str">
        <f>VLOOKUP($J632,countries,5,false)</f>
        <v>Asia</v>
      </c>
      <c r="M632" s="7" t="str">
        <f>VLOOKUP($J632,countries,6,false)</f>
        <v>Western Asia</v>
      </c>
      <c r="N632" s="7">
        <v>8875.0</v>
      </c>
      <c r="O632" s="7" t="str">
        <f>VLOOKUP(N632, products, 2, FALSE)</f>
        <v>Meat</v>
      </c>
      <c r="P632" s="7" t="s">
        <v>334</v>
      </c>
      <c r="Q632" s="7">
        <v>2826.0</v>
      </c>
      <c r="R632" s="17">
        <v>421.89</v>
      </c>
      <c r="S632" s="17">
        <v>364.69</v>
      </c>
      <c r="U632" s="18">
        <f t="shared" si="6"/>
        <v>1192261.14</v>
      </c>
      <c r="V632" s="18">
        <f t="shared" si="7"/>
        <v>1030613.94</v>
      </c>
      <c r="W632" s="19">
        <f t="shared" si="8"/>
        <v>161647.2</v>
      </c>
    </row>
    <row r="633">
      <c r="A633" s="7">
        <v>5.18421494E8</v>
      </c>
      <c r="B633" s="12">
        <v>42665.0</v>
      </c>
      <c r="C633" s="7">
        <f t="shared" si="1"/>
        <v>2016</v>
      </c>
      <c r="D633" s="14" t="str">
        <f t="shared" si="2"/>
        <v>10 - Oct</v>
      </c>
      <c r="E633" s="15" t="str">
        <f t="shared" si="3"/>
        <v>Sat</v>
      </c>
      <c r="F633" s="15">
        <f t="shared" si="4"/>
        <v>6</v>
      </c>
      <c r="G633" s="16">
        <v>42665.0</v>
      </c>
      <c r="H633" s="14">
        <f t="shared" si="5"/>
        <v>0</v>
      </c>
      <c r="I633" s="7" t="s">
        <v>399</v>
      </c>
      <c r="J633" s="7" t="s">
        <v>656</v>
      </c>
      <c r="K633" s="7" t="str">
        <f>VLOOKUP(J633,countries,2,false)</f>
        <v>San Marino</v>
      </c>
      <c r="L633" s="7" t="str">
        <f>VLOOKUP($J633,countries,5,false)</f>
        <v>Europe</v>
      </c>
      <c r="M633" s="7" t="str">
        <f>VLOOKUP($J633,countries,6,false)</f>
        <v>Southern Europe</v>
      </c>
      <c r="N633" s="7">
        <v>2103.0</v>
      </c>
      <c r="O633" s="7" t="str">
        <f>VLOOKUP(N633, products, 2, FALSE)</f>
        <v>Cereal</v>
      </c>
      <c r="P633" s="7" t="s">
        <v>264</v>
      </c>
      <c r="Q633" s="7">
        <v>1296.0</v>
      </c>
      <c r="R633" s="17">
        <v>205.7</v>
      </c>
      <c r="S633" s="17">
        <v>117.11</v>
      </c>
      <c r="U633" s="18">
        <f t="shared" si="6"/>
        <v>266587.2</v>
      </c>
      <c r="V633" s="18">
        <f t="shared" si="7"/>
        <v>151774.56</v>
      </c>
      <c r="W633" s="19">
        <f t="shared" si="8"/>
        <v>114812.64</v>
      </c>
    </row>
    <row r="634">
      <c r="A634" s="7">
        <v>5.19380223E8</v>
      </c>
      <c r="B634" s="12">
        <v>42016.0</v>
      </c>
      <c r="C634" s="7">
        <f t="shared" si="1"/>
        <v>2015</v>
      </c>
      <c r="D634" s="14" t="str">
        <f t="shared" si="2"/>
        <v>01 - Jan</v>
      </c>
      <c r="E634" s="15" t="str">
        <f t="shared" si="3"/>
        <v>Mon</v>
      </c>
      <c r="F634" s="15">
        <f t="shared" si="4"/>
        <v>1</v>
      </c>
      <c r="G634" s="16">
        <v>42021.0</v>
      </c>
      <c r="H634" s="14">
        <f t="shared" si="5"/>
        <v>5</v>
      </c>
      <c r="I634" s="7" t="s">
        <v>232</v>
      </c>
      <c r="J634" s="7" t="s">
        <v>124</v>
      </c>
      <c r="K634" s="7" t="str">
        <f>VLOOKUP(J634,countries,2,false)</f>
        <v>Belgium</v>
      </c>
      <c r="L634" s="7" t="str">
        <f>VLOOKUP($J634,countries,5,false)</f>
        <v>Europe</v>
      </c>
      <c r="M634" s="7" t="str">
        <f>VLOOKUP($J634,countries,6,false)</f>
        <v>Western Europe</v>
      </c>
      <c r="N634" s="7">
        <v>8969.0</v>
      </c>
      <c r="O634" s="7" t="str">
        <f>VLOOKUP(N634, products, 2, FALSE)</f>
        <v>Snacks</v>
      </c>
      <c r="P634" s="7" t="s">
        <v>264</v>
      </c>
      <c r="Q634" s="7">
        <v>5005.0</v>
      </c>
      <c r="R634" s="17">
        <v>152.58</v>
      </c>
      <c r="S634" s="17">
        <v>97.44</v>
      </c>
      <c r="U634" s="18">
        <f t="shared" si="6"/>
        <v>763662.9</v>
      </c>
      <c r="V634" s="18">
        <f t="shared" si="7"/>
        <v>487687.2</v>
      </c>
      <c r="W634" s="19">
        <f t="shared" si="8"/>
        <v>275975.7</v>
      </c>
    </row>
    <row r="635">
      <c r="A635" s="7">
        <v>5.2039088E8</v>
      </c>
      <c r="B635" s="12">
        <v>40704.0</v>
      </c>
      <c r="C635" s="7">
        <f t="shared" si="1"/>
        <v>2011</v>
      </c>
      <c r="D635" s="14" t="str">
        <f t="shared" si="2"/>
        <v>06 - Jun</v>
      </c>
      <c r="E635" s="15" t="str">
        <f t="shared" si="3"/>
        <v>Fri</v>
      </c>
      <c r="F635" s="15">
        <f t="shared" si="4"/>
        <v>5</v>
      </c>
      <c r="G635" s="16">
        <v>40748.0</v>
      </c>
      <c r="H635" s="14">
        <f t="shared" si="5"/>
        <v>44</v>
      </c>
      <c r="I635" s="7" t="s">
        <v>232</v>
      </c>
      <c r="J635" s="7" t="s">
        <v>608</v>
      </c>
      <c r="K635" s="7" t="str">
        <f>VLOOKUP(J635,countries,2,false)</f>
        <v>Poland</v>
      </c>
      <c r="L635" s="7" t="str">
        <f>VLOOKUP($J635,countries,5,false)</f>
        <v>Europe</v>
      </c>
      <c r="M635" s="7" t="str">
        <f>VLOOKUP($J635,countries,6,false)</f>
        <v>Eastern Europe</v>
      </c>
      <c r="N635" s="7">
        <v>2103.0</v>
      </c>
      <c r="O635" s="7" t="str">
        <f>VLOOKUP(N635, products, 2, FALSE)</f>
        <v>Cereal</v>
      </c>
      <c r="P635" s="7" t="s">
        <v>334</v>
      </c>
      <c r="Q635" s="7">
        <v>4080.0</v>
      </c>
      <c r="R635" s="17">
        <v>205.7</v>
      </c>
      <c r="S635" s="17">
        <v>117.11</v>
      </c>
      <c r="U635" s="18">
        <f t="shared" si="6"/>
        <v>839256</v>
      </c>
      <c r="V635" s="18">
        <f t="shared" si="7"/>
        <v>477808.8</v>
      </c>
      <c r="W635" s="19">
        <f t="shared" si="8"/>
        <v>361447.2</v>
      </c>
    </row>
    <row r="636">
      <c r="A636" s="7">
        <v>5.20777547E8</v>
      </c>
      <c r="B636" s="12">
        <v>40239.0</v>
      </c>
      <c r="C636" s="7">
        <f t="shared" si="1"/>
        <v>2010</v>
      </c>
      <c r="D636" s="14" t="str">
        <f t="shared" si="2"/>
        <v>03 - Mar</v>
      </c>
      <c r="E636" s="15" t="str">
        <f t="shared" si="3"/>
        <v>Tue</v>
      </c>
      <c r="F636" s="15">
        <f t="shared" si="4"/>
        <v>2</v>
      </c>
      <c r="G636" s="16">
        <v>40283.0</v>
      </c>
      <c r="H636" s="14">
        <f t="shared" si="5"/>
        <v>44</v>
      </c>
      <c r="I636" s="7" t="s">
        <v>305</v>
      </c>
      <c r="J636" s="7" t="s">
        <v>165</v>
      </c>
      <c r="K636" s="7" t="str">
        <f>VLOOKUP(J636,countries,2,false)</f>
        <v>Bulgaria</v>
      </c>
      <c r="L636" s="7" t="str">
        <f>VLOOKUP($J636,countries,5,false)</f>
        <v>Europe</v>
      </c>
      <c r="M636" s="7" t="str">
        <f>VLOOKUP($J636,countries,6,false)</f>
        <v>Eastern Europe</v>
      </c>
      <c r="N636" s="7">
        <v>2455.0</v>
      </c>
      <c r="O636" s="7" t="str">
        <f>VLOOKUP(N636, products, 2, FALSE)</f>
        <v>Clothes</v>
      </c>
      <c r="P636" s="7" t="s">
        <v>334</v>
      </c>
      <c r="Q636" s="7">
        <v>8504.0</v>
      </c>
      <c r="R636" s="17">
        <v>109.28</v>
      </c>
      <c r="S636" s="17">
        <v>35.84</v>
      </c>
      <c r="U636" s="18">
        <f t="shared" si="6"/>
        <v>929317.12</v>
      </c>
      <c r="V636" s="18">
        <f t="shared" si="7"/>
        <v>304783.36</v>
      </c>
      <c r="W636" s="19">
        <f t="shared" si="8"/>
        <v>624533.76</v>
      </c>
    </row>
    <row r="637">
      <c r="A637" s="7">
        <v>5.20915305E8</v>
      </c>
      <c r="B637" s="12">
        <v>40832.0</v>
      </c>
      <c r="C637" s="7">
        <f t="shared" si="1"/>
        <v>2011</v>
      </c>
      <c r="D637" s="14" t="str">
        <f t="shared" si="2"/>
        <v>10 - Oct</v>
      </c>
      <c r="E637" s="15" t="str">
        <f t="shared" si="3"/>
        <v>Sun</v>
      </c>
      <c r="F637" s="15">
        <f t="shared" si="4"/>
        <v>7</v>
      </c>
      <c r="G637" s="16">
        <v>40854.0</v>
      </c>
      <c r="H637" s="14">
        <f t="shared" si="5"/>
        <v>22</v>
      </c>
      <c r="I637" s="7" t="s">
        <v>399</v>
      </c>
      <c r="J637" s="7" t="s">
        <v>626</v>
      </c>
      <c r="K637" s="7" t="str">
        <f>VLOOKUP(J637,countries,2,false)</f>
        <v>Russia</v>
      </c>
      <c r="L637" s="7" t="str">
        <f>VLOOKUP($J637,countries,5,false)</f>
        <v>Europe</v>
      </c>
      <c r="M637" s="7" t="str">
        <f>VLOOKUP($J637,countries,6,false)</f>
        <v>Eastern Europe</v>
      </c>
      <c r="N637" s="7">
        <v>8681.0</v>
      </c>
      <c r="O637" s="7" t="str">
        <f>VLOOKUP(N637, products, 2, FALSE)</f>
        <v>Office Supplies</v>
      </c>
      <c r="P637" s="7" t="s">
        <v>334</v>
      </c>
      <c r="Q637" s="7">
        <v>9270.0</v>
      </c>
      <c r="R637" s="17">
        <v>651.21</v>
      </c>
      <c r="S637" s="17">
        <v>524.96</v>
      </c>
      <c r="U637" s="18">
        <f t="shared" si="6"/>
        <v>6036716.7</v>
      </c>
      <c r="V637" s="18">
        <f t="shared" si="7"/>
        <v>4866379.2</v>
      </c>
      <c r="W637" s="19">
        <f t="shared" si="8"/>
        <v>1170337.5</v>
      </c>
    </row>
    <row r="638">
      <c r="A638" s="7">
        <v>5.21681344E8</v>
      </c>
      <c r="B638" s="12">
        <v>40225.0</v>
      </c>
      <c r="C638" s="7">
        <f t="shared" si="1"/>
        <v>2010</v>
      </c>
      <c r="D638" s="14" t="str">
        <f t="shared" si="2"/>
        <v>02 - Feb</v>
      </c>
      <c r="E638" s="15" t="str">
        <f t="shared" si="3"/>
        <v>Tue</v>
      </c>
      <c r="F638" s="15">
        <f t="shared" si="4"/>
        <v>2</v>
      </c>
      <c r="G638" s="16">
        <v>40271.0</v>
      </c>
      <c r="H638" s="14">
        <f t="shared" si="5"/>
        <v>46</v>
      </c>
      <c r="I638" s="7" t="s">
        <v>232</v>
      </c>
      <c r="J638" s="7" t="s">
        <v>243</v>
      </c>
      <c r="K638" s="7" t="str">
        <f>VLOOKUP(J638,countries,2,false)</f>
        <v>Czech Republic</v>
      </c>
      <c r="L638" s="7" t="str">
        <f>VLOOKUP($J638,countries,5,false)</f>
        <v>Europe</v>
      </c>
      <c r="M638" s="7" t="str">
        <f>VLOOKUP($J638,countries,6,false)</f>
        <v>Eastern Europe</v>
      </c>
      <c r="N638" s="7">
        <v>8681.0</v>
      </c>
      <c r="O638" s="7" t="str">
        <f>VLOOKUP(N638, products, 2, FALSE)</f>
        <v>Office Supplies</v>
      </c>
      <c r="P638" s="7" t="s">
        <v>264</v>
      </c>
      <c r="Q638" s="7">
        <v>5957.0</v>
      </c>
      <c r="R638" s="17">
        <v>651.21</v>
      </c>
      <c r="S638" s="17">
        <v>524.96</v>
      </c>
      <c r="U638" s="18">
        <f t="shared" si="6"/>
        <v>3879257.97</v>
      </c>
      <c r="V638" s="18">
        <f t="shared" si="7"/>
        <v>3127186.72</v>
      </c>
      <c r="W638" s="19">
        <f t="shared" si="8"/>
        <v>752071.25</v>
      </c>
    </row>
    <row r="639">
      <c r="A639" s="7">
        <v>5.21874034E8</v>
      </c>
      <c r="B639" s="12">
        <v>40184.0</v>
      </c>
      <c r="C639" s="7">
        <f t="shared" si="1"/>
        <v>2010</v>
      </c>
      <c r="D639" s="14" t="str">
        <f t="shared" si="2"/>
        <v>01 - Jan</v>
      </c>
      <c r="E639" s="15" t="str">
        <f t="shared" si="3"/>
        <v>Wed</v>
      </c>
      <c r="F639" s="15">
        <f t="shared" si="4"/>
        <v>3</v>
      </c>
      <c r="G639" s="16">
        <v>40212.0</v>
      </c>
      <c r="H639" s="14">
        <f t="shared" si="5"/>
        <v>28</v>
      </c>
      <c r="I639" s="7" t="s">
        <v>232</v>
      </c>
      <c r="J639" s="7" t="s">
        <v>120</v>
      </c>
      <c r="K639" s="7" t="str">
        <f>VLOOKUP(J639,countries,2,false)</f>
        <v>Belarus</v>
      </c>
      <c r="L639" s="7" t="str">
        <f>VLOOKUP($J639,countries,5,false)</f>
        <v>Europe</v>
      </c>
      <c r="M639" s="7" t="str">
        <f>VLOOKUP($J639,countries,6,false)</f>
        <v>Eastern Europe</v>
      </c>
      <c r="N639" s="7">
        <v>8293.0</v>
      </c>
      <c r="O639" s="7" t="str">
        <f>VLOOKUP(N639, products, 2, FALSE)</f>
        <v>Cosmetics</v>
      </c>
      <c r="P639" s="7" t="s">
        <v>334</v>
      </c>
      <c r="Q639" s="7">
        <v>2979.0</v>
      </c>
      <c r="R639" s="17">
        <v>437.2</v>
      </c>
      <c r="S639" s="17">
        <v>263.33</v>
      </c>
      <c r="U639" s="18">
        <f t="shared" si="6"/>
        <v>1302418.8</v>
      </c>
      <c r="V639" s="18">
        <f t="shared" si="7"/>
        <v>784460.07</v>
      </c>
      <c r="W639" s="19">
        <f t="shared" si="8"/>
        <v>517958.73</v>
      </c>
    </row>
    <row r="640">
      <c r="A640" s="7">
        <v>5.22323358E8</v>
      </c>
      <c r="B640" s="12">
        <v>42324.0</v>
      </c>
      <c r="C640" s="7">
        <f t="shared" si="1"/>
        <v>2015</v>
      </c>
      <c r="D640" s="14" t="str">
        <f t="shared" si="2"/>
        <v>11 - Nov</v>
      </c>
      <c r="E640" s="15" t="str">
        <f t="shared" si="3"/>
        <v>Mon</v>
      </c>
      <c r="F640" s="15">
        <f t="shared" si="4"/>
        <v>1</v>
      </c>
      <c r="G640" s="16">
        <v>42328.0</v>
      </c>
      <c r="H640" s="14">
        <f t="shared" si="5"/>
        <v>4</v>
      </c>
      <c r="I640" s="7" t="s">
        <v>399</v>
      </c>
      <c r="J640" s="7" t="s">
        <v>623</v>
      </c>
      <c r="K640" s="7" t="str">
        <f>VLOOKUP(J640,countries,2,false)</f>
        <v>Romania</v>
      </c>
      <c r="L640" s="7" t="str">
        <f>VLOOKUP($J640,countries,5,false)</f>
        <v>Europe</v>
      </c>
      <c r="M640" s="7" t="str">
        <f>VLOOKUP($J640,countries,6,false)</f>
        <v>Eastern Europe</v>
      </c>
      <c r="N640" s="7">
        <v>2455.0</v>
      </c>
      <c r="O640" s="7" t="str">
        <f>VLOOKUP(N640, products, 2, FALSE)</f>
        <v>Clothes</v>
      </c>
      <c r="P640" s="7" t="s">
        <v>264</v>
      </c>
      <c r="Q640" s="7">
        <v>5944.0</v>
      </c>
      <c r="R640" s="17">
        <v>109.28</v>
      </c>
      <c r="S640" s="17">
        <v>35.84</v>
      </c>
      <c r="U640" s="18">
        <f t="shared" si="6"/>
        <v>649560.32</v>
      </c>
      <c r="V640" s="18">
        <f t="shared" si="7"/>
        <v>213032.96</v>
      </c>
      <c r="W640" s="19">
        <f t="shared" si="8"/>
        <v>436527.36</v>
      </c>
    </row>
    <row r="641">
      <c r="A641" s="7">
        <v>5.23580348E8</v>
      </c>
      <c r="B641" s="12">
        <v>40719.0</v>
      </c>
      <c r="C641" s="7">
        <f t="shared" si="1"/>
        <v>2011</v>
      </c>
      <c r="D641" s="14" t="str">
        <f t="shared" si="2"/>
        <v>06 - Jun</v>
      </c>
      <c r="E641" s="15" t="str">
        <f t="shared" si="3"/>
        <v>Sat</v>
      </c>
      <c r="F641" s="15">
        <f t="shared" si="4"/>
        <v>6</v>
      </c>
      <c r="G641" s="16">
        <v>40759.0</v>
      </c>
      <c r="H641" s="14">
        <f t="shared" si="5"/>
        <v>40</v>
      </c>
      <c r="I641" s="7" t="s">
        <v>305</v>
      </c>
      <c r="J641" s="7" t="s">
        <v>306</v>
      </c>
      <c r="K641" s="7" t="str">
        <f>VLOOKUP(J641,countries,2,false)</f>
        <v>Serbia</v>
      </c>
      <c r="L641" s="7" t="str">
        <f>VLOOKUP($J641,countries,5,false)</f>
        <v>Europe</v>
      </c>
      <c r="M641" s="7" t="str">
        <f>VLOOKUP($J641,countries,6,false)</f>
        <v>Southern Europe</v>
      </c>
      <c r="N641" s="7">
        <v>2455.0</v>
      </c>
      <c r="O641" s="7" t="str">
        <f>VLOOKUP(N641, products, 2, FALSE)</f>
        <v>Clothes</v>
      </c>
      <c r="P641" s="7" t="s">
        <v>264</v>
      </c>
      <c r="Q641" s="7">
        <v>7915.0</v>
      </c>
      <c r="R641" s="17">
        <v>109.28</v>
      </c>
      <c r="S641" s="17">
        <v>35.84</v>
      </c>
      <c r="U641" s="18">
        <f t="shared" si="6"/>
        <v>864951.2</v>
      </c>
      <c r="V641" s="18">
        <f t="shared" si="7"/>
        <v>283673.6</v>
      </c>
      <c r="W641" s="19">
        <f t="shared" si="8"/>
        <v>581277.6</v>
      </c>
    </row>
    <row r="642">
      <c r="A642" s="7">
        <v>5.23707807E8</v>
      </c>
      <c r="B642" s="12">
        <v>41603.0</v>
      </c>
      <c r="C642" s="7">
        <f t="shared" si="1"/>
        <v>2013</v>
      </c>
      <c r="D642" s="14" t="str">
        <f t="shared" si="2"/>
        <v>11 - Nov</v>
      </c>
      <c r="E642" s="15" t="str">
        <f t="shared" si="3"/>
        <v>Mon</v>
      </c>
      <c r="F642" s="15">
        <f t="shared" si="4"/>
        <v>1</v>
      </c>
      <c r="G642" s="16">
        <v>41624.0</v>
      </c>
      <c r="H642" s="14">
        <f t="shared" si="5"/>
        <v>21</v>
      </c>
      <c r="I642" s="7" t="s">
        <v>232</v>
      </c>
      <c r="J642" s="7" t="s">
        <v>146</v>
      </c>
      <c r="K642" s="7" t="str">
        <f>VLOOKUP(J642,countries,2,false)</f>
        <v>Bosnia and Herzegovina</v>
      </c>
      <c r="L642" s="7" t="str">
        <f>VLOOKUP($J642,countries,5,false)</f>
        <v>Europe</v>
      </c>
      <c r="M642" s="7" t="str">
        <f>VLOOKUP($J642,countries,6,false)</f>
        <v>Southern Europe</v>
      </c>
      <c r="N642" s="7">
        <v>5988.0</v>
      </c>
      <c r="O642" s="7" t="str">
        <f>VLOOKUP(N642, products, 2, FALSE)</f>
        <v>Vegetables</v>
      </c>
      <c r="P642" s="7" t="s">
        <v>264</v>
      </c>
      <c r="Q642" s="7">
        <v>5633.0</v>
      </c>
      <c r="R642" s="17">
        <v>154.06</v>
      </c>
      <c r="S642" s="17">
        <v>90.93</v>
      </c>
      <c r="U642" s="18">
        <f t="shared" si="6"/>
        <v>867819.98</v>
      </c>
      <c r="V642" s="18">
        <f t="shared" si="7"/>
        <v>512208.69</v>
      </c>
      <c r="W642" s="19">
        <f t="shared" si="8"/>
        <v>355611.29</v>
      </c>
    </row>
    <row r="643">
      <c r="A643" s="7">
        <v>5.23836123E8</v>
      </c>
      <c r="B643" s="12">
        <v>41311.0</v>
      </c>
      <c r="C643" s="7">
        <f t="shared" si="1"/>
        <v>2013</v>
      </c>
      <c r="D643" s="14" t="str">
        <f t="shared" si="2"/>
        <v>02 - Feb</v>
      </c>
      <c r="E643" s="15" t="str">
        <f t="shared" si="3"/>
        <v>Wed</v>
      </c>
      <c r="F643" s="15">
        <f t="shared" si="4"/>
        <v>3</v>
      </c>
      <c r="G643" s="16">
        <v>41355.0</v>
      </c>
      <c r="H643" s="14">
        <f t="shared" si="5"/>
        <v>44</v>
      </c>
      <c r="I643" s="7" t="s">
        <v>305</v>
      </c>
      <c r="J643" s="7" t="s">
        <v>465</v>
      </c>
      <c r="K643" s="7" t="str">
        <f>VLOOKUP(J643,countries,2,false)</f>
        <v>Lithuania</v>
      </c>
      <c r="L643" s="7" t="str">
        <f>VLOOKUP($J643,countries,5,false)</f>
        <v>Europe</v>
      </c>
      <c r="M643" s="7" t="str">
        <f>VLOOKUP($J643,countries,6,false)</f>
        <v>Northern Europe</v>
      </c>
      <c r="N643" s="7">
        <v>2455.0</v>
      </c>
      <c r="O643" s="7" t="str">
        <f>VLOOKUP(N643, products, 2, FALSE)</f>
        <v>Clothes</v>
      </c>
      <c r="P643" s="7" t="s">
        <v>264</v>
      </c>
      <c r="Q643" s="7">
        <v>3605.0</v>
      </c>
      <c r="R643" s="17">
        <v>109.28</v>
      </c>
      <c r="S643" s="17">
        <v>35.84</v>
      </c>
      <c r="U643" s="18">
        <f t="shared" si="6"/>
        <v>393954.4</v>
      </c>
      <c r="V643" s="18">
        <f t="shared" si="7"/>
        <v>129203.2</v>
      </c>
      <c r="W643" s="19">
        <f t="shared" si="8"/>
        <v>264751.2</v>
      </c>
    </row>
    <row r="644">
      <c r="A644" s="7">
        <v>5.23899209E8</v>
      </c>
      <c r="B644" s="12">
        <v>41944.0</v>
      </c>
      <c r="C644" s="7">
        <f t="shared" si="1"/>
        <v>2014</v>
      </c>
      <c r="D644" s="14" t="str">
        <f t="shared" si="2"/>
        <v>11 - Nov</v>
      </c>
      <c r="E644" s="15" t="str">
        <f t="shared" si="3"/>
        <v>Sat</v>
      </c>
      <c r="F644" s="15">
        <f t="shared" si="4"/>
        <v>6</v>
      </c>
      <c r="G644" s="16">
        <v>41959.0</v>
      </c>
      <c r="H644" s="14">
        <f t="shared" si="5"/>
        <v>15</v>
      </c>
      <c r="I644" s="7" t="s">
        <v>305</v>
      </c>
      <c r="J644" s="7" t="s">
        <v>319</v>
      </c>
      <c r="K644" s="7" t="str">
        <f>VLOOKUP(J644,countries,2,false)</f>
        <v>Germany</v>
      </c>
      <c r="L644" s="7" t="str">
        <f>VLOOKUP($J644,countries,5,false)</f>
        <v>Europe</v>
      </c>
      <c r="M644" s="7" t="str">
        <f>VLOOKUP($J644,countries,6,false)</f>
        <v>Western Europe</v>
      </c>
      <c r="N644" s="7">
        <v>7331.0</v>
      </c>
      <c r="O644" s="7" t="str">
        <f>VLOOKUP(N644, products, 2, FALSE)</f>
        <v>Baby Food</v>
      </c>
      <c r="P644" s="7" t="s">
        <v>334</v>
      </c>
      <c r="Q644" s="7">
        <v>2273.0</v>
      </c>
      <c r="R644" s="17">
        <v>255.28</v>
      </c>
      <c r="S644" s="17">
        <v>159.42</v>
      </c>
      <c r="U644" s="18">
        <f t="shared" si="6"/>
        <v>580251.44</v>
      </c>
      <c r="V644" s="18">
        <f t="shared" si="7"/>
        <v>362361.66</v>
      </c>
      <c r="W644" s="19">
        <f t="shared" si="8"/>
        <v>217889.78</v>
      </c>
    </row>
    <row r="645">
      <c r="A645" s="7">
        <v>5.24844634E8</v>
      </c>
      <c r="B645" s="12">
        <v>41557.0</v>
      </c>
      <c r="C645" s="7">
        <f t="shared" si="1"/>
        <v>2013</v>
      </c>
      <c r="D645" s="14" t="str">
        <f t="shared" si="2"/>
        <v>10 - Oct</v>
      </c>
      <c r="E645" s="15" t="str">
        <f t="shared" si="3"/>
        <v>Thu</v>
      </c>
      <c r="F645" s="15">
        <f t="shared" si="4"/>
        <v>4</v>
      </c>
      <c r="G645" s="16">
        <v>41560.0</v>
      </c>
      <c r="H645" s="14">
        <f t="shared" si="5"/>
        <v>3</v>
      </c>
      <c r="I645" s="7" t="s">
        <v>232</v>
      </c>
      <c r="J645" s="7" t="s">
        <v>328</v>
      </c>
      <c r="K645" s="7" t="str">
        <f>VLOOKUP(J645,countries,2,false)</f>
        <v>Greece</v>
      </c>
      <c r="L645" s="7" t="str">
        <f>VLOOKUP($J645,countries,5,false)</f>
        <v>Europe</v>
      </c>
      <c r="M645" s="7" t="str">
        <f>VLOOKUP($J645,countries,6,false)</f>
        <v>Southern Europe</v>
      </c>
      <c r="N645" s="7">
        <v>2103.0</v>
      </c>
      <c r="O645" s="7" t="str">
        <f>VLOOKUP(N645, products, 2, FALSE)</f>
        <v>Cereal</v>
      </c>
      <c r="P645" s="7" t="s">
        <v>334</v>
      </c>
      <c r="Q645" s="7">
        <v>2045.0</v>
      </c>
      <c r="R645" s="17">
        <v>205.7</v>
      </c>
      <c r="S645" s="17">
        <v>117.11</v>
      </c>
      <c r="U645" s="18">
        <f t="shared" si="6"/>
        <v>420656.5</v>
      </c>
      <c r="V645" s="18">
        <f t="shared" si="7"/>
        <v>239489.95</v>
      </c>
      <c r="W645" s="19">
        <f t="shared" si="8"/>
        <v>181166.55</v>
      </c>
    </row>
    <row r="646">
      <c r="A646" s="7">
        <v>5.24972951E8</v>
      </c>
      <c r="B646" s="12">
        <v>41265.0</v>
      </c>
      <c r="C646" s="7">
        <f t="shared" si="1"/>
        <v>2012</v>
      </c>
      <c r="D646" s="14" t="str">
        <f t="shared" si="2"/>
        <v>12 - Dec</v>
      </c>
      <c r="E646" s="15" t="str">
        <f t="shared" si="3"/>
        <v>Sat</v>
      </c>
      <c r="F646" s="15">
        <f t="shared" si="4"/>
        <v>6</v>
      </c>
      <c r="G646" s="16">
        <v>41291.0</v>
      </c>
      <c r="H646" s="14">
        <f t="shared" si="5"/>
        <v>26</v>
      </c>
      <c r="I646" s="7" t="s">
        <v>364</v>
      </c>
      <c r="J646" s="7" t="s">
        <v>623</v>
      </c>
      <c r="K646" s="7" t="str">
        <f>VLOOKUP(J646,countries,2,false)</f>
        <v>Romania</v>
      </c>
      <c r="L646" s="7" t="str">
        <f>VLOOKUP($J646,countries,5,false)</f>
        <v>Europe</v>
      </c>
      <c r="M646" s="7" t="str">
        <f>VLOOKUP($J646,countries,6,false)</f>
        <v>Eastern Europe</v>
      </c>
      <c r="N646" s="7">
        <v>8875.0</v>
      </c>
      <c r="O646" s="7" t="str">
        <f>VLOOKUP(N646, products, 2, FALSE)</f>
        <v>Meat</v>
      </c>
      <c r="P646" s="7" t="s">
        <v>334</v>
      </c>
      <c r="Q646" s="7">
        <v>17.0</v>
      </c>
      <c r="R646" s="17">
        <v>421.89</v>
      </c>
      <c r="S646" s="17">
        <v>364.69</v>
      </c>
      <c r="U646" s="18">
        <f t="shared" si="6"/>
        <v>7172.13</v>
      </c>
      <c r="V646" s="18">
        <f t="shared" si="7"/>
        <v>6199.73</v>
      </c>
      <c r="W646" s="19">
        <f t="shared" si="8"/>
        <v>972.4</v>
      </c>
    </row>
    <row r="647">
      <c r="A647" s="7">
        <v>5.25321424E8</v>
      </c>
      <c r="B647" s="12">
        <v>41998.0</v>
      </c>
      <c r="C647" s="7">
        <f t="shared" si="1"/>
        <v>2014</v>
      </c>
      <c r="D647" s="14" t="str">
        <f t="shared" si="2"/>
        <v>12 - Dec</v>
      </c>
      <c r="E647" s="15" t="str">
        <f t="shared" si="3"/>
        <v>Thu</v>
      </c>
      <c r="F647" s="15">
        <f t="shared" si="4"/>
        <v>4</v>
      </c>
      <c r="G647" s="16">
        <v>42004.0</v>
      </c>
      <c r="H647" s="14">
        <f t="shared" si="5"/>
        <v>6</v>
      </c>
      <c r="I647" s="7" t="s">
        <v>399</v>
      </c>
      <c r="J647" s="7" t="s">
        <v>365</v>
      </c>
      <c r="K647" s="7" t="str">
        <f>VLOOKUP(J647,countries,2,false)</f>
        <v>Montenegro</v>
      </c>
      <c r="L647" s="7" t="str">
        <f>VLOOKUP($J647,countries,5,false)</f>
        <v>Europe</v>
      </c>
      <c r="M647" s="7" t="str">
        <f>VLOOKUP($J647,countries,6,false)</f>
        <v>Southern Europe</v>
      </c>
      <c r="N647" s="7">
        <v>7940.0</v>
      </c>
      <c r="O647" s="7" t="str">
        <f>VLOOKUP(N647, products, 2, FALSE)</f>
        <v>Household</v>
      </c>
      <c r="P647" s="7" t="s">
        <v>264</v>
      </c>
      <c r="Q647" s="7">
        <v>3138.0</v>
      </c>
      <c r="R647" s="17">
        <v>668.27</v>
      </c>
      <c r="S647" s="17">
        <v>502.54</v>
      </c>
      <c r="U647" s="18">
        <f t="shared" si="6"/>
        <v>2097031.26</v>
      </c>
      <c r="V647" s="18">
        <f t="shared" si="7"/>
        <v>1576970.52</v>
      </c>
      <c r="W647" s="19">
        <f t="shared" si="8"/>
        <v>520060.74</v>
      </c>
    </row>
    <row r="648">
      <c r="A648" s="7">
        <v>5.25472486E8</v>
      </c>
      <c r="B648" s="12">
        <v>42329.0</v>
      </c>
      <c r="C648" s="7">
        <f t="shared" si="1"/>
        <v>2015</v>
      </c>
      <c r="D648" s="14" t="str">
        <f t="shared" si="2"/>
        <v>11 - Nov</v>
      </c>
      <c r="E648" s="15" t="str">
        <f t="shared" si="3"/>
        <v>Sat</v>
      </c>
      <c r="F648" s="15">
        <f t="shared" si="4"/>
        <v>6</v>
      </c>
      <c r="G648" s="16">
        <v>42331.0</v>
      </c>
      <c r="H648" s="14">
        <f t="shared" si="5"/>
        <v>2</v>
      </c>
      <c r="I648" s="7" t="s">
        <v>232</v>
      </c>
      <c r="J648" s="7" t="s">
        <v>570</v>
      </c>
      <c r="K648" s="7" t="str">
        <f>VLOOKUP(J648,countries,2,false)</f>
        <v>Macedonia</v>
      </c>
      <c r="L648" s="7" t="str">
        <f>VLOOKUP($J648,countries,5,false)</f>
        <v>Europe</v>
      </c>
      <c r="M648" s="7" t="str">
        <f>VLOOKUP($J648,countries,6,false)</f>
        <v>Southern Europe</v>
      </c>
      <c r="N648" s="7">
        <v>7331.0</v>
      </c>
      <c r="O648" s="7" t="str">
        <f>VLOOKUP(N648, products, 2, FALSE)</f>
        <v>Baby Food</v>
      </c>
      <c r="P648" s="7" t="s">
        <v>264</v>
      </c>
      <c r="Q648" s="7">
        <v>7840.0</v>
      </c>
      <c r="R648" s="17">
        <v>255.28</v>
      </c>
      <c r="S648" s="17">
        <v>159.42</v>
      </c>
      <c r="U648" s="18">
        <f t="shared" si="6"/>
        <v>2001395.2</v>
      </c>
      <c r="V648" s="18">
        <f t="shared" si="7"/>
        <v>1249852.8</v>
      </c>
      <c r="W648" s="19">
        <f t="shared" si="8"/>
        <v>751542.4</v>
      </c>
    </row>
    <row r="649">
      <c r="A649" s="7">
        <v>5.25749719E8</v>
      </c>
      <c r="B649" s="12">
        <v>41161.0</v>
      </c>
      <c r="C649" s="7">
        <f t="shared" si="1"/>
        <v>2012</v>
      </c>
      <c r="D649" s="14" t="str">
        <f t="shared" si="2"/>
        <v>09 - Sep</v>
      </c>
      <c r="E649" s="15" t="str">
        <f t="shared" si="3"/>
        <v>Sun</v>
      </c>
      <c r="F649" s="15">
        <f t="shared" si="4"/>
        <v>7</v>
      </c>
      <c r="G649" s="16">
        <v>41204.0</v>
      </c>
      <c r="H649" s="14">
        <f t="shared" si="5"/>
        <v>43</v>
      </c>
      <c r="I649" s="7" t="s">
        <v>364</v>
      </c>
      <c r="J649" s="7" t="s">
        <v>120</v>
      </c>
      <c r="K649" s="7" t="str">
        <f>VLOOKUP(J649,countries,2,false)</f>
        <v>Belarus</v>
      </c>
      <c r="L649" s="7" t="str">
        <f>VLOOKUP($J649,countries,5,false)</f>
        <v>Europe</v>
      </c>
      <c r="M649" s="7" t="str">
        <f>VLOOKUP($J649,countries,6,false)</f>
        <v>Eastern Europe</v>
      </c>
      <c r="N649" s="7">
        <v>8969.0</v>
      </c>
      <c r="O649" s="7" t="str">
        <f>VLOOKUP(N649, products, 2, FALSE)</f>
        <v>Snacks</v>
      </c>
      <c r="P649" s="7" t="s">
        <v>264</v>
      </c>
      <c r="Q649" s="7">
        <v>9880.0</v>
      </c>
      <c r="R649" s="17">
        <v>152.58</v>
      </c>
      <c r="S649" s="17">
        <v>97.44</v>
      </c>
      <c r="U649" s="18">
        <f t="shared" si="6"/>
        <v>1507490.4</v>
      </c>
      <c r="V649" s="18">
        <f t="shared" si="7"/>
        <v>962707.2</v>
      </c>
      <c r="W649" s="19">
        <f t="shared" si="8"/>
        <v>544783.2</v>
      </c>
    </row>
    <row r="650">
      <c r="A650" s="7">
        <v>5.26018369E8</v>
      </c>
      <c r="B650" s="12">
        <v>40697.0</v>
      </c>
      <c r="C650" s="7">
        <f t="shared" si="1"/>
        <v>2011</v>
      </c>
      <c r="D650" s="14" t="str">
        <f t="shared" si="2"/>
        <v>06 - Jun</v>
      </c>
      <c r="E650" s="15" t="str">
        <f t="shared" si="3"/>
        <v>Fri</v>
      </c>
      <c r="F650" s="15">
        <f t="shared" si="4"/>
        <v>5</v>
      </c>
      <c r="G650" s="16">
        <v>40715.0</v>
      </c>
      <c r="H650" s="14">
        <f t="shared" si="5"/>
        <v>18</v>
      </c>
      <c r="I650" s="7" t="s">
        <v>232</v>
      </c>
      <c r="J650" s="7" t="s">
        <v>348</v>
      </c>
      <c r="K650" s="7" t="s">
        <v>348</v>
      </c>
      <c r="L650" s="7" t="s">
        <v>348</v>
      </c>
      <c r="M650" s="7" t="s">
        <v>348</v>
      </c>
      <c r="N650" s="7">
        <v>8293.0</v>
      </c>
      <c r="O650" s="7" t="str">
        <f>VLOOKUP(N650, products, 2, FALSE)</f>
        <v>Cosmetics</v>
      </c>
      <c r="P650" s="7" t="s">
        <v>264</v>
      </c>
      <c r="Q650" s="7">
        <v>9379.0</v>
      </c>
      <c r="R650" s="17">
        <v>437.2</v>
      </c>
      <c r="S650" s="17">
        <v>263.33</v>
      </c>
      <c r="U650" s="18">
        <f t="shared" si="6"/>
        <v>4100498.8</v>
      </c>
      <c r="V650" s="18">
        <f t="shared" si="7"/>
        <v>2469772.07</v>
      </c>
      <c r="W650" s="19">
        <f t="shared" si="8"/>
        <v>1630726.73</v>
      </c>
    </row>
    <row r="651">
      <c r="A651" s="7">
        <v>5.26350104E8</v>
      </c>
      <c r="B651" s="12">
        <v>40866.0</v>
      </c>
      <c r="C651" s="7">
        <f t="shared" si="1"/>
        <v>2011</v>
      </c>
      <c r="D651" s="14" t="str">
        <f t="shared" si="2"/>
        <v>11 - Nov</v>
      </c>
      <c r="E651" s="15" t="str">
        <f t="shared" si="3"/>
        <v>Sat</v>
      </c>
      <c r="F651" s="15">
        <f t="shared" si="4"/>
        <v>6</v>
      </c>
      <c r="G651" s="16">
        <v>40881.0</v>
      </c>
      <c r="H651" s="14">
        <f t="shared" si="5"/>
        <v>15</v>
      </c>
      <c r="I651" s="7" t="s">
        <v>232</v>
      </c>
      <c r="J651" s="7" t="s">
        <v>365</v>
      </c>
      <c r="K651" s="7" t="str">
        <f>VLOOKUP(J651,countries,2,false)</f>
        <v>Montenegro</v>
      </c>
      <c r="L651" s="7" t="str">
        <f>VLOOKUP($J651,countries,5,false)</f>
        <v>Europe</v>
      </c>
      <c r="M651" s="7" t="str">
        <f>VLOOKUP($J651,countries,6,false)</f>
        <v>Southern Europe</v>
      </c>
      <c r="N651" s="7">
        <v>2455.0</v>
      </c>
      <c r="O651" s="7" t="str">
        <f>VLOOKUP(N651, products, 2, FALSE)</f>
        <v>Clothes</v>
      </c>
      <c r="P651" s="7" t="s">
        <v>334</v>
      </c>
      <c r="Q651" s="7">
        <v>7547.0</v>
      </c>
      <c r="R651" s="17">
        <v>109.28</v>
      </c>
      <c r="S651" s="17">
        <v>35.84</v>
      </c>
      <c r="U651" s="18">
        <f t="shared" si="6"/>
        <v>824736.16</v>
      </c>
      <c r="V651" s="18">
        <f t="shared" si="7"/>
        <v>270484.48</v>
      </c>
      <c r="W651" s="19">
        <f t="shared" si="8"/>
        <v>554251.68</v>
      </c>
    </row>
    <row r="652">
      <c r="A652" s="7">
        <v>5.26533353E8</v>
      </c>
      <c r="B652" s="12">
        <v>42706.0</v>
      </c>
      <c r="C652" s="7">
        <f t="shared" si="1"/>
        <v>2016</v>
      </c>
      <c r="D652" s="14" t="str">
        <f t="shared" si="2"/>
        <v>12 - Dec</v>
      </c>
      <c r="E652" s="15" t="str">
        <f t="shared" si="3"/>
        <v>Fri</v>
      </c>
      <c r="F652" s="15">
        <f t="shared" si="4"/>
        <v>5</v>
      </c>
      <c r="G652" s="16">
        <v>42747.0</v>
      </c>
      <c r="H652" s="14">
        <f t="shared" si="5"/>
        <v>41</v>
      </c>
      <c r="I652" s="7" t="s">
        <v>232</v>
      </c>
      <c r="J652" s="7" t="s">
        <v>316</v>
      </c>
      <c r="K652" s="7" t="str">
        <f>VLOOKUP(J652,countries,2,false)</f>
        <v>Georgia</v>
      </c>
      <c r="L652" s="7" t="str">
        <f>VLOOKUP($J652,countries,5,false)</f>
        <v>Asia</v>
      </c>
      <c r="M652" s="7" t="str">
        <f>VLOOKUP($J652,countries,6,false)</f>
        <v>Western Asia</v>
      </c>
      <c r="N652" s="7">
        <v>4594.0</v>
      </c>
      <c r="O652" s="7" t="str">
        <f>VLOOKUP(N652, products, 2, FALSE)</f>
        <v>Fruits</v>
      </c>
      <c r="P652" s="7" t="s">
        <v>264</v>
      </c>
      <c r="Q652" s="7">
        <v>1775.0</v>
      </c>
      <c r="R652" s="17">
        <v>9.33</v>
      </c>
      <c r="S652" s="17">
        <v>6.92</v>
      </c>
      <c r="U652" s="18">
        <f t="shared" si="6"/>
        <v>16560.75</v>
      </c>
      <c r="V652" s="18">
        <f t="shared" si="7"/>
        <v>12283</v>
      </c>
      <c r="W652" s="19">
        <f t="shared" si="8"/>
        <v>4277.75</v>
      </c>
    </row>
    <row r="653">
      <c r="A653" s="7">
        <v>5.27079236E8</v>
      </c>
      <c r="B653" s="12">
        <v>41074.0</v>
      </c>
      <c r="C653" s="7">
        <f t="shared" si="1"/>
        <v>2012</v>
      </c>
      <c r="D653" s="14" t="str">
        <f t="shared" si="2"/>
        <v>06 - Jun</v>
      </c>
      <c r="E653" s="15" t="str">
        <f t="shared" si="3"/>
        <v>Thu</v>
      </c>
      <c r="F653" s="15">
        <f t="shared" si="4"/>
        <v>4</v>
      </c>
      <c r="G653" s="16">
        <v>41080.0</v>
      </c>
      <c r="H653" s="14">
        <f t="shared" si="5"/>
        <v>6</v>
      </c>
      <c r="I653" s="7" t="s">
        <v>232</v>
      </c>
      <c r="J653" s="7" t="s">
        <v>243</v>
      </c>
      <c r="K653" s="7" t="str">
        <f>VLOOKUP(J653,countries,2,false)</f>
        <v>Czech Republic</v>
      </c>
      <c r="L653" s="7" t="str">
        <f>VLOOKUP($J653,countries,5,false)</f>
        <v>Europe</v>
      </c>
      <c r="M653" s="7" t="str">
        <f>VLOOKUP($J653,countries,6,false)</f>
        <v>Eastern Europe</v>
      </c>
      <c r="N653" s="7">
        <v>5988.0</v>
      </c>
      <c r="O653" s="7" t="str">
        <f>VLOOKUP(N653, products, 2, FALSE)</f>
        <v>Vegetables</v>
      </c>
      <c r="P653" s="7" t="s">
        <v>264</v>
      </c>
      <c r="Q653" s="7">
        <v>3314.0</v>
      </c>
      <c r="R653" s="17">
        <v>154.06</v>
      </c>
      <c r="S653" s="17">
        <v>90.93</v>
      </c>
      <c r="U653" s="18">
        <f t="shared" si="6"/>
        <v>510554.84</v>
      </c>
      <c r="V653" s="18">
        <f t="shared" si="7"/>
        <v>301342.02</v>
      </c>
      <c r="W653" s="19">
        <f t="shared" si="8"/>
        <v>209212.82</v>
      </c>
    </row>
    <row r="654">
      <c r="A654" s="7">
        <v>5.2725991E8</v>
      </c>
      <c r="B654" s="12">
        <v>40912.0</v>
      </c>
      <c r="C654" s="7">
        <f t="shared" si="1"/>
        <v>2012</v>
      </c>
      <c r="D654" s="14" t="str">
        <f t="shared" si="2"/>
        <v>01 - Jan</v>
      </c>
      <c r="E654" s="15" t="str">
        <f t="shared" si="3"/>
        <v>Wed</v>
      </c>
      <c r="F654" s="15">
        <f t="shared" si="4"/>
        <v>3</v>
      </c>
      <c r="G654" s="16">
        <v>40919.0</v>
      </c>
      <c r="H654" s="14">
        <f t="shared" si="5"/>
        <v>7</v>
      </c>
      <c r="I654" s="7" t="s">
        <v>399</v>
      </c>
      <c r="J654" s="7" t="s">
        <v>462</v>
      </c>
      <c r="K654" s="7" t="str">
        <f>VLOOKUP(J654,countries,2,false)</f>
        <v>Liechtenstein</v>
      </c>
      <c r="L654" s="7" t="str">
        <f>VLOOKUP($J654,countries,5,false)</f>
        <v>Europe</v>
      </c>
      <c r="M654" s="7" t="str">
        <f>VLOOKUP($J654,countries,6,false)</f>
        <v>Western Europe</v>
      </c>
      <c r="N654" s="7">
        <v>3127.0</v>
      </c>
      <c r="O654" s="7" t="str">
        <f>VLOOKUP(N654, products, 2, FALSE)</f>
        <v>Personal Care</v>
      </c>
      <c r="P654" s="7" t="s">
        <v>264</v>
      </c>
      <c r="Q654" s="7">
        <v>6779.0</v>
      </c>
      <c r="R654" s="17">
        <v>81.73</v>
      </c>
      <c r="S654" s="17">
        <v>56.67</v>
      </c>
      <c r="U654" s="18">
        <f t="shared" si="6"/>
        <v>554047.67</v>
      </c>
      <c r="V654" s="18">
        <f t="shared" si="7"/>
        <v>384165.93</v>
      </c>
      <c r="W654" s="19">
        <f t="shared" si="8"/>
        <v>169881.74</v>
      </c>
    </row>
    <row r="655">
      <c r="A655" s="7">
        <v>5.27509677E8</v>
      </c>
      <c r="B655" s="12">
        <v>41444.0</v>
      </c>
      <c r="C655" s="7">
        <f t="shared" si="1"/>
        <v>2013</v>
      </c>
      <c r="D655" s="14" t="str">
        <f t="shared" si="2"/>
        <v>06 - Jun</v>
      </c>
      <c r="E655" s="15" t="str">
        <f t="shared" si="3"/>
        <v>Wed</v>
      </c>
      <c r="F655" s="15">
        <f t="shared" si="4"/>
        <v>3</v>
      </c>
      <c r="G655" s="16">
        <v>41465.0</v>
      </c>
      <c r="H655" s="14">
        <f t="shared" si="5"/>
        <v>21</v>
      </c>
      <c r="I655" s="7" t="s">
        <v>305</v>
      </c>
      <c r="J655" s="7" t="s">
        <v>381</v>
      </c>
      <c r="K655" s="7" t="str">
        <f>VLOOKUP(J655,countries,2,false)</f>
        <v>Iceland</v>
      </c>
      <c r="L655" s="7" t="str">
        <f>VLOOKUP($J655,countries,5,false)</f>
        <v>Europe</v>
      </c>
      <c r="M655" s="7" t="str">
        <f>VLOOKUP($J655,countries,6,false)</f>
        <v>Northern Europe</v>
      </c>
      <c r="N655" s="7">
        <v>8681.0</v>
      </c>
      <c r="O655" s="7" t="str">
        <f>VLOOKUP(N655, products, 2, FALSE)</f>
        <v>Office Supplies</v>
      </c>
      <c r="P655" s="7" t="s">
        <v>264</v>
      </c>
      <c r="Q655" s="7">
        <v>691.0</v>
      </c>
      <c r="R655" s="17">
        <v>651.21</v>
      </c>
      <c r="S655" s="17">
        <v>524.96</v>
      </c>
      <c r="U655" s="18">
        <f t="shared" si="6"/>
        <v>449986.11</v>
      </c>
      <c r="V655" s="18">
        <f t="shared" si="7"/>
        <v>362747.36</v>
      </c>
      <c r="W655" s="19">
        <f t="shared" si="8"/>
        <v>87238.75</v>
      </c>
    </row>
    <row r="656">
      <c r="A656" s="7">
        <v>5.30262696E8</v>
      </c>
      <c r="B656" s="12">
        <v>41028.0</v>
      </c>
      <c r="C656" s="7">
        <f t="shared" si="1"/>
        <v>2012</v>
      </c>
      <c r="D656" s="14" t="str">
        <f t="shared" si="2"/>
        <v>04 - Apr</v>
      </c>
      <c r="E656" s="15" t="str">
        <f t="shared" si="3"/>
        <v>Sun</v>
      </c>
      <c r="F656" s="15">
        <f t="shared" si="4"/>
        <v>7</v>
      </c>
      <c r="G656" s="16">
        <v>41040.0</v>
      </c>
      <c r="H656" s="14">
        <f t="shared" si="5"/>
        <v>12</v>
      </c>
      <c r="I656" s="7" t="s">
        <v>305</v>
      </c>
      <c r="J656" s="7" t="s">
        <v>465</v>
      </c>
      <c r="K656" s="7" t="str">
        <f>VLOOKUP(J656,countries,2,false)</f>
        <v>Lithuania</v>
      </c>
      <c r="L656" s="7" t="str">
        <f>VLOOKUP($J656,countries,5,false)</f>
        <v>Europe</v>
      </c>
      <c r="M656" s="7" t="str">
        <f>VLOOKUP($J656,countries,6,false)</f>
        <v>Northern Europe</v>
      </c>
      <c r="N656" s="7">
        <v>2455.0</v>
      </c>
      <c r="O656" s="7" t="str">
        <f>VLOOKUP(N656, products, 2, FALSE)</f>
        <v>Clothes</v>
      </c>
      <c r="P656" s="7" t="s">
        <v>334</v>
      </c>
      <c r="Q656" s="7">
        <v>5370.0</v>
      </c>
      <c r="R656" s="17">
        <v>109.28</v>
      </c>
      <c r="S656" s="17">
        <v>35.84</v>
      </c>
      <c r="U656" s="18">
        <f t="shared" si="6"/>
        <v>586833.6</v>
      </c>
      <c r="V656" s="18">
        <f t="shared" si="7"/>
        <v>192460.8</v>
      </c>
      <c r="W656" s="19">
        <f t="shared" si="8"/>
        <v>394372.8</v>
      </c>
    </row>
    <row r="657">
      <c r="A657" s="7">
        <v>5.30702579E8</v>
      </c>
      <c r="B657" s="12">
        <v>42284.0</v>
      </c>
      <c r="C657" s="7">
        <f t="shared" si="1"/>
        <v>2015</v>
      </c>
      <c r="D657" s="14" t="str">
        <f t="shared" si="2"/>
        <v>10 - Oct</v>
      </c>
      <c r="E657" s="15" t="str">
        <f t="shared" si="3"/>
        <v>Wed</v>
      </c>
      <c r="F657" s="15">
        <f t="shared" si="4"/>
        <v>3</v>
      </c>
      <c r="G657" s="16">
        <v>42317.0</v>
      </c>
      <c r="H657" s="14">
        <f t="shared" si="5"/>
        <v>33</v>
      </c>
      <c r="I657" s="7" t="s">
        <v>232</v>
      </c>
      <c r="J657" s="7" t="s">
        <v>681</v>
      </c>
      <c r="K657" s="7" t="str">
        <f>VLOOKUP(J657,countries,2,false)</f>
        <v>United Kingdom</v>
      </c>
      <c r="L657" s="7" t="str">
        <f>VLOOKUP($J657,countries,5,false)</f>
        <v>Europe</v>
      </c>
      <c r="M657" s="7" t="str">
        <f>VLOOKUP($J657,countries,6,false)</f>
        <v>Northern Europe</v>
      </c>
      <c r="N657" s="7">
        <v>7331.0</v>
      </c>
      <c r="O657" s="7" t="str">
        <f>VLOOKUP(N657, products, 2, FALSE)</f>
        <v>Baby Food</v>
      </c>
      <c r="P657" s="7" t="s">
        <v>334</v>
      </c>
      <c r="Q657" s="7">
        <v>5541.0</v>
      </c>
      <c r="R657" s="17">
        <v>255.28</v>
      </c>
      <c r="S657" s="17">
        <v>159.42</v>
      </c>
      <c r="U657" s="18">
        <f t="shared" si="6"/>
        <v>1414506.48</v>
      </c>
      <c r="V657" s="18">
        <f t="shared" si="7"/>
        <v>883346.22</v>
      </c>
      <c r="W657" s="19">
        <f t="shared" si="8"/>
        <v>531160.26</v>
      </c>
    </row>
    <row r="658">
      <c r="A658" s="7">
        <v>5.30882394E8</v>
      </c>
      <c r="B658" s="12">
        <v>40533.0</v>
      </c>
      <c r="C658" s="7">
        <f t="shared" si="1"/>
        <v>2010</v>
      </c>
      <c r="D658" s="14" t="str">
        <f t="shared" si="2"/>
        <v>12 - Dec</v>
      </c>
      <c r="E658" s="15" t="str">
        <f t="shared" si="3"/>
        <v>Tue</v>
      </c>
      <c r="F658" s="15">
        <f t="shared" si="4"/>
        <v>2</v>
      </c>
      <c r="G658" s="16">
        <v>40576.0</v>
      </c>
      <c r="H658" s="14">
        <f t="shared" si="5"/>
        <v>43</v>
      </c>
      <c r="I658" s="7" t="s">
        <v>232</v>
      </c>
      <c r="J658" s="7" t="s">
        <v>229</v>
      </c>
      <c r="K658" s="7" t="str">
        <f>VLOOKUP(J658,countries,2,false)</f>
        <v>Croatia</v>
      </c>
      <c r="L658" s="7" t="str">
        <f>VLOOKUP($J658,countries,5,false)</f>
        <v>Europe</v>
      </c>
      <c r="M658" s="7" t="str">
        <f>VLOOKUP($J658,countries,6,false)</f>
        <v>Southern Europe</v>
      </c>
      <c r="N658" s="7">
        <v>8875.0</v>
      </c>
      <c r="O658" s="7" t="str">
        <f>VLOOKUP(N658, products, 2, FALSE)</f>
        <v>Meat</v>
      </c>
      <c r="P658" s="7" t="s">
        <v>264</v>
      </c>
      <c r="Q658" s="7">
        <v>8753.0</v>
      </c>
      <c r="R658" s="17">
        <v>421.89</v>
      </c>
      <c r="S658" s="17">
        <v>364.69</v>
      </c>
      <c r="U658" s="18">
        <f t="shared" si="6"/>
        <v>3692803.17</v>
      </c>
      <c r="V658" s="18">
        <f t="shared" si="7"/>
        <v>3192131.57</v>
      </c>
      <c r="W658" s="19">
        <f t="shared" si="8"/>
        <v>500671.6</v>
      </c>
    </row>
    <row r="659">
      <c r="A659" s="7">
        <v>5.31281936E8</v>
      </c>
      <c r="B659" s="12">
        <v>41778.0</v>
      </c>
      <c r="C659" s="7">
        <f t="shared" si="1"/>
        <v>2014</v>
      </c>
      <c r="D659" s="14" t="str">
        <f t="shared" si="2"/>
        <v>05 - May</v>
      </c>
      <c r="E659" s="15" t="str">
        <f t="shared" si="3"/>
        <v>Mon</v>
      </c>
      <c r="F659" s="15">
        <f t="shared" si="4"/>
        <v>1</v>
      </c>
      <c r="G659" s="16">
        <v>41793.0</v>
      </c>
      <c r="H659" s="14">
        <f t="shared" si="5"/>
        <v>15</v>
      </c>
      <c r="I659" s="7" t="s">
        <v>305</v>
      </c>
      <c r="J659" s="7" t="s">
        <v>296</v>
      </c>
      <c r="K659" s="7" t="str">
        <f>VLOOKUP(J659,countries,2,false)</f>
        <v>France</v>
      </c>
      <c r="L659" s="7" t="str">
        <f>VLOOKUP($J659,countries,5,false)</f>
        <v>Europe</v>
      </c>
      <c r="M659" s="7" t="str">
        <f>VLOOKUP($J659,countries,6,false)</f>
        <v>Western Europe</v>
      </c>
      <c r="N659" s="7">
        <v>8875.0</v>
      </c>
      <c r="O659" s="7" t="str">
        <f>VLOOKUP(N659, products, 2, FALSE)</f>
        <v>Meat</v>
      </c>
      <c r="P659" s="7" t="s">
        <v>264</v>
      </c>
      <c r="Q659" s="7">
        <v>6986.0</v>
      </c>
      <c r="R659" s="17">
        <v>421.89</v>
      </c>
      <c r="S659" s="17">
        <v>364.69</v>
      </c>
      <c r="U659" s="18">
        <f t="shared" si="6"/>
        <v>2947323.54</v>
      </c>
      <c r="V659" s="18">
        <f t="shared" si="7"/>
        <v>2547724.34</v>
      </c>
      <c r="W659" s="19">
        <f t="shared" si="8"/>
        <v>399599.2</v>
      </c>
    </row>
    <row r="660">
      <c r="A660" s="7">
        <v>5.33314406E8</v>
      </c>
      <c r="B660" s="12">
        <v>40450.0</v>
      </c>
      <c r="C660" s="7">
        <f t="shared" si="1"/>
        <v>2010</v>
      </c>
      <c r="D660" s="14" t="str">
        <f t="shared" si="2"/>
        <v>09 - Sep</v>
      </c>
      <c r="E660" s="15" t="str">
        <f t="shared" si="3"/>
        <v>Wed</v>
      </c>
      <c r="F660" s="15">
        <f t="shared" si="4"/>
        <v>3</v>
      </c>
      <c r="G660" s="16">
        <v>40480.0</v>
      </c>
      <c r="H660" s="14">
        <f t="shared" si="5"/>
        <v>30</v>
      </c>
      <c r="I660" s="7" t="s">
        <v>305</v>
      </c>
      <c r="J660" s="7" t="s">
        <v>67</v>
      </c>
      <c r="K660" s="7" t="str">
        <f>VLOOKUP(J660,countries,2,false)</f>
        <v>Andorra</v>
      </c>
      <c r="L660" s="7" t="str">
        <f>VLOOKUP($J660,countries,5,false)</f>
        <v>Europe</v>
      </c>
      <c r="M660" s="7" t="str">
        <f>VLOOKUP($J660,countries,6,false)</f>
        <v>Southern Europe</v>
      </c>
      <c r="N660" s="7">
        <v>7940.0</v>
      </c>
      <c r="O660" s="7" t="str">
        <f>VLOOKUP(N660, products, 2, FALSE)</f>
        <v>Household</v>
      </c>
      <c r="P660" s="7" t="s">
        <v>264</v>
      </c>
      <c r="Q660" s="7">
        <v>8439.0</v>
      </c>
      <c r="R660" s="17">
        <v>668.27</v>
      </c>
      <c r="S660" s="17">
        <v>502.54</v>
      </c>
      <c r="U660" s="18">
        <f t="shared" si="6"/>
        <v>5639530.53</v>
      </c>
      <c r="V660" s="18">
        <f t="shared" si="7"/>
        <v>4240935.06</v>
      </c>
      <c r="W660" s="19">
        <f t="shared" si="8"/>
        <v>1398595.47</v>
      </c>
    </row>
    <row r="661">
      <c r="A661" s="7">
        <v>5.33597218E8</v>
      </c>
      <c r="B661" s="12">
        <v>41314.0</v>
      </c>
      <c r="C661" s="7">
        <f t="shared" si="1"/>
        <v>2013</v>
      </c>
      <c r="D661" s="14" t="str">
        <f t="shared" si="2"/>
        <v>02 - Feb</v>
      </c>
      <c r="E661" s="15" t="str">
        <f t="shared" si="3"/>
        <v>Sat</v>
      </c>
      <c r="F661" s="15">
        <f t="shared" si="4"/>
        <v>6</v>
      </c>
      <c r="G661" s="16">
        <v>41329.0</v>
      </c>
      <c r="H661" s="14">
        <f t="shared" si="5"/>
        <v>15</v>
      </c>
      <c r="I661" s="7" t="s">
        <v>232</v>
      </c>
      <c r="J661" s="7" t="s">
        <v>611</v>
      </c>
      <c r="K661" s="7" t="str">
        <f>VLOOKUP(J661,countries,2,false)</f>
        <v>Portugal</v>
      </c>
      <c r="L661" s="7" t="str">
        <f>VLOOKUP($J661,countries,5,false)</f>
        <v>Europe</v>
      </c>
      <c r="M661" s="7" t="str">
        <f>VLOOKUP($J661,countries,6,false)</f>
        <v>Southern Europe</v>
      </c>
      <c r="N661" s="7">
        <v>8681.0</v>
      </c>
      <c r="O661" s="7" t="str">
        <f>VLOOKUP(N661, products, 2, FALSE)</f>
        <v>Office Supplies</v>
      </c>
      <c r="P661" s="7" t="s">
        <v>264</v>
      </c>
      <c r="Q661" s="7">
        <v>2130.0</v>
      </c>
      <c r="R661" s="17">
        <v>651.21</v>
      </c>
      <c r="S661" s="17">
        <v>524.96</v>
      </c>
      <c r="U661" s="18">
        <f t="shared" si="6"/>
        <v>1387077.3</v>
      </c>
      <c r="V661" s="18">
        <f t="shared" si="7"/>
        <v>1118164.8</v>
      </c>
      <c r="W661" s="19">
        <f t="shared" si="8"/>
        <v>268912.5</v>
      </c>
    </row>
    <row r="662">
      <c r="A662" s="7">
        <v>5.34641349E8</v>
      </c>
      <c r="B662" s="12">
        <v>41128.0</v>
      </c>
      <c r="C662" s="7">
        <f t="shared" si="1"/>
        <v>2012</v>
      </c>
      <c r="D662" s="14" t="str">
        <f t="shared" si="2"/>
        <v>08 - Aug</v>
      </c>
      <c r="E662" s="15" t="str">
        <f t="shared" si="3"/>
        <v>Tue</v>
      </c>
      <c r="F662" s="15">
        <f t="shared" si="4"/>
        <v>2</v>
      </c>
      <c r="G662" s="16">
        <v>41148.0</v>
      </c>
      <c r="H662" s="14">
        <f t="shared" si="5"/>
        <v>20</v>
      </c>
      <c r="I662" s="7" t="s">
        <v>364</v>
      </c>
      <c r="J662" s="7" t="s">
        <v>626</v>
      </c>
      <c r="K662" s="7" t="str">
        <f>VLOOKUP(J662,countries,2,false)</f>
        <v>Russia</v>
      </c>
      <c r="L662" s="7" t="str">
        <f>VLOOKUP($J662,countries,5,false)</f>
        <v>Europe</v>
      </c>
      <c r="M662" s="7" t="str">
        <f>VLOOKUP($J662,countries,6,false)</f>
        <v>Eastern Europe</v>
      </c>
      <c r="N662" s="7">
        <v>1270.0</v>
      </c>
      <c r="O662" s="7" t="str">
        <f>VLOOKUP(N662, products, 2, FALSE)</f>
        <v>Beverages</v>
      </c>
      <c r="P662" s="7" t="s">
        <v>334</v>
      </c>
      <c r="Q662" s="7">
        <v>1111.0</v>
      </c>
      <c r="R662" s="17">
        <v>47.45</v>
      </c>
      <c r="S662" s="17">
        <v>31.79</v>
      </c>
      <c r="U662" s="18">
        <f t="shared" si="6"/>
        <v>52716.95</v>
      </c>
      <c r="V662" s="18">
        <f t="shared" si="7"/>
        <v>35318.69</v>
      </c>
      <c r="W662" s="19">
        <f t="shared" si="8"/>
        <v>17398.26</v>
      </c>
    </row>
    <row r="663">
      <c r="A663" s="7">
        <v>5.34709155E8</v>
      </c>
      <c r="B663" s="12">
        <v>42204.0</v>
      </c>
      <c r="C663" s="7">
        <f t="shared" si="1"/>
        <v>2015</v>
      </c>
      <c r="D663" s="14" t="str">
        <f t="shared" si="2"/>
        <v>07 - Jul</v>
      </c>
      <c r="E663" s="15" t="str">
        <f t="shared" si="3"/>
        <v>Sun</v>
      </c>
      <c r="F663" s="15">
        <f t="shared" si="4"/>
        <v>7</v>
      </c>
      <c r="G663" s="16">
        <v>42249.0</v>
      </c>
      <c r="H663" s="14">
        <f t="shared" si="5"/>
        <v>45</v>
      </c>
      <c r="I663" s="7" t="s">
        <v>399</v>
      </c>
      <c r="J663" s="7" t="s">
        <v>608</v>
      </c>
      <c r="K663" s="7" t="str">
        <f>VLOOKUP(J663,countries,2,false)</f>
        <v>Poland</v>
      </c>
      <c r="L663" s="7" t="str">
        <f>VLOOKUP($J663,countries,5,false)</f>
        <v>Europe</v>
      </c>
      <c r="M663" s="7" t="str">
        <f>VLOOKUP($J663,countries,6,false)</f>
        <v>Eastern Europe</v>
      </c>
      <c r="N663" s="7">
        <v>5988.0</v>
      </c>
      <c r="O663" s="7" t="str">
        <f>VLOOKUP(N663, products, 2, FALSE)</f>
        <v>Vegetables</v>
      </c>
      <c r="P663" s="7" t="s">
        <v>264</v>
      </c>
      <c r="Q663" s="7">
        <v>1176.0</v>
      </c>
      <c r="R663" s="17">
        <v>154.06</v>
      </c>
      <c r="S663" s="17">
        <v>90.93</v>
      </c>
      <c r="U663" s="18">
        <f t="shared" si="6"/>
        <v>181174.56</v>
      </c>
      <c r="V663" s="18">
        <f t="shared" si="7"/>
        <v>106933.68</v>
      </c>
      <c r="W663" s="19">
        <f t="shared" si="8"/>
        <v>74240.88</v>
      </c>
    </row>
    <row r="664">
      <c r="A664" s="7">
        <v>5.35740411E8</v>
      </c>
      <c r="B664" s="12">
        <v>40308.0</v>
      </c>
      <c r="C664" s="7">
        <f t="shared" si="1"/>
        <v>2010</v>
      </c>
      <c r="D664" s="14" t="str">
        <f t="shared" si="2"/>
        <v>05 - May</v>
      </c>
      <c r="E664" s="15" t="str">
        <f t="shared" si="3"/>
        <v>Mon</v>
      </c>
      <c r="F664" s="15">
        <f t="shared" si="4"/>
        <v>1</v>
      </c>
      <c r="G664" s="16">
        <v>40336.0</v>
      </c>
      <c r="H664" s="14">
        <f t="shared" si="5"/>
        <v>28</v>
      </c>
      <c r="I664" s="7" t="s">
        <v>232</v>
      </c>
      <c r="J664" s="7" t="s">
        <v>101</v>
      </c>
      <c r="K664" s="7" t="str">
        <f>VLOOKUP(J664,countries,2,false)</f>
        <v>Austria</v>
      </c>
      <c r="L664" s="7" t="str">
        <f>VLOOKUP($J664,countries,5,false)</f>
        <v>Europe</v>
      </c>
      <c r="M664" s="7" t="str">
        <f>VLOOKUP($J664,countries,6,false)</f>
        <v>Western Europe</v>
      </c>
      <c r="N664" s="7">
        <v>3127.0</v>
      </c>
      <c r="O664" s="7" t="str">
        <f>VLOOKUP(N664, products, 2, FALSE)</f>
        <v>Personal Care</v>
      </c>
      <c r="P664" s="7" t="s">
        <v>334</v>
      </c>
      <c r="Q664" s="7">
        <v>6348.0</v>
      </c>
      <c r="R664" s="17">
        <v>81.73</v>
      </c>
      <c r="S664" s="17">
        <v>56.67</v>
      </c>
      <c r="U664" s="18">
        <f t="shared" si="6"/>
        <v>518822.04</v>
      </c>
      <c r="V664" s="18">
        <f t="shared" si="7"/>
        <v>359741.16</v>
      </c>
      <c r="W664" s="19">
        <f t="shared" si="8"/>
        <v>159080.88</v>
      </c>
    </row>
    <row r="665">
      <c r="A665" s="7">
        <v>5.3609575E8</v>
      </c>
      <c r="B665" s="12">
        <v>42690.0</v>
      </c>
      <c r="C665" s="7">
        <f t="shared" si="1"/>
        <v>2016</v>
      </c>
      <c r="D665" s="14" t="str">
        <f t="shared" si="2"/>
        <v>11 - Nov</v>
      </c>
      <c r="E665" s="15" t="str">
        <f t="shared" si="3"/>
        <v>Wed</v>
      </c>
      <c r="F665" s="15">
        <f t="shared" si="4"/>
        <v>3</v>
      </c>
      <c r="G665" s="16">
        <v>42730.0</v>
      </c>
      <c r="H665" s="14">
        <f t="shared" si="5"/>
        <v>40</v>
      </c>
      <c r="I665" s="7" t="s">
        <v>305</v>
      </c>
      <c r="J665" s="7" t="s">
        <v>435</v>
      </c>
      <c r="K665" s="7" t="str">
        <f>VLOOKUP(J665,countries,2,false)</f>
        <v>Slovakia</v>
      </c>
      <c r="L665" s="7" t="str">
        <f>VLOOKUP($J665,countries,5,false)</f>
        <v>Europe</v>
      </c>
      <c r="M665" s="7" t="str">
        <f>VLOOKUP($J665,countries,6,false)</f>
        <v>Eastern Europe</v>
      </c>
      <c r="N665" s="7">
        <v>8969.0</v>
      </c>
      <c r="O665" s="7" t="str">
        <f>VLOOKUP(N665, products, 2, FALSE)</f>
        <v>Snacks</v>
      </c>
      <c r="P665" s="7" t="s">
        <v>334</v>
      </c>
      <c r="Q665" s="7">
        <v>1500.0</v>
      </c>
      <c r="R665" s="17">
        <v>152.58</v>
      </c>
      <c r="S665" s="17">
        <v>97.44</v>
      </c>
      <c r="U665" s="18">
        <f t="shared" si="6"/>
        <v>228870</v>
      </c>
      <c r="V665" s="18">
        <f t="shared" si="7"/>
        <v>146160</v>
      </c>
      <c r="W665" s="19">
        <f t="shared" si="8"/>
        <v>82710</v>
      </c>
    </row>
    <row r="666">
      <c r="A666" s="7">
        <v>5.38430345E8</v>
      </c>
      <c r="B666" s="12">
        <v>42025.0</v>
      </c>
      <c r="C666" s="7">
        <f t="shared" si="1"/>
        <v>2015</v>
      </c>
      <c r="D666" s="14" t="str">
        <f t="shared" si="2"/>
        <v>01 - Jan</v>
      </c>
      <c r="E666" s="15" t="str">
        <f t="shared" si="3"/>
        <v>Wed</v>
      </c>
      <c r="F666" s="15">
        <f t="shared" si="4"/>
        <v>3</v>
      </c>
      <c r="G666" s="16">
        <v>42073.0</v>
      </c>
      <c r="H666" s="14">
        <f t="shared" si="5"/>
        <v>48</v>
      </c>
      <c r="I666" s="7" t="s">
        <v>399</v>
      </c>
      <c r="J666" s="7" t="s">
        <v>378</v>
      </c>
      <c r="K666" s="7" t="str">
        <f>VLOOKUP(J666,countries,2,false)</f>
        <v>Hungary</v>
      </c>
      <c r="L666" s="7" t="str">
        <f>VLOOKUP($J666,countries,5,false)</f>
        <v>Europe</v>
      </c>
      <c r="M666" s="7" t="str">
        <f>VLOOKUP($J666,countries,6,false)</f>
        <v>Eastern Europe</v>
      </c>
      <c r="N666" s="7">
        <v>2455.0</v>
      </c>
      <c r="O666" s="7" t="str">
        <f>VLOOKUP(N666, products, 2, FALSE)</f>
        <v>Clothes</v>
      </c>
      <c r="P666" s="7" t="s">
        <v>334</v>
      </c>
      <c r="Q666" s="7">
        <v>2359.0</v>
      </c>
      <c r="R666" s="17">
        <v>109.28</v>
      </c>
      <c r="S666" s="17">
        <v>35.84</v>
      </c>
      <c r="U666" s="18">
        <f t="shared" si="6"/>
        <v>257791.52</v>
      </c>
      <c r="V666" s="18">
        <f t="shared" si="7"/>
        <v>84546.56</v>
      </c>
      <c r="W666" s="19">
        <f t="shared" si="8"/>
        <v>173244.96</v>
      </c>
    </row>
    <row r="667">
      <c r="A667" s="7">
        <v>5.39002406E8</v>
      </c>
      <c r="B667" s="12">
        <v>41841.0</v>
      </c>
      <c r="C667" s="7">
        <f t="shared" si="1"/>
        <v>2014</v>
      </c>
      <c r="D667" s="14" t="str">
        <f t="shared" si="2"/>
        <v>07 - Jul</v>
      </c>
      <c r="E667" s="15" t="str">
        <f t="shared" si="3"/>
        <v>Mon</v>
      </c>
      <c r="F667" s="15">
        <f t="shared" si="4"/>
        <v>1</v>
      </c>
      <c r="G667" s="16">
        <v>41843.0</v>
      </c>
      <c r="H667" s="14">
        <f t="shared" si="5"/>
        <v>2</v>
      </c>
      <c r="I667" s="7" t="s">
        <v>305</v>
      </c>
      <c r="J667" s="7" t="s">
        <v>246</v>
      </c>
      <c r="K667" s="7" t="str">
        <f>VLOOKUP(J667,countries,2,false)</f>
        <v>Denmark</v>
      </c>
      <c r="L667" s="7" t="str">
        <f>VLOOKUP($J667,countries,5,false)</f>
        <v>Europe</v>
      </c>
      <c r="M667" s="7" t="str">
        <f>VLOOKUP($J667,countries,6,false)</f>
        <v>Northern Europe</v>
      </c>
      <c r="N667" s="7">
        <v>2455.0</v>
      </c>
      <c r="O667" s="7" t="str">
        <f>VLOOKUP(N667, products, 2, FALSE)</f>
        <v>Clothes</v>
      </c>
      <c r="P667" s="7" t="s">
        <v>264</v>
      </c>
      <c r="Q667" s="7">
        <v>1645.0</v>
      </c>
      <c r="R667" s="17">
        <v>109.28</v>
      </c>
      <c r="S667" s="17">
        <v>35.84</v>
      </c>
      <c r="U667" s="18">
        <f t="shared" si="6"/>
        <v>179765.6</v>
      </c>
      <c r="V667" s="18">
        <f t="shared" si="7"/>
        <v>58956.8</v>
      </c>
      <c r="W667" s="19">
        <f t="shared" si="8"/>
        <v>120808.8</v>
      </c>
    </row>
    <row r="668">
      <c r="A668" s="7">
        <v>5.4098252E8</v>
      </c>
      <c r="B668" s="12">
        <v>40383.0</v>
      </c>
      <c r="C668" s="7">
        <f t="shared" si="1"/>
        <v>2010</v>
      </c>
      <c r="D668" s="14" t="str">
        <f t="shared" si="2"/>
        <v>07 - Jul</v>
      </c>
      <c r="E668" s="15" t="str">
        <f t="shared" si="3"/>
        <v>Sat</v>
      </c>
      <c r="F668" s="15">
        <f t="shared" si="4"/>
        <v>6</v>
      </c>
      <c r="G668" s="16">
        <v>40422.0</v>
      </c>
      <c r="H668" s="14">
        <f t="shared" si="5"/>
        <v>39</v>
      </c>
      <c r="I668" s="7" t="s">
        <v>364</v>
      </c>
      <c r="J668" s="7" t="s">
        <v>101</v>
      </c>
      <c r="K668" s="7" t="str">
        <f>VLOOKUP(J668,countries,2,false)</f>
        <v>Austria</v>
      </c>
      <c r="L668" s="7" t="str">
        <f>VLOOKUP($J668,countries,5,false)</f>
        <v>Europe</v>
      </c>
      <c r="M668" s="7" t="str">
        <f>VLOOKUP($J668,countries,6,false)</f>
        <v>Western Europe</v>
      </c>
      <c r="N668" s="7">
        <v>8293.0</v>
      </c>
      <c r="O668" s="7" t="str">
        <f>VLOOKUP(N668, products, 2, FALSE)</f>
        <v>Cosmetics</v>
      </c>
      <c r="P668" s="7" t="s">
        <v>334</v>
      </c>
      <c r="Q668" s="7">
        <v>7604.0</v>
      </c>
      <c r="R668" s="17">
        <v>437.2</v>
      </c>
      <c r="S668" s="17">
        <v>263.33</v>
      </c>
      <c r="U668" s="18">
        <f t="shared" si="6"/>
        <v>3324468.8</v>
      </c>
      <c r="V668" s="18">
        <f t="shared" si="7"/>
        <v>2002361.32</v>
      </c>
      <c r="W668" s="19">
        <f t="shared" si="8"/>
        <v>1322107.48</v>
      </c>
    </row>
    <row r="669">
      <c r="A669" s="7">
        <v>5.43322694E8</v>
      </c>
      <c r="B669" s="12">
        <v>41750.0</v>
      </c>
      <c r="C669" s="7">
        <f t="shared" si="1"/>
        <v>2014</v>
      </c>
      <c r="D669" s="14" t="str">
        <f t="shared" si="2"/>
        <v>04 - Apr</v>
      </c>
      <c r="E669" s="15" t="str">
        <f t="shared" si="3"/>
        <v>Mon</v>
      </c>
      <c r="F669" s="15">
        <f t="shared" si="4"/>
        <v>1</v>
      </c>
      <c r="G669" s="16">
        <v>41791.0</v>
      </c>
      <c r="H669" s="14">
        <f t="shared" si="5"/>
        <v>41</v>
      </c>
      <c r="I669" s="7" t="s">
        <v>232</v>
      </c>
      <c r="J669" s="7" t="s">
        <v>626</v>
      </c>
      <c r="K669" s="7" t="str">
        <f>VLOOKUP(J669,countries,2,false)</f>
        <v>Russia</v>
      </c>
      <c r="L669" s="7" t="str">
        <f>VLOOKUP($J669,countries,5,false)</f>
        <v>Europe</v>
      </c>
      <c r="M669" s="7" t="str">
        <f>VLOOKUP($J669,countries,6,false)</f>
        <v>Eastern Europe</v>
      </c>
      <c r="N669" s="7">
        <v>1270.0</v>
      </c>
      <c r="O669" s="7" t="str">
        <f>VLOOKUP(N669, products, 2, FALSE)</f>
        <v>Beverages</v>
      </c>
      <c r="P669" s="7" t="s">
        <v>334</v>
      </c>
      <c r="Q669" s="7">
        <v>114.0</v>
      </c>
      <c r="R669" s="17">
        <v>47.45</v>
      </c>
      <c r="S669" s="17">
        <v>31.79</v>
      </c>
      <c r="U669" s="18">
        <f t="shared" si="6"/>
        <v>5409.3</v>
      </c>
      <c r="V669" s="18">
        <f t="shared" si="7"/>
        <v>3624.06</v>
      </c>
      <c r="W669" s="19">
        <f t="shared" si="8"/>
        <v>1785.24</v>
      </c>
    </row>
    <row r="670">
      <c r="A670" s="7">
        <v>5.43396508E8</v>
      </c>
      <c r="B670" s="12">
        <v>42886.0</v>
      </c>
      <c r="C670" s="7">
        <f t="shared" si="1"/>
        <v>2017</v>
      </c>
      <c r="D670" s="14" t="str">
        <f t="shared" si="2"/>
        <v>05 - May</v>
      </c>
      <c r="E670" s="15" t="str">
        <f t="shared" si="3"/>
        <v>Wed</v>
      </c>
      <c r="F670" s="15">
        <f t="shared" si="4"/>
        <v>3</v>
      </c>
      <c r="G670" s="16">
        <v>42891.0</v>
      </c>
      <c r="H670" s="14">
        <f t="shared" si="5"/>
        <v>5</v>
      </c>
      <c r="I670" s="7" t="s">
        <v>305</v>
      </c>
      <c r="J670" s="7" t="s">
        <v>462</v>
      </c>
      <c r="K670" s="7" t="str">
        <f>VLOOKUP(J670,countries,2,false)</f>
        <v>Liechtenstein</v>
      </c>
      <c r="L670" s="7" t="str">
        <f>VLOOKUP($J670,countries,5,false)</f>
        <v>Europe</v>
      </c>
      <c r="M670" s="7" t="str">
        <f>VLOOKUP($J670,countries,6,false)</f>
        <v>Western Europe</v>
      </c>
      <c r="N670" s="7">
        <v>8875.0</v>
      </c>
      <c r="O670" s="7" t="str">
        <f>VLOOKUP(N670, products, 2, FALSE)</f>
        <v>Meat</v>
      </c>
      <c r="P670" s="7" t="s">
        <v>264</v>
      </c>
      <c r="Q670" s="7">
        <v>1957.0</v>
      </c>
      <c r="R670" s="17">
        <v>421.89</v>
      </c>
      <c r="S670" s="17">
        <v>364.69</v>
      </c>
      <c r="U670" s="18">
        <f t="shared" si="6"/>
        <v>825638.73</v>
      </c>
      <c r="V670" s="18">
        <f t="shared" si="7"/>
        <v>713698.33</v>
      </c>
      <c r="W670" s="19">
        <f t="shared" si="8"/>
        <v>111940.4</v>
      </c>
    </row>
    <row r="671">
      <c r="A671" s="7">
        <v>5.44284856E8</v>
      </c>
      <c r="B671" s="12">
        <v>41926.0</v>
      </c>
      <c r="C671" s="7">
        <f t="shared" si="1"/>
        <v>2014</v>
      </c>
      <c r="D671" s="14" t="str">
        <f t="shared" si="2"/>
        <v>10 - Oct</v>
      </c>
      <c r="E671" s="15" t="str">
        <f t="shared" si="3"/>
        <v>Tue</v>
      </c>
      <c r="F671" s="15">
        <f t="shared" si="4"/>
        <v>2</v>
      </c>
      <c r="G671" s="16">
        <v>41937.0</v>
      </c>
      <c r="H671" s="14">
        <f t="shared" si="5"/>
        <v>11</v>
      </c>
      <c r="I671" s="7" t="s">
        <v>232</v>
      </c>
      <c r="J671" s="7" t="s">
        <v>465</v>
      </c>
      <c r="K671" s="7" t="str">
        <f>VLOOKUP(J671,countries,2,false)</f>
        <v>Lithuania</v>
      </c>
      <c r="L671" s="7" t="str">
        <f>VLOOKUP($J671,countries,5,false)</f>
        <v>Europe</v>
      </c>
      <c r="M671" s="7" t="str">
        <f>VLOOKUP($J671,countries,6,false)</f>
        <v>Northern Europe</v>
      </c>
      <c r="N671" s="7">
        <v>7940.0</v>
      </c>
      <c r="O671" s="7" t="str">
        <f>VLOOKUP(N671, products, 2, FALSE)</f>
        <v>Household</v>
      </c>
      <c r="P671" s="7" t="s">
        <v>334</v>
      </c>
      <c r="Q671" s="7">
        <v>4839.0</v>
      </c>
      <c r="R671" s="17">
        <v>668.27</v>
      </c>
      <c r="S671" s="17">
        <v>502.54</v>
      </c>
      <c r="U671" s="18">
        <f t="shared" si="6"/>
        <v>3233758.53</v>
      </c>
      <c r="V671" s="18">
        <f t="shared" si="7"/>
        <v>2431791.06</v>
      </c>
      <c r="W671" s="19">
        <f t="shared" si="8"/>
        <v>801967.47</v>
      </c>
    </row>
    <row r="672">
      <c r="A672" s="7">
        <v>5.44741475E8</v>
      </c>
      <c r="B672" s="12">
        <v>40978.0</v>
      </c>
      <c r="C672" s="7">
        <f t="shared" si="1"/>
        <v>2012</v>
      </c>
      <c r="D672" s="14" t="str">
        <f t="shared" si="2"/>
        <v>03 - Mar</v>
      </c>
      <c r="E672" s="15" t="str">
        <f t="shared" si="3"/>
        <v>Sat</v>
      </c>
      <c r="F672" s="15">
        <f t="shared" si="4"/>
        <v>6</v>
      </c>
      <c r="G672" s="16">
        <v>40993.0</v>
      </c>
      <c r="H672" s="14">
        <f t="shared" si="5"/>
        <v>15</v>
      </c>
      <c r="I672" s="7" t="s">
        <v>305</v>
      </c>
      <c r="J672" s="7" t="s">
        <v>546</v>
      </c>
      <c r="K672" s="7" t="str">
        <f>VLOOKUP(J672,countries,2,false)</f>
        <v>Netherlands</v>
      </c>
      <c r="L672" s="7" t="str">
        <f>VLOOKUP($J672,countries,5,false)</f>
        <v>Europe</v>
      </c>
      <c r="M672" s="7" t="str">
        <f>VLOOKUP($J672,countries,6,false)</f>
        <v>Western Europe</v>
      </c>
      <c r="N672" s="7">
        <v>3127.0</v>
      </c>
      <c r="O672" s="7" t="str">
        <f>VLOOKUP(N672, products, 2, FALSE)</f>
        <v>Personal Care</v>
      </c>
      <c r="P672" s="7" t="s">
        <v>264</v>
      </c>
      <c r="Q672" s="7">
        <v>9963.0</v>
      </c>
      <c r="R672" s="17">
        <v>81.73</v>
      </c>
      <c r="S672" s="17">
        <v>56.67</v>
      </c>
      <c r="U672" s="18">
        <f t="shared" si="6"/>
        <v>814275.99</v>
      </c>
      <c r="V672" s="18">
        <f t="shared" si="7"/>
        <v>564603.21</v>
      </c>
      <c r="W672" s="19">
        <f t="shared" si="8"/>
        <v>249672.78</v>
      </c>
    </row>
    <row r="673">
      <c r="A673" s="7">
        <v>5.45059049E8</v>
      </c>
      <c r="B673" s="12">
        <v>42586.0</v>
      </c>
      <c r="C673" s="7">
        <f t="shared" si="1"/>
        <v>2016</v>
      </c>
      <c r="D673" s="14" t="str">
        <f t="shared" si="2"/>
        <v>08 - Aug</v>
      </c>
      <c r="E673" s="15" t="str">
        <f t="shared" si="3"/>
        <v>Thu</v>
      </c>
      <c r="F673" s="15">
        <f t="shared" si="4"/>
        <v>4</v>
      </c>
      <c r="G673" s="16">
        <v>42590.0</v>
      </c>
      <c r="H673" s="14">
        <f t="shared" si="5"/>
        <v>4</v>
      </c>
      <c r="I673" s="7" t="s">
        <v>399</v>
      </c>
      <c r="J673" s="7" t="s">
        <v>462</v>
      </c>
      <c r="K673" s="7" t="str">
        <f>VLOOKUP(J673,countries,2,false)</f>
        <v>Liechtenstein</v>
      </c>
      <c r="L673" s="7" t="str">
        <f>VLOOKUP($J673,countries,5,false)</f>
        <v>Europe</v>
      </c>
      <c r="M673" s="7" t="str">
        <f>VLOOKUP($J673,countries,6,false)</f>
        <v>Western Europe</v>
      </c>
      <c r="N673" s="7">
        <v>2455.0</v>
      </c>
      <c r="O673" s="7" t="str">
        <f>VLOOKUP(N673, products, 2, FALSE)</f>
        <v>Clothes</v>
      </c>
      <c r="P673" s="7" t="s">
        <v>334</v>
      </c>
      <c r="Q673" s="7">
        <v>3940.0</v>
      </c>
      <c r="R673" s="17">
        <v>109.28</v>
      </c>
      <c r="S673" s="17">
        <v>35.84</v>
      </c>
      <c r="U673" s="18">
        <f t="shared" si="6"/>
        <v>430563.2</v>
      </c>
      <c r="V673" s="18">
        <f t="shared" si="7"/>
        <v>141209.6</v>
      </c>
      <c r="W673" s="19">
        <f t="shared" si="8"/>
        <v>289353.6</v>
      </c>
    </row>
    <row r="674">
      <c r="A674" s="7">
        <v>5.46081721E8</v>
      </c>
      <c r="B674" s="12">
        <v>41394.0</v>
      </c>
      <c r="C674" s="7">
        <f t="shared" si="1"/>
        <v>2013</v>
      </c>
      <c r="D674" s="14" t="str">
        <f t="shared" si="2"/>
        <v>04 - Apr</v>
      </c>
      <c r="E674" s="15" t="str">
        <f t="shared" si="3"/>
        <v>Tue</v>
      </c>
      <c r="F674" s="15">
        <f t="shared" si="4"/>
        <v>2</v>
      </c>
      <c r="G674" s="16">
        <v>41416.0</v>
      </c>
      <c r="H674" s="14">
        <f t="shared" si="5"/>
        <v>22</v>
      </c>
      <c r="I674" s="7" t="s">
        <v>399</v>
      </c>
      <c r="J674" s="7" t="s">
        <v>608</v>
      </c>
      <c r="K674" s="7" t="str">
        <f>VLOOKUP(J674,countries,2,false)</f>
        <v>Poland</v>
      </c>
      <c r="L674" s="7" t="str">
        <f>VLOOKUP($J674,countries,5,false)</f>
        <v>Europe</v>
      </c>
      <c r="M674" s="7" t="str">
        <f>VLOOKUP($J674,countries,6,false)</f>
        <v>Eastern Europe</v>
      </c>
      <c r="N674" s="7">
        <v>8875.0</v>
      </c>
      <c r="O674" s="7" t="str">
        <f>VLOOKUP(N674, products, 2, FALSE)</f>
        <v>Meat</v>
      </c>
      <c r="P674" s="7" t="s">
        <v>264</v>
      </c>
      <c r="Q674" s="7">
        <v>6571.0</v>
      </c>
      <c r="R674" s="17">
        <v>421.89</v>
      </c>
      <c r="S674" s="17">
        <v>364.69</v>
      </c>
      <c r="U674" s="18">
        <f t="shared" si="6"/>
        <v>2772239.19</v>
      </c>
      <c r="V674" s="18">
        <f t="shared" si="7"/>
        <v>2396377.99</v>
      </c>
      <c r="W674" s="19">
        <f t="shared" si="8"/>
        <v>375861.2</v>
      </c>
    </row>
    <row r="675">
      <c r="A675" s="7">
        <v>5.46140086E8</v>
      </c>
      <c r="B675" s="12">
        <v>41585.0</v>
      </c>
      <c r="C675" s="7">
        <f t="shared" si="1"/>
        <v>2013</v>
      </c>
      <c r="D675" s="14" t="str">
        <f t="shared" si="2"/>
        <v>11 - Nov</v>
      </c>
      <c r="E675" s="15" t="str">
        <f t="shared" si="3"/>
        <v>Thu</v>
      </c>
      <c r="F675" s="15">
        <f t="shared" si="4"/>
        <v>4</v>
      </c>
      <c r="G675" s="16">
        <v>41627.0</v>
      </c>
      <c r="H675" s="14">
        <f t="shared" si="5"/>
        <v>42</v>
      </c>
      <c r="I675" s="7" t="s">
        <v>364</v>
      </c>
      <c r="J675" s="7" t="s">
        <v>381</v>
      </c>
      <c r="K675" s="7" t="str">
        <f>VLOOKUP(J675,countries,2,false)</f>
        <v>Iceland</v>
      </c>
      <c r="L675" s="7" t="str">
        <f>VLOOKUP($J675,countries,5,false)</f>
        <v>Europe</v>
      </c>
      <c r="M675" s="7" t="str">
        <f>VLOOKUP($J675,countries,6,false)</f>
        <v>Northern Europe</v>
      </c>
      <c r="N675" s="7">
        <v>3127.0</v>
      </c>
      <c r="O675" s="7" t="str">
        <f>VLOOKUP(N675, products, 2, FALSE)</f>
        <v>Personal Care</v>
      </c>
      <c r="P675" s="7" t="s">
        <v>334</v>
      </c>
      <c r="Q675" s="7">
        <v>3843.0</v>
      </c>
      <c r="R675" s="17">
        <v>81.73</v>
      </c>
      <c r="S675" s="17">
        <v>56.67</v>
      </c>
      <c r="U675" s="18">
        <f t="shared" si="6"/>
        <v>314088.39</v>
      </c>
      <c r="V675" s="18">
        <f t="shared" si="7"/>
        <v>217782.81</v>
      </c>
      <c r="W675" s="19">
        <f t="shared" si="8"/>
        <v>96305.58</v>
      </c>
    </row>
    <row r="676">
      <c r="A676" s="7">
        <v>5.46544349E8</v>
      </c>
      <c r="B676" s="12">
        <v>40507.0</v>
      </c>
      <c r="C676" s="7">
        <f t="shared" si="1"/>
        <v>2010</v>
      </c>
      <c r="D676" s="14" t="str">
        <f t="shared" si="2"/>
        <v>11 - Nov</v>
      </c>
      <c r="E676" s="15" t="str">
        <f t="shared" si="3"/>
        <v>Thu</v>
      </c>
      <c r="F676" s="15">
        <f t="shared" si="4"/>
        <v>4</v>
      </c>
      <c r="G676" s="16">
        <v>40524.0</v>
      </c>
      <c r="H676" s="14">
        <f t="shared" si="5"/>
        <v>17</v>
      </c>
      <c r="I676" s="7" t="s">
        <v>364</v>
      </c>
      <c r="J676" s="7" t="s">
        <v>365</v>
      </c>
      <c r="K676" s="7" t="str">
        <f>VLOOKUP(J676,countries,2,false)</f>
        <v>Montenegro</v>
      </c>
      <c r="L676" s="7" t="str">
        <f>VLOOKUP($J676,countries,5,false)</f>
        <v>Europe</v>
      </c>
      <c r="M676" s="7" t="str">
        <f>VLOOKUP($J676,countries,6,false)</f>
        <v>Southern Europe</v>
      </c>
      <c r="N676" s="7">
        <v>7940.0</v>
      </c>
      <c r="O676" s="7" t="str">
        <f>VLOOKUP(N676, products, 2, FALSE)</f>
        <v>Household</v>
      </c>
      <c r="P676" s="7" t="s">
        <v>334</v>
      </c>
      <c r="Q676" s="7">
        <v>3473.0</v>
      </c>
      <c r="R676" s="17">
        <v>668.27</v>
      </c>
      <c r="S676" s="17">
        <v>502.54</v>
      </c>
      <c r="U676" s="18">
        <f t="shared" si="6"/>
        <v>2320901.71</v>
      </c>
      <c r="V676" s="18">
        <f t="shared" si="7"/>
        <v>1745321.42</v>
      </c>
      <c r="W676" s="19">
        <f t="shared" si="8"/>
        <v>575580.29</v>
      </c>
    </row>
    <row r="677">
      <c r="A677" s="7">
        <v>5.47225844E8</v>
      </c>
      <c r="B677" s="12">
        <v>41027.0</v>
      </c>
      <c r="C677" s="7">
        <f t="shared" si="1"/>
        <v>2012</v>
      </c>
      <c r="D677" s="14" t="str">
        <f t="shared" si="2"/>
        <v>04 - Apr</v>
      </c>
      <c r="E677" s="15" t="str">
        <f t="shared" si="3"/>
        <v>Sat</v>
      </c>
      <c r="F677" s="15">
        <f t="shared" si="4"/>
        <v>6</v>
      </c>
      <c r="G677" s="16">
        <v>41059.0</v>
      </c>
      <c r="H677" s="14">
        <f t="shared" si="5"/>
        <v>32</v>
      </c>
      <c r="I677" s="7" t="s">
        <v>364</v>
      </c>
      <c r="J677" s="7" t="s">
        <v>396</v>
      </c>
      <c r="K677" s="7" t="str">
        <f>VLOOKUP(J677,countries,2,false)</f>
        <v>Ireland</v>
      </c>
      <c r="L677" s="7" t="str">
        <f>VLOOKUP($J677,countries,5,false)</f>
        <v>Europe</v>
      </c>
      <c r="M677" s="7" t="str">
        <f>VLOOKUP($J677,countries,6,false)</f>
        <v>Northern Europe</v>
      </c>
      <c r="N677" s="7">
        <v>3127.0</v>
      </c>
      <c r="O677" s="7" t="str">
        <f>VLOOKUP(N677, products, 2, FALSE)</f>
        <v>Personal Care</v>
      </c>
      <c r="P677" s="7" t="s">
        <v>334</v>
      </c>
      <c r="Q677" s="7">
        <v>5143.0</v>
      </c>
      <c r="R677" s="17">
        <v>81.73</v>
      </c>
      <c r="S677" s="17">
        <v>56.67</v>
      </c>
      <c r="U677" s="18">
        <f t="shared" si="6"/>
        <v>420337.39</v>
      </c>
      <c r="V677" s="18">
        <f t="shared" si="7"/>
        <v>291453.81</v>
      </c>
      <c r="W677" s="19">
        <f t="shared" si="8"/>
        <v>128883.58</v>
      </c>
    </row>
    <row r="678">
      <c r="A678" s="7">
        <v>5.47587192E8</v>
      </c>
      <c r="B678" s="12">
        <v>40703.0</v>
      </c>
      <c r="C678" s="7">
        <f t="shared" si="1"/>
        <v>2011</v>
      </c>
      <c r="D678" s="14" t="str">
        <f t="shared" si="2"/>
        <v>06 - Jun</v>
      </c>
      <c r="E678" s="15" t="str">
        <f t="shared" si="3"/>
        <v>Thu</v>
      </c>
      <c r="F678" s="15">
        <f t="shared" si="4"/>
        <v>4</v>
      </c>
      <c r="G678" s="16">
        <v>40738.0</v>
      </c>
      <c r="H678" s="14">
        <f t="shared" si="5"/>
        <v>35</v>
      </c>
      <c r="I678" s="7" t="s">
        <v>232</v>
      </c>
      <c r="J678" s="7" t="s">
        <v>348</v>
      </c>
      <c r="K678" s="7" t="s">
        <v>348</v>
      </c>
      <c r="L678" s="7" t="s">
        <v>348</v>
      </c>
      <c r="M678" s="7" t="s">
        <v>348</v>
      </c>
      <c r="N678" s="7">
        <v>2103.0</v>
      </c>
      <c r="O678" s="7" t="str">
        <f>VLOOKUP(N678, products, 2, FALSE)</f>
        <v>Cereal</v>
      </c>
      <c r="P678" s="7" t="s">
        <v>264</v>
      </c>
      <c r="Q678" s="7">
        <v>2073.0</v>
      </c>
      <c r="R678" s="17">
        <v>205.7</v>
      </c>
      <c r="S678" s="17">
        <v>117.11</v>
      </c>
      <c r="U678" s="18">
        <f t="shared" si="6"/>
        <v>426416.1</v>
      </c>
      <c r="V678" s="18">
        <f t="shared" si="7"/>
        <v>242769.03</v>
      </c>
      <c r="W678" s="19">
        <f t="shared" si="8"/>
        <v>183647.07</v>
      </c>
    </row>
    <row r="679">
      <c r="A679" s="7">
        <v>5.47625386E8</v>
      </c>
      <c r="B679" s="12">
        <v>42272.0</v>
      </c>
      <c r="C679" s="7">
        <f t="shared" si="1"/>
        <v>2015</v>
      </c>
      <c r="D679" s="14" t="str">
        <f t="shared" si="2"/>
        <v>09 - Sep</v>
      </c>
      <c r="E679" s="15" t="str">
        <f t="shared" si="3"/>
        <v>Fri</v>
      </c>
      <c r="F679" s="15">
        <f t="shared" si="4"/>
        <v>5</v>
      </c>
      <c r="G679" s="16">
        <v>42276.0</v>
      </c>
      <c r="H679" s="14">
        <f t="shared" si="5"/>
        <v>4</v>
      </c>
      <c r="I679" s="7" t="s">
        <v>399</v>
      </c>
      <c r="J679" s="7" t="s">
        <v>468</v>
      </c>
      <c r="K679" s="7" t="str">
        <f>VLOOKUP(J679,countries,2,false)</f>
        <v>Luxembourg</v>
      </c>
      <c r="L679" s="7" t="str">
        <f>VLOOKUP($J679,countries,5,false)</f>
        <v>Europe</v>
      </c>
      <c r="M679" s="7" t="str">
        <f>VLOOKUP($J679,countries,6,false)</f>
        <v>Western Europe</v>
      </c>
      <c r="N679" s="7">
        <v>3127.0</v>
      </c>
      <c r="O679" s="7" t="str">
        <f>VLOOKUP(N679, products, 2, FALSE)</f>
        <v>Personal Care</v>
      </c>
      <c r="P679" s="7" t="s">
        <v>334</v>
      </c>
      <c r="Q679" s="7">
        <v>3376.0</v>
      </c>
      <c r="R679" s="17">
        <v>81.73</v>
      </c>
      <c r="S679" s="17">
        <v>56.67</v>
      </c>
      <c r="U679" s="18">
        <f t="shared" si="6"/>
        <v>275920.48</v>
      </c>
      <c r="V679" s="18">
        <f t="shared" si="7"/>
        <v>191317.92</v>
      </c>
      <c r="W679" s="19">
        <f t="shared" si="8"/>
        <v>84602.56</v>
      </c>
    </row>
    <row r="680">
      <c r="A680" s="7">
        <v>5.48015487E8</v>
      </c>
      <c r="B680" s="12">
        <v>42632.0</v>
      </c>
      <c r="C680" s="7">
        <f t="shared" si="1"/>
        <v>2016</v>
      </c>
      <c r="D680" s="14" t="str">
        <f t="shared" si="2"/>
        <v>09 - Sep</v>
      </c>
      <c r="E680" s="15" t="str">
        <f t="shared" si="3"/>
        <v>Mon</v>
      </c>
      <c r="F680" s="15">
        <f t="shared" si="4"/>
        <v>1</v>
      </c>
      <c r="G680" s="16">
        <v>42652.0</v>
      </c>
      <c r="H680" s="14">
        <f t="shared" si="5"/>
        <v>20</v>
      </c>
      <c r="I680" s="7" t="s">
        <v>364</v>
      </c>
      <c r="J680" s="7" t="s">
        <v>396</v>
      </c>
      <c r="K680" s="7" t="str">
        <f>VLOOKUP(J680,countries,2,false)</f>
        <v>Ireland</v>
      </c>
      <c r="L680" s="7" t="str">
        <f>VLOOKUP($J680,countries,5,false)</f>
        <v>Europe</v>
      </c>
      <c r="M680" s="7" t="str">
        <f>VLOOKUP($J680,countries,6,false)</f>
        <v>Northern Europe</v>
      </c>
      <c r="N680" s="7">
        <v>4594.0</v>
      </c>
      <c r="O680" s="7" t="str">
        <f>VLOOKUP(N680, products, 2, FALSE)</f>
        <v>Fruits</v>
      </c>
      <c r="P680" s="7" t="s">
        <v>264</v>
      </c>
      <c r="Q680" s="7">
        <v>8815.0</v>
      </c>
      <c r="R680" s="17">
        <v>9.33</v>
      </c>
      <c r="S680" s="17">
        <v>6.92</v>
      </c>
      <c r="U680" s="18">
        <f t="shared" si="6"/>
        <v>82243.95</v>
      </c>
      <c r="V680" s="18">
        <f t="shared" si="7"/>
        <v>60999.8</v>
      </c>
      <c r="W680" s="19">
        <f t="shared" si="8"/>
        <v>21244.15</v>
      </c>
    </row>
    <row r="681">
      <c r="A681" s="7">
        <v>5.48343789E8</v>
      </c>
      <c r="B681" s="12">
        <v>41977.0</v>
      </c>
      <c r="C681" s="7">
        <f t="shared" si="1"/>
        <v>2014</v>
      </c>
      <c r="D681" s="14" t="str">
        <f t="shared" si="2"/>
        <v>12 - Dec</v>
      </c>
      <c r="E681" s="15" t="str">
        <f t="shared" si="3"/>
        <v>Thu</v>
      </c>
      <c r="F681" s="15">
        <f t="shared" si="4"/>
        <v>4</v>
      </c>
      <c r="G681" s="16">
        <v>41979.0</v>
      </c>
      <c r="H681" s="14">
        <f t="shared" si="5"/>
        <v>2</v>
      </c>
      <c r="I681" s="7" t="s">
        <v>364</v>
      </c>
      <c r="J681" s="7" t="s">
        <v>240</v>
      </c>
      <c r="K681" s="7" t="str">
        <f>VLOOKUP(J681,countries,2,false)</f>
        <v>Cyprus</v>
      </c>
      <c r="L681" s="7" t="str">
        <f>VLOOKUP($J681,countries,5,false)</f>
        <v>Asia</v>
      </c>
      <c r="M681" s="7" t="str">
        <f>VLOOKUP($J681,countries,6,false)</f>
        <v>Western Asia</v>
      </c>
      <c r="N681" s="7">
        <v>8969.0</v>
      </c>
      <c r="O681" s="7" t="str">
        <f>VLOOKUP(N681, products, 2, FALSE)</f>
        <v>Snacks</v>
      </c>
      <c r="P681" s="7" t="s">
        <v>334</v>
      </c>
      <c r="Q681" s="7">
        <v>5967.0</v>
      </c>
      <c r="R681" s="17">
        <v>152.58</v>
      </c>
      <c r="S681" s="17">
        <v>97.44</v>
      </c>
      <c r="U681" s="18">
        <f t="shared" si="6"/>
        <v>910444.86</v>
      </c>
      <c r="V681" s="18">
        <f t="shared" si="7"/>
        <v>581424.48</v>
      </c>
      <c r="W681" s="19">
        <f t="shared" si="8"/>
        <v>329020.38</v>
      </c>
    </row>
    <row r="682">
      <c r="A682" s="7">
        <v>5.48403012E8</v>
      </c>
      <c r="B682" s="12">
        <v>40991.0</v>
      </c>
      <c r="C682" s="7">
        <f t="shared" si="1"/>
        <v>2012</v>
      </c>
      <c r="D682" s="14" t="str">
        <f t="shared" si="2"/>
        <v>03 - Mar</v>
      </c>
      <c r="E682" s="15" t="str">
        <f t="shared" si="3"/>
        <v>Fri</v>
      </c>
      <c r="F682" s="15">
        <f t="shared" si="4"/>
        <v>5</v>
      </c>
      <c r="G682" s="16">
        <v>41003.0</v>
      </c>
      <c r="H682" s="14">
        <f t="shared" si="5"/>
        <v>12</v>
      </c>
      <c r="I682" s="7" t="s">
        <v>305</v>
      </c>
      <c r="J682" s="7" t="s">
        <v>681</v>
      </c>
      <c r="K682" s="7" t="str">
        <f>VLOOKUP(J682,countries,2,false)</f>
        <v>United Kingdom</v>
      </c>
      <c r="L682" s="7" t="str">
        <f>VLOOKUP($J682,countries,5,false)</f>
        <v>Europe</v>
      </c>
      <c r="M682" s="7" t="str">
        <f>VLOOKUP($J682,countries,6,false)</f>
        <v>Northern Europe</v>
      </c>
      <c r="N682" s="7">
        <v>7940.0</v>
      </c>
      <c r="O682" s="7" t="str">
        <f>VLOOKUP(N682, products, 2, FALSE)</f>
        <v>Household</v>
      </c>
      <c r="P682" s="7" t="s">
        <v>264</v>
      </c>
      <c r="Q682" s="7">
        <v>3493.0</v>
      </c>
      <c r="R682" s="17">
        <v>668.27</v>
      </c>
      <c r="S682" s="17">
        <v>502.54</v>
      </c>
      <c r="U682" s="18">
        <f t="shared" si="6"/>
        <v>2334267.11</v>
      </c>
      <c r="V682" s="18">
        <f t="shared" si="7"/>
        <v>1755372.22</v>
      </c>
      <c r="W682" s="19">
        <f t="shared" si="8"/>
        <v>578894.89</v>
      </c>
    </row>
    <row r="683">
      <c r="A683" s="7">
        <v>5.49048888E8</v>
      </c>
      <c r="B683" s="12">
        <v>41943.0</v>
      </c>
      <c r="C683" s="7">
        <f t="shared" si="1"/>
        <v>2014</v>
      </c>
      <c r="D683" s="14" t="str">
        <f t="shared" si="2"/>
        <v>10 - Oct</v>
      </c>
      <c r="E683" s="15" t="str">
        <f t="shared" si="3"/>
        <v>Fri</v>
      </c>
      <c r="F683" s="15">
        <f t="shared" si="4"/>
        <v>5</v>
      </c>
      <c r="G683" s="16">
        <v>41975.0</v>
      </c>
      <c r="H683" s="14">
        <f t="shared" si="5"/>
        <v>32</v>
      </c>
      <c r="I683" s="7" t="s">
        <v>399</v>
      </c>
      <c r="J683" s="7" t="s">
        <v>468</v>
      </c>
      <c r="K683" s="7" t="str">
        <f>VLOOKUP(J683,countries,2,false)</f>
        <v>Luxembourg</v>
      </c>
      <c r="L683" s="7" t="str">
        <f>VLOOKUP($J683,countries,5,false)</f>
        <v>Europe</v>
      </c>
      <c r="M683" s="7" t="str">
        <f>VLOOKUP($J683,countries,6,false)</f>
        <v>Western Europe</v>
      </c>
      <c r="N683" s="7">
        <v>8681.0</v>
      </c>
      <c r="O683" s="7" t="str">
        <f>VLOOKUP(N683, products, 2, FALSE)</f>
        <v>Office Supplies</v>
      </c>
      <c r="P683" s="7" t="s">
        <v>264</v>
      </c>
      <c r="Q683" s="7">
        <v>4622.0</v>
      </c>
      <c r="R683" s="17">
        <v>651.21</v>
      </c>
      <c r="S683" s="17">
        <v>524.96</v>
      </c>
      <c r="U683" s="18">
        <f t="shared" si="6"/>
        <v>3009892.62</v>
      </c>
      <c r="V683" s="18">
        <f t="shared" si="7"/>
        <v>2426365.12</v>
      </c>
      <c r="W683" s="19">
        <f t="shared" si="8"/>
        <v>583527.5</v>
      </c>
    </row>
    <row r="684">
      <c r="A684" s="7">
        <v>5.4905833E8</v>
      </c>
      <c r="B684" s="12">
        <v>42828.0</v>
      </c>
      <c r="C684" s="7">
        <f t="shared" si="1"/>
        <v>2017</v>
      </c>
      <c r="D684" s="14" t="str">
        <f t="shared" si="2"/>
        <v>04 - Apr</v>
      </c>
      <c r="E684" s="15" t="str">
        <f t="shared" si="3"/>
        <v>Mon</v>
      </c>
      <c r="F684" s="15">
        <f t="shared" si="4"/>
        <v>1</v>
      </c>
      <c r="G684" s="16">
        <v>42866.0</v>
      </c>
      <c r="H684" s="14">
        <f t="shared" si="5"/>
        <v>38</v>
      </c>
      <c r="I684" s="7" t="s">
        <v>399</v>
      </c>
      <c r="J684" s="7" t="s">
        <v>626</v>
      </c>
      <c r="K684" s="7" t="str">
        <f>VLOOKUP(J684,countries,2,false)</f>
        <v>Russia</v>
      </c>
      <c r="L684" s="7" t="str">
        <f>VLOOKUP($J684,countries,5,false)</f>
        <v>Europe</v>
      </c>
      <c r="M684" s="7" t="str">
        <f>VLOOKUP($J684,countries,6,false)</f>
        <v>Eastern Europe</v>
      </c>
      <c r="N684" s="7">
        <v>7940.0</v>
      </c>
      <c r="O684" s="7" t="str">
        <f>VLOOKUP(N684, products, 2, FALSE)</f>
        <v>Household</v>
      </c>
      <c r="P684" s="7" t="s">
        <v>264</v>
      </c>
      <c r="Q684" s="7">
        <v>7416.0</v>
      </c>
      <c r="R684" s="17">
        <v>668.27</v>
      </c>
      <c r="S684" s="17">
        <v>502.54</v>
      </c>
      <c r="U684" s="18">
        <f t="shared" si="6"/>
        <v>4955890.32</v>
      </c>
      <c r="V684" s="18">
        <f t="shared" si="7"/>
        <v>3726836.64</v>
      </c>
      <c r="W684" s="19">
        <f t="shared" si="8"/>
        <v>1229053.68</v>
      </c>
    </row>
    <row r="685">
      <c r="A685" s="7">
        <v>5.49187934E8</v>
      </c>
      <c r="B685" s="12">
        <v>42154.0</v>
      </c>
      <c r="C685" s="7">
        <f t="shared" si="1"/>
        <v>2015</v>
      </c>
      <c r="D685" s="14" t="str">
        <f t="shared" si="2"/>
        <v>05 - May</v>
      </c>
      <c r="E685" s="15" t="str">
        <f t="shared" si="3"/>
        <v>Sat</v>
      </c>
      <c r="F685" s="15">
        <f t="shared" si="4"/>
        <v>6</v>
      </c>
      <c r="G685" s="16">
        <v>42202.0</v>
      </c>
      <c r="H685" s="14">
        <f t="shared" si="5"/>
        <v>48</v>
      </c>
      <c r="I685" s="7" t="s">
        <v>399</v>
      </c>
      <c r="J685" s="7" t="s">
        <v>435</v>
      </c>
      <c r="K685" s="7" t="str">
        <f>VLOOKUP(J685,countries,2,false)</f>
        <v>Slovakia</v>
      </c>
      <c r="L685" s="7" t="str">
        <f>VLOOKUP($J685,countries,5,false)</f>
        <v>Europe</v>
      </c>
      <c r="M685" s="7" t="str">
        <f>VLOOKUP($J685,countries,6,false)</f>
        <v>Eastern Europe</v>
      </c>
      <c r="N685" s="7">
        <v>8293.0</v>
      </c>
      <c r="O685" s="7" t="str">
        <f>VLOOKUP(N685, products, 2, FALSE)</f>
        <v>Cosmetics</v>
      </c>
      <c r="P685" s="7" t="s">
        <v>264</v>
      </c>
      <c r="Q685" s="7">
        <v>5769.0</v>
      </c>
      <c r="R685" s="17">
        <v>437.2</v>
      </c>
      <c r="S685" s="17">
        <v>263.33</v>
      </c>
      <c r="U685" s="18">
        <f t="shared" si="6"/>
        <v>2522206.8</v>
      </c>
      <c r="V685" s="18">
        <f t="shared" si="7"/>
        <v>1519150.77</v>
      </c>
      <c r="W685" s="19">
        <f t="shared" si="8"/>
        <v>1003056.03</v>
      </c>
    </row>
    <row r="686">
      <c r="A686" s="7">
        <v>5.51118266E8</v>
      </c>
      <c r="B686" s="12">
        <v>42567.0</v>
      </c>
      <c r="C686" s="7">
        <f t="shared" si="1"/>
        <v>2016</v>
      </c>
      <c r="D686" s="14" t="str">
        <f t="shared" si="2"/>
        <v>07 - Jul</v>
      </c>
      <c r="E686" s="15" t="str">
        <f t="shared" si="3"/>
        <v>Sat</v>
      </c>
      <c r="F686" s="15">
        <f t="shared" si="4"/>
        <v>6</v>
      </c>
      <c r="G686" s="16">
        <v>42597.0</v>
      </c>
      <c r="H686" s="14">
        <f t="shared" si="5"/>
        <v>30</v>
      </c>
      <c r="I686" s="7" t="s">
        <v>364</v>
      </c>
      <c r="J686" s="7" t="s">
        <v>146</v>
      </c>
      <c r="K686" s="7" t="str">
        <f>VLOOKUP(J686,countries,2,false)</f>
        <v>Bosnia and Herzegovina</v>
      </c>
      <c r="L686" s="7" t="str">
        <f>VLOOKUP($J686,countries,5,false)</f>
        <v>Europe</v>
      </c>
      <c r="M686" s="7" t="str">
        <f>VLOOKUP($J686,countries,6,false)</f>
        <v>Southern Europe</v>
      </c>
      <c r="N686" s="7">
        <v>7331.0</v>
      </c>
      <c r="O686" s="7" t="str">
        <f>VLOOKUP(N686, products, 2, FALSE)</f>
        <v>Baby Food</v>
      </c>
      <c r="P686" s="7" t="s">
        <v>264</v>
      </c>
      <c r="Q686" s="7">
        <v>6997.0</v>
      </c>
      <c r="R686" s="17">
        <v>255.28</v>
      </c>
      <c r="S686" s="17">
        <v>159.42</v>
      </c>
      <c r="U686" s="18">
        <f t="shared" si="6"/>
        <v>1786194.16</v>
      </c>
      <c r="V686" s="18">
        <f t="shared" si="7"/>
        <v>1115461.74</v>
      </c>
      <c r="W686" s="19">
        <f t="shared" si="8"/>
        <v>670732.42</v>
      </c>
    </row>
    <row r="687">
      <c r="A687" s="7">
        <v>5.52037513E8</v>
      </c>
      <c r="B687" s="12">
        <v>40732.0</v>
      </c>
      <c r="C687" s="7">
        <f t="shared" si="1"/>
        <v>2011</v>
      </c>
      <c r="D687" s="14" t="str">
        <f t="shared" si="2"/>
        <v>07 - Jul</v>
      </c>
      <c r="E687" s="15" t="str">
        <f t="shared" si="3"/>
        <v>Fri</v>
      </c>
      <c r="F687" s="15">
        <f t="shared" si="4"/>
        <v>5</v>
      </c>
      <c r="G687" s="16">
        <v>40760.0</v>
      </c>
      <c r="H687" s="14">
        <f t="shared" si="5"/>
        <v>28</v>
      </c>
      <c r="I687" s="7" t="s">
        <v>232</v>
      </c>
      <c r="J687" s="7" t="s">
        <v>243</v>
      </c>
      <c r="K687" s="7" t="str">
        <f>VLOOKUP(J687,countries,2,false)</f>
        <v>Czech Republic</v>
      </c>
      <c r="L687" s="7" t="str">
        <f>VLOOKUP($J687,countries,5,false)</f>
        <v>Europe</v>
      </c>
      <c r="M687" s="7" t="str">
        <f>VLOOKUP($J687,countries,6,false)</f>
        <v>Eastern Europe</v>
      </c>
      <c r="N687" s="7">
        <v>2103.0</v>
      </c>
      <c r="O687" s="7" t="str">
        <f>VLOOKUP(N687, products, 2, FALSE)</f>
        <v>Cereal</v>
      </c>
      <c r="P687" s="7" t="s">
        <v>264</v>
      </c>
      <c r="Q687" s="7">
        <v>9022.0</v>
      </c>
      <c r="R687" s="17">
        <v>205.7</v>
      </c>
      <c r="S687" s="17">
        <v>117.11</v>
      </c>
      <c r="U687" s="18">
        <f t="shared" si="6"/>
        <v>1855825.4</v>
      </c>
      <c r="V687" s="18">
        <f t="shared" si="7"/>
        <v>1056566.42</v>
      </c>
      <c r="W687" s="19">
        <f t="shared" si="8"/>
        <v>799258.98</v>
      </c>
    </row>
    <row r="688">
      <c r="A688" s="7">
        <v>5.52276551E8</v>
      </c>
      <c r="B688" s="12">
        <v>40761.0</v>
      </c>
      <c r="C688" s="7">
        <f t="shared" si="1"/>
        <v>2011</v>
      </c>
      <c r="D688" s="14" t="str">
        <f t="shared" si="2"/>
        <v>08 - Aug</v>
      </c>
      <c r="E688" s="15" t="str">
        <f t="shared" si="3"/>
        <v>Sat</v>
      </c>
      <c r="F688" s="15">
        <f t="shared" si="4"/>
        <v>6</v>
      </c>
      <c r="G688" s="16">
        <v>40810.0</v>
      </c>
      <c r="H688" s="14">
        <f t="shared" si="5"/>
        <v>49</v>
      </c>
      <c r="I688" s="7" t="s">
        <v>364</v>
      </c>
      <c r="J688" s="7" t="s">
        <v>243</v>
      </c>
      <c r="K688" s="7" t="str">
        <f>VLOOKUP(J688,countries,2,false)</f>
        <v>Czech Republic</v>
      </c>
      <c r="L688" s="7" t="str">
        <f>VLOOKUP($J688,countries,5,false)</f>
        <v>Europe</v>
      </c>
      <c r="M688" s="7" t="str">
        <f>VLOOKUP($J688,countries,6,false)</f>
        <v>Eastern Europe</v>
      </c>
      <c r="N688" s="7">
        <v>8875.0</v>
      </c>
      <c r="O688" s="7" t="str">
        <f>VLOOKUP(N688, products, 2, FALSE)</f>
        <v>Meat</v>
      </c>
      <c r="P688" s="7" t="s">
        <v>334</v>
      </c>
      <c r="Q688" s="7">
        <v>9759.0</v>
      </c>
      <c r="R688" s="17">
        <v>421.89</v>
      </c>
      <c r="S688" s="17">
        <v>364.69</v>
      </c>
      <c r="U688" s="18">
        <f t="shared" si="6"/>
        <v>4117224.51</v>
      </c>
      <c r="V688" s="18">
        <f t="shared" si="7"/>
        <v>3559009.71</v>
      </c>
      <c r="W688" s="19">
        <f t="shared" si="8"/>
        <v>558214.8</v>
      </c>
    </row>
    <row r="689">
      <c r="A689" s="7">
        <v>5.52931869E8</v>
      </c>
      <c r="B689" s="12">
        <v>42598.0</v>
      </c>
      <c r="C689" s="7">
        <f t="shared" si="1"/>
        <v>2016</v>
      </c>
      <c r="D689" s="14" t="str">
        <f t="shared" si="2"/>
        <v>08 - Aug</v>
      </c>
      <c r="E689" s="15" t="str">
        <f t="shared" si="3"/>
        <v>Tue</v>
      </c>
      <c r="F689" s="15">
        <f t="shared" si="4"/>
        <v>2</v>
      </c>
      <c r="G689" s="16">
        <v>42622.0</v>
      </c>
      <c r="H689" s="14">
        <f t="shared" si="5"/>
        <v>24</v>
      </c>
      <c r="I689" s="7" t="s">
        <v>399</v>
      </c>
      <c r="J689" s="7" t="s">
        <v>67</v>
      </c>
      <c r="K689" s="7" t="str">
        <f>VLOOKUP(J689,countries,2,false)</f>
        <v>Andorra</v>
      </c>
      <c r="L689" s="7" t="str">
        <f>VLOOKUP($J689,countries,5,false)</f>
        <v>Europe</v>
      </c>
      <c r="M689" s="7" t="str">
        <f>VLOOKUP($J689,countries,6,false)</f>
        <v>Southern Europe</v>
      </c>
      <c r="N689" s="7">
        <v>8875.0</v>
      </c>
      <c r="O689" s="7" t="str">
        <f>VLOOKUP(N689, products, 2, FALSE)</f>
        <v>Meat</v>
      </c>
      <c r="P689" s="7" t="s">
        <v>334</v>
      </c>
      <c r="Q689" s="7">
        <v>3682.0</v>
      </c>
      <c r="R689" s="17">
        <v>421.89</v>
      </c>
      <c r="S689" s="17">
        <v>364.69</v>
      </c>
      <c r="U689" s="18">
        <f t="shared" si="6"/>
        <v>1553398.98</v>
      </c>
      <c r="V689" s="18">
        <f t="shared" si="7"/>
        <v>1342788.58</v>
      </c>
      <c r="W689" s="19">
        <f t="shared" si="8"/>
        <v>210610.4</v>
      </c>
    </row>
    <row r="690">
      <c r="A690" s="7">
        <v>5.53107821E8</v>
      </c>
      <c r="B690" s="12">
        <v>41994.0</v>
      </c>
      <c r="C690" s="7">
        <f t="shared" si="1"/>
        <v>2014</v>
      </c>
      <c r="D690" s="14" t="str">
        <f t="shared" si="2"/>
        <v>12 - Dec</v>
      </c>
      <c r="E690" s="15" t="str">
        <f t="shared" si="3"/>
        <v>Sun</v>
      </c>
      <c r="F690" s="15">
        <f t="shared" si="4"/>
        <v>7</v>
      </c>
      <c r="G690" s="16">
        <v>42017.0</v>
      </c>
      <c r="H690" s="14">
        <f t="shared" si="5"/>
        <v>23</v>
      </c>
      <c r="I690" s="7" t="s">
        <v>232</v>
      </c>
      <c r="J690" s="7" t="s">
        <v>240</v>
      </c>
      <c r="K690" s="7" t="str">
        <f>VLOOKUP(J690,countries,2,false)</f>
        <v>Cyprus</v>
      </c>
      <c r="L690" s="7" t="str">
        <f>VLOOKUP($J690,countries,5,false)</f>
        <v>Asia</v>
      </c>
      <c r="M690" s="7" t="str">
        <f>VLOOKUP($J690,countries,6,false)</f>
        <v>Western Asia</v>
      </c>
      <c r="N690" s="7">
        <v>3127.0</v>
      </c>
      <c r="O690" s="7" t="str">
        <f>VLOOKUP(N690, products, 2, FALSE)</f>
        <v>Personal Care</v>
      </c>
      <c r="P690" s="7" t="s">
        <v>264</v>
      </c>
      <c r="Q690" s="7">
        <v>5751.0</v>
      </c>
      <c r="R690" s="17">
        <v>81.73</v>
      </c>
      <c r="S690" s="17">
        <v>56.67</v>
      </c>
      <c r="U690" s="18">
        <f t="shared" si="6"/>
        <v>470029.23</v>
      </c>
      <c r="V690" s="18">
        <f t="shared" si="7"/>
        <v>325909.17</v>
      </c>
      <c r="W690" s="19">
        <f t="shared" si="8"/>
        <v>144120.06</v>
      </c>
    </row>
    <row r="691">
      <c r="A691" s="7">
        <v>5.54554927E8</v>
      </c>
      <c r="B691" s="12">
        <v>41112.0</v>
      </c>
      <c r="C691" s="7">
        <f t="shared" si="1"/>
        <v>2012</v>
      </c>
      <c r="D691" s="14" t="str">
        <f t="shared" si="2"/>
        <v>07 - Jul</v>
      </c>
      <c r="E691" s="15" t="str">
        <f t="shared" si="3"/>
        <v>Sun</v>
      </c>
      <c r="F691" s="15">
        <f t="shared" si="4"/>
        <v>7</v>
      </c>
      <c r="G691" s="16">
        <v>41127.0</v>
      </c>
      <c r="H691" s="14">
        <f t="shared" si="5"/>
        <v>15</v>
      </c>
      <c r="I691" s="7" t="s">
        <v>305</v>
      </c>
      <c r="J691" s="7" t="s">
        <v>656</v>
      </c>
      <c r="K691" s="7" t="str">
        <f>VLOOKUP(J691,countries,2,false)</f>
        <v>San Marino</v>
      </c>
      <c r="L691" s="7" t="str">
        <f>VLOOKUP($J691,countries,5,false)</f>
        <v>Europe</v>
      </c>
      <c r="M691" s="7" t="str">
        <f>VLOOKUP($J691,countries,6,false)</f>
        <v>Southern Europe</v>
      </c>
      <c r="N691" s="7">
        <v>2103.0</v>
      </c>
      <c r="O691" s="7" t="str">
        <f>VLOOKUP(N691, products, 2, FALSE)</f>
        <v>Cereal</v>
      </c>
      <c r="P691" s="7" t="s">
        <v>334</v>
      </c>
      <c r="Q691" s="7">
        <v>3981.0</v>
      </c>
      <c r="R691" s="17">
        <v>205.7</v>
      </c>
      <c r="S691" s="17">
        <v>117.11</v>
      </c>
      <c r="U691" s="18">
        <f t="shared" si="6"/>
        <v>818891.7</v>
      </c>
      <c r="V691" s="18">
        <f t="shared" si="7"/>
        <v>466214.91</v>
      </c>
      <c r="W691" s="19">
        <f t="shared" si="8"/>
        <v>352676.79</v>
      </c>
    </row>
    <row r="692">
      <c r="A692" s="7">
        <v>5.54721438E8</v>
      </c>
      <c r="B692" s="12">
        <v>42389.0</v>
      </c>
      <c r="C692" s="7">
        <f t="shared" si="1"/>
        <v>2016</v>
      </c>
      <c r="D692" s="14" t="str">
        <f t="shared" si="2"/>
        <v>01 - Jan</v>
      </c>
      <c r="E692" s="15" t="str">
        <f t="shared" si="3"/>
        <v>Wed</v>
      </c>
      <c r="F692" s="15">
        <f t="shared" si="4"/>
        <v>3</v>
      </c>
      <c r="G692" s="16">
        <v>42397.0</v>
      </c>
      <c r="H692" s="14">
        <f t="shared" si="5"/>
        <v>8</v>
      </c>
      <c r="I692" s="7" t="s">
        <v>399</v>
      </c>
      <c r="J692" s="7" t="s">
        <v>611</v>
      </c>
      <c r="K692" s="7" t="str">
        <f>VLOOKUP(J692,countries,2,false)</f>
        <v>Portugal</v>
      </c>
      <c r="L692" s="7" t="str">
        <f>VLOOKUP($J692,countries,5,false)</f>
        <v>Europe</v>
      </c>
      <c r="M692" s="7" t="str">
        <f>VLOOKUP($J692,countries,6,false)</f>
        <v>Southern Europe</v>
      </c>
      <c r="N692" s="7">
        <v>1270.0</v>
      </c>
      <c r="O692" s="7" t="str">
        <f>VLOOKUP(N692, products, 2, FALSE)</f>
        <v>Beverages</v>
      </c>
      <c r="P692" s="7" t="s">
        <v>334</v>
      </c>
      <c r="Q692" s="7">
        <v>3256.0</v>
      </c>
      <c r="R692" s="17">
        <v>47.45</v>
      </c>
      <c r="S692" s="17">
        <v>31.79</v>
      </c>
      <c r="U692" s="18">
        <f t="shared" si="6"/>
        <v>154497.2</v>
      </c>
      <c r="V692" s="18">
        <f t="shared" si="7"/>
        <v>103508.24</v>
      </c>
      <c r="W692" s="19">
        <f t="shared" si="8"/>
        <v>50988.96</v>
      </c>
    </row>
    <row r="693">
      <c r="A693" s="7">
        <v>5.56263816E8</v>
      </c>
      <c r="B693" s="12">
        <v>40882.0</v>
      </c>
      <c r="C693" s="7">
        <f t="shared" si="1"/>
        <v>2011</v>
      </c>
      <c r="D693" s="14" t="str">
        <f t="shared" si="2"/>
        <v>12 - Dec</v>
      </c>
      <c r="E693" s="15" t="str">
        <f t="shared" si="3"/>
        <v>Mon</v>
      </c>
      <c r="F693" s="15">
        <f t="shared" si="4"/>
        <v>1</v>
      </c>
      <c r="G693" s="16">
        <v>40884.0</v>
      </c>
      <c r="H693" s="14">
        <f t="shared" si="5"/>
        <v>2</v>
      </c>
      <c r="I693" s="7" t="s">
        <v>232</v>
      </c>
      <c r="J693" s="7" t="s">
        <v>517</v>
      </c>
      <c r="K693" s="7" t="str">
        <f>VLOOKUP(J693,countries,2,false)</f>
        <v>Spain</v>
      </c>
      <c r="L693" s="7" t="str">
        <f>VLOOKUP($J693,countries,5,false)</f>
        <v>Europe</v>
      </c>
      <c r="M693" s="7" t="str">
        <f>VLOOKUP($J693,countries,6,false)</f>
        <v>Southern Europe</v>
      </c>
      <c r="N693" s="7">
        <v>1270.0</v>
      </c>
      <c r="O693" s="7" t="str">
        <f>VLOOKUP(N693, products, 2, FALSE)</f>
        <v>Beverages</v>
      </c>
      <c r="P693" s="7" t="s">
        <v>264</v>
      </c>
      <c r="Q693" s="7">
        <v>9679.0</v>
      </c>
      <c r="R693" s="17">
        <v>47.45</v>
      </c>
      <c r="S693" s="17">
        <v>31.79</v>
      </c>
      <c r="U693" s="18">
        <f t="shared" si="6"/>
        <v>459268.55</v>
      </c>
      <c r="V693" s="18">
        <f t="shared" si="7"/>
        <v>307695.41</v>
      </c>
      <c r="W693" s="19">
        <f t="shared" si="8"/>
        <v>151573.14</v>
      </c>
    </row>
    <row r="694">
      <c r="A694" s="7">
        <v>5.56647908E8</v>
      </c>
      <c r="B694" s="12">
        <v>41182.0</v>
      </c>
      <c r="C694" s="7">
        <f t="shared" si="1"/>
        <v>2012</v>
      </c>
      <c r="D694" s="14" t="str">
        <f t="shared" si="2"/>
        <v>09 - Sep</v>
      </c>
      <c r="E694" s="15" t="str">
        <f t="shared" si="3"/>
        <v>Sun</v>
      </c>
      <c r="F694" s="15">
        <f t="shared" si="4"/>
        <v>7</v>
      </c>
      <c r="G694" s="16">
        <v>41211.0</v>
      </c>
      <c r="H694" s="14">
        <f t="shared" si="5"/>
        <v>29</v>
      </c>
      <c r="I694" s="7" t="s">
        <v>305</v>
      </c>
      <c r="J694" s="7" t="s">
        <v>681</v>
      </c>
      <c r="K694" s="7" t="str">
        <f>VLOOKUP(J694,countries,2,false)</f>
        <v>United Kingdom</v>
      </c>
      <c r="L694" s="7" t="str">
        <f>VLOOKUP($J694,countries,5,false)</f>
        <v>Europe</v>
      </c>
      <c r="M694" s="7" t="str">
        <f>VLOOKUP($J694,countries,6,false)</f>
        <v>Northern Europe</v>
      </c>
      <c r="N694" s="7">
        <v>5988.0</v>
      </c>
      <c r="O694" s="7" t="str">
        <f>VLOOKUP(N694, products, 2, FALSE)</f>
        <v>Vegetables</v>
      </c>
      <c r="P694" s="7" t="s">
        <v>264</v>
      </c>
      <c r="Q694" s="7">
        <v>3341.0</v>
      </c>
      <c r="R694" s="17">
        <v>154.06</v>
      </c>
      <c r="S694" s="17">
        <v>90.93</v>
      </c>
      <c r="U694" s="18">
        <f t="shared" si="6"/>
        <v>514714.46</v>
      </c>
      <c r="V694" s="18">
        <f t="shared" si="7"/>
        <v>303797.13</v>
      </c>
      <c r="W694" s="19">
        <f t="shared" si="8"/>
        <v>210917.33</v>
      </c>
    </row>
    <row r="695">
      <c r="A695" s="7">
        <v>5.56947886E8</v>
      </c>
      <c r="B695" s="12">
        <v>40638.0</v>
      </c>
      <c r="C695" s="7">
        <f t="shared" si="1"/>
        <v>2011</v>
      </c>
      <c r="D695" s="14" t="str">
        <f t="shared" si="2"/>
        <v>04 - Apr</v>
      </c>
      <c r="E695" s="15" t="str">
        <f t="shared" si="3"/>
        <v>Tue</v>
      </c>
      <c r="F695" s="15">
        <f t="shared" si="4"/>
        <v>2</v>
      </c>
      <c r="G695" s="16">
        <v>40680.0</v>
      </c>
      <c r="H695" s="14">
        <f t="shared" si="5"/>
        <v>42</v>
      </c>
      <c r="I695" s="7" t="s">
        <v>364</v>
      </c>
      <c r="J695" s="7" t="s">
        <v>67</v>
      </c>
      <c r="K695" s="7" t="str">
        <f>VLOOKUP(J695,countries,2,false)</f>
        <v>Andorra</v>
      </c>
      <c r="L695" s="7" t="str">
        <f>VLOOKUP($J695,countries,5,false)</f>
        <v>Europe</v>
      </c>
      <c r="M695" s="7" t="str">
        <f>VLOOKUP($J695,countries,6,false)</f>
        <v>Southern Europe</v>
      </c>
      <c r="N695" s="7">
        <v>2103.0</v>
      </c>
      <c r="O695" s="7" t="str">
        <f>VLOOKUP(N695, products, 2, FALSE)</f>
        <v>Cereal</v>
      </c>
      <c r="P695" s="7" t="s">
        <v>264</v>
      </c>
      <c r="Q695" s="7">
        <v>2111.0</v>
      </c>
      <c r="R695" s="17">
        <v>205.7</v>
      </c>
      <c r="S695" s="17">
        <v>117.11</v>
      </c>
      <c r="U695" s="18">
        <f t="shared" si="6"/>
        <v>434232.7</v>
      </c>
      <c r="V695" s="18">
        <f t="shared" si="7"/>
        <v>247219.21</v>
      </c>
      <c r="W695" s="19">
        <f t="shared" si="8"/>
        <v>187013.49</v>
      </c>
    </row>
    <row r="696">
      <c r="A696" s="7">
        <v>5.59183347E8</v>
      </c>
      <c r="B696" s="12">
        <v>41743.0</v>
      </c>
      <c r="C696" s="7">
        <f t="shared" si="1"/>
        <v>2014</v>
      </c>
      <c r="D696" s="14" t="str">
        <f t="shared" si="2"/>
        <v>04 - Apr</v>
      </c>
      <c r="E696" s="15" t="str">
        <f t="shared" si="3"/>
        <v>Mon</v>
      </c>
      <c r="F696" s="15">
        <f t="shared" si="4"/>
        <v>1</v>
      </c>
      <c r="G696" s="16">
        <v>41780.0</v>
      </c>
      <c r="H696" s="14">
        <f t="shared" si="5"/>
        <v>37</v>
      </c>
      <c r="I696" s="7" t="s">
        <v>364</v>
      </c>
      <c r="J696" s="7" t="s">
        <v>771</v>
      </c>
      <c r="K696" s="7" t="str">
        <f>VLOOKUP(J696,countries,2,false)</f>
        <v>Ukraine</v>
      </c>
      <c r="L696" s="7" t="str">
        <f>VLOOKUP($J696,countries,5,false)</f>
        <v>Europe</v>
      </c>
      <c r="M696" s="7" t="str">
        <f>VLOOKUP($J696,countries,6,false)</f>
        <v>Eastern Europe</v>
      </c>
      <c r="N696" s="7">
        <v>2103.0</v>
      </c>
      <c r="O696" s="7" t="str">
        <f>VLOOKUP(N696, products, 2, FALSE)</f>
        <v>Cereal</v>
      </c>
      <c r="P696" s="7" t="s">
        <v>334</v>
      </c>
      <c r="Q696" s="7">
        <v>3633.0</v>
      </c>
      <c r="R696" s="17">
        <v>205.7</v>
      </c>
      <c r="S696" s="17">
        <v>117.11</v>
      </c>
      <c r="U696" s="18">
        <f t="shared" si="6"/>
        <v>747308.1</v>
      </c>
      <c r="V696" s="18">
        <f t="shared" si="7"/>
        <v>425460.63</v>
      </c>
      <c r="W696" s="19">
        <f t="shared" si="8"/>
        <v>321847.47</v>
      </c>
    </row>
    <row r="697">
      <c r="A697" s="7">
        <v>5.59417665E8</v>
      </c>
      <c r="B697" s="12">
        <v>41330.0</v>
      </c>
      <c r="C697" s="7">
        <f t="shared" si="1"/>
        <v>2013</v>
      </c>
      <c r="D697" s="14" t="str">
        <f t="shared" si="2"/>
        <v>02 - Feb</v>
      </c>
      <c r="E697" s="15" t="str">
        <f t="shared" si="3"/>
        <v>Mon</v>
      </c>
      <c r="F697" s="15">
        <f t="shared" si="4"/>
        <v>1</v>
      </c>
      <c r="G697" s="16">
        <v>41333.0</v>
      </c>
      <c r="H697" s="14">
        <f t="shared" si="5"/>
        <v>3</v>
      </c>
      <c r="I697" s="7" t="s">
        <v>232</v>
      </c>
      <c r="J697" s="7" t="s">
        <v>306</v>
      </c>
      <c r="K697" s="7" t="str">
        <f>VLOOKUP(J697,countries,2,false)</f>
        <v>Serbia</v>
      </c>
      <c r="L697" s="7" t="str">
        <f>VLOOKUP($J697,countries,5,false)</f>
        <v>Europe</v>
      </c>
      <c r="M697" s="7" t="str">
        <f>VLOOKUP($J697,countries,6,false)</f>
        <v>Southern Europe</v>
      </c>
      <c r="N697" s="7">
        <v>5988.0</v>
      </c>
      <c r="O697" s="7" t="str">
        <f>VLOOKUP(N697, products, 2, FALSE)</f>
        <v>Vegetables</v>
      </c>
      <c r="P697" s="7" t="s">
        <v>334</v>
      </c>
      <c r="Q697" s="7">
        <v>2973.0</v>
      </c>
      <c r="R697" s="17">
        <v>154.06</v>
      </c>
      <c r="S697" s="17">
        <v>90.93</v>
      </c>
      <c r="U697" s="18">
        <f t="shared" si="6"/>
        <v>458020.38</v>
      </c>
      <c r="V697" s="18">
        <f t="shared" si="7"/>
        <v>270334.89</v>
      </c>
      <c r="W697" s="19">
        <f t="shared" si="8"/>
        <v>187685.49</v>
      </c>
    </row>
    <row r="698">
      <c r="A698" s="7">
        <v>5.60389268E8</v>
      </c>
      <c r="B698" s="12">
        <v>42391.0</v>
      </c>
      <c r="C698" s="7">
        <f t="shared" si="1"/>
        <v>2016</v>
      </c>
      <c r="D698" s="14" t="str">
        <f t="shared" si="2"/>
        <v>01 - Jan</v>
      </c>
      <c r="E698" s="15" t="str">
        <f t="shared" si="3"/>
        <v>Fri</v>
      </c>
      <c r="F698" s="15">
        <f t="shared" si="4"/>
        <v>5</v>
      </c>
      <c r="G698" s="16">
        <v>42422.0</v>
      </c>
      <c r="H698" s="14">
        <f t="shared" si="5"/>
        <v>31</v>
      </c>
      <c r="I698" s="7" t="s">
        <v>232</v>
      </c>
      <c r="J698" s="7" t="s">
        <v>656</v>
      </c>
      <c r="K698" s="7" t="str">
        <f>VLOOKUP(J698,countries,2,false)</f>
        <v>San Marino</v>
      </c>
      <c r="L698" s="7" t="str">
        <f>VLOOKUP($J698,countries,5,false)</f>
        <v>Europe</v>
      </c>
      <c r="M698" s="7" t="str">
        <f>VLOOKUP($J698,countries,6,false)</f>
        <v>Southern Europe</v>
      </c>
      <c r="N698" s="7">
        <v>5988.0</v>
      </c>
      <c r="O698" s="7" t="str">
        <f>VLOOKUP(N698, products, 2, FALSE)</f>
        <v>Vegetables</v>
      </c>
      <c r="P698" s="7" t="s">
        <v>334</v>
      </c>
      <c r="Q698" s="7">
        <v>492.0</v>
      </c>
      <c r="R698" s="17">
        <v>154.06</v>
      </c>
      <c r="S698" s="17">
        <v>90.93</v>
      </c>
      <c r="U698" s="18">
        <f t="shared" si="6"/>
        <v>75797.52</v>
      </c>
      <c r="V698" s="18">
        <f t="shared" si="7"/>
        <v>44737.56</v>
      </c>
      <c r="W698" s="19">
        <f t="shared" si="8"/>
        <v>31059.96</v>
      </c>
    </row>
    <row r="699">
      <c r="A699" s="7">
        <v>5.60762631E8</v>
      </c>
      <c r="B699" s="12">
        <v>42188.0</v>
      </c>
      <c r="C699" s="7">
        <f t="shared" si="1"/>
        <v>2015</v>
      </c>
      <c r="D699" s="14" t="str">
        <f t="shared" si="2"/>
        <v>07 - Jul</v>
      </c>
      <c r="E699" s="15" t="str">
        <f t="shared" si="3"/>
        <v>Fri</v>
      </c>
      <c r="F699" s="15">
        <f t="shared" si="4"/>
        <v>5</v>
      </c>
      <c r="G699" s="16">
        <v>42201.0</v>
      </c>
      <c r="H699" s="14">
        <f t="shared" si="5"/>
        <v>13</v>
      </c>
      <c r="I699" s="7" t="s">
        <v>399</v>
      </c>
      <c r="J699" s="7" t="s">
        <v>681</v>
      </c>
      <c r="K699" s="7" t="str">
        <f>VLOOKUP(J699,countries,2,false)</f>
        <v>United Kingdom</v>
      </c>
      <c r="L699" s="7" t="str">
        <f>VLOOKUP($J699,countries,5,false)</f>
        <v>Europe</v>
      </c>
      <c r="M699" s="7" t="str">
        <f>VLOOKUP($J699,countries,6,false)</f>
        <v>Northern Europe</v>
      </c>
      <c r="N699" s="7">
        <v>8681.0</v>
      </c>
      <c r="O699" s="7" t="str">
        <f>VLOOKUP(N699, products, 2, FALSE)</f>
        <v>Office Supplies</v>
      </c>
      <c r="P699" s="7" t="s">
        <v>264</v>
      </c>
      <c r="Q699" s="7">
        <v>979.0</v>
      </c>
      <c r="R699" s="17">
        <v>651.21</v>
      </c>
      <c r="S699" s="17">
        <v>524.96</v>
      </c>
      <c r="U699" s="18">
        <f t="shared" si="6"/>
        <v>637534.59</v>
      </c>
      <c r="V699" s="18">
        <f t="shared" si="7"/>
        <v>513935.84</v>
      </c>
      <c r="W699" s="19">
        <f t="shared" si="8"/>
        <v>123598.75</v>
      </c>
    </row>
    <row r="700">
      <c r="A700" s="7">
        <v>5.61534678E8</v>
      </c>
      <c r="B700" s="12">
        <v>41641.0</v>
      </c>
      <c r="C700" s="7">
        <f t="shared" si="1"/>
        <v>2014</v>
      </c>
      <c r="D700" s="14" t="str">
        <f t="shared" si="2"/>
        <v>01 - Jan</v>
      </c>
      <c r="E700" s="15" t="str">
        <f t="shared" si="3"/>
        <v>Thu</v>
      </c>
      <c r="F700" s="15">
        <f t="shared" si="4"/>
        <v>4</v>
      </c>
      <c r="G700" s="16">
        <v>41668.0</v>
      </c>
      <c r="H700" s="14">
        <f t="shared" si="5"/>
        <v>27</v>
      </c>
      <c r="I700" s="7" t="s">
        <v>364</v>
      </c>
      <c r="J700" s="7" t="s">
        <v>240</v>
      </c>
      <c r="K700" s="7" t="str">
        <f>VLOOKUP(J700,countries,2,false)</f>
        <v>Cyprus</v>
      </c>
      <c r="L700" s="7" t="str">
        <f>VLOOKUP($J700,countries,5,false)</f>
        <v>Asia</v>
      </c>
      <c r="M700" s="7" t="str">
        <f>VLOOKUP($J700,countries,6,false)</f>
        <v>Western Asia</v>
      </c>
      <c r="N700" s="7">
        <v>3127.0</v>
      </c>
      <c r="O700" s="7" t="str">
        <f>VLOOKUP(N700, products, 2, FALSE)</f>
        <v>Personal Care</v>
      </c>
      <c r="P700" s="7" t="s">
        <v>264</v>
      </c>
      <c r="Q700" s="7">
        <v>9445.0</v>
      </c>
      <c r="R700" s="17">
        <v>81.73</v>
      </c>
      <c r="S700" s="17">
        <v>56.67</v>
      </c>
      <c r="U700" s="18">
        <f t="shared" si="6"/>
        <v>771939.85</v>
      </c>
      <c r="V700" s="18">
        <f t="shared" si="7"/>
        <v>535248.15</v>
      </c>
      <c r="W700" s="19">
        <f t="shared" si="8"/>
        <v>236691.7</v>
      </c>
    </row>
    <row r="701">
      <c r="A701" s="7">
        <v>5.63939225E8</v>
      </c>
      <c r="B701" s="12">
        <v>40493.0</v>
      </c>
      <c r="C701" s="7">
        <f t="shared" si="1"/>
        <v>2010</v>
      </c>
      <c r="D701" s="14" t="str">
        <f t="shared" si="2"/>
        <v>11 - Nov</v>
      </c>
      <c r="E701" s="15" t="str">
        <f t="shared" si="3"/>
        <v>Thu</v>
      </c>
      <c r="F701" s="15">
        <f t="shared" si="4"/>
        <v>4</v>
      </c>
      <c r="G701" s="16">
        <v>40531.0</v>
      </c>
      <c r="H701" s="14">
        <f t="shared" si="5"/>
        <v>38</v>
      </c>
      <c r="I701" s="7" t="s">
        <v>305</v>
      </c>
      <c r="J701" s="7" t="s">
        <v>381</v>
      </c>
      <c r="K701" s="7" t="str">
        <f>VLOOKUP(J701,countries,2,false)</f>
        <v>Iceland</v>
      </c>
      <c r="L701" s="7" t="str">
        <f>VLOOKUP($J701,countries,5,false)</f>
        <v>Europe</v>
      </c>
      <c r="M701" s="7" t="str">
        <f>VLOOKUP($J701,countries,6,false)</f>
        <v>Northern Europe</v>
      </c>
      <c r="N701" s="7">
        <v>2455.0</v>
      </c>
      <c r="O701" s="7" t="str">
        <f>VLOOKUP(N701, products, 2, FALSE)</f>
        <v>Clothes</v>
      </c>
      <c r="P701" s="7" t="s">
        <v>334</v>
      </c>
      <c r="Q701" s="7">
        <v>1004.0</v>
      </c>
      <c r="R701" s="17">
        <v>109.28</v>
      </c>
      <c r="S701" s="17">
        <v>35.84</v>
      </c>
      <c r="U701" s="18">
        <f t="shared" si="6"/>
        <v>109717.12</v>
      </c>
      <c r="V701" s="18">
        <f t="shared" si="7"/>
        <v>35983.36</v>
      </c>
      <c r="W701" s="19">
        <f t="shared" si="8"/>
        <v>73733.76</v>
      </c>
    </row>
    <row r="702">
      <c r="A702" s="7">
        <v>5.64173543E8</v>
      </c>
      <c r="B702" s="12">
        <v>42846.0</v>
      </c>
      <c r="C702" s="7">
        <f t="shared" si="1"/>
        <v>2017</v>
      </c>
      <c r="D702" s="14" t="str">
        <f t="shared" si="2"/>
        <v>04 - Apr</v>
      </c>
      <c r="E702" s="15" t="str">
        <f t="shared" si="3"/>
        <v>Fri</v>
      </c>
      <c r="F702" s="15">
        <f t="shared" si="4"/>
        <v>5</v>
      </c>
      <c r="G702" s="16">
        <v>42851.0</v>
      </c>
      <c r="H702" s="14">
        <f t="shared" si="5"/>
        <v>5</v>
      </c>
      <c r="I702" s="7" t="s">
        <v>364</v>
      </c>
      <c r="J702" s="7" t="s">
        <v>293</v>
      </c>
      <c r="K702" s="7" t="str">
        <f>VLOOKUP(J702,countries,2,false)</f>
        <v>Finland</v>
      </c>
      <c r="L702" s="7" t="str">
        <f>VLOOKUP($J702,countries,5,false)</f>
        <v>Europe</v>
      </c>
      <c r="M702" s="7" t="str">
        <f>VLOOKUP($J702,countries,6,false)</f>
        <v>Northern Europe</v>
      </c>
      <c r="N702" s="7">
        <v>7331.0</v>
      </c>
      <c r="O702" s="7" t="str">
        <f>VLOOKUP(N702, products, 2, FALSE)</f>
        <v>Baby Food</v>
      </c>
      <c r="P702" s="7" t="s">
        <v>334</v>
      </c>
      <c r="Q702" s="7">
        <v>343.0</v>
      </c>
      <c r="R702" s="17">
        <v>255.28</v>
      </c>
      <c r="S702" s="17">
        <v>159.42</v>
      </c>
      <c r="U702" s="18">
        <f t="shared" si="6"/>
        <v>87561.04</v>
      </c>
      <c r="V702" s="18">
        <f t="shared" si="7"/>
        <v>54681.06</v>
      </c>
      <c r="W702" s="19">
        <f t="shared" si="8"/>
        <v>32879.98</v>
      </c>
    </row>
    <row r="703">
      <c r="A703" s="7">
        <v>5.66428315E8</v>
      </c>
      <c r="B703" s="12">
        <v>40984.0</v>
      </c>
      <c r="C703" s="7">
        <f t="shared" si="1"/>
        <v>2012</v>
      </c>
      <c r="D703" s="14" t="str">
        <f t="shared" si="2"/>
        <v>03 - Mar</v>
      </c>
      <c r="E703" s="15" t="str">
        <f t="shared" si="3"/>
        <v>Fri</v>
      </c>
      <c r="F703" s="15">
        <f t="shared" si="4"/>
        <v>5</v>
      </c>
      <c r="G703" s="16">
        <v>40991.0</v>
      </c>
      <c r="H703" s="14">
        <f t="shared" si="5"/>
        <v>7</v>
      </c>
      <c r="I703" s="7" t="s">
        <v>399</v>
      </c>
      <c r="J703" s="7" t="s">
        <v>293</v>
      </c>
      <c r="K703" s="7" t="str">
        <f>VLOOKUP(J703,countries,2,false)</f>
        <v>Finland</v>
      </c>
      <c r="L703" s="7" t="str">
        <f>VLOOKUP($J703,countries,5,false)</f>
        <v>Europe</v>
      </c>
      <c r="M703" s="7" t="str">
        <f>VLOOKUP($J703,countries,6,false)</f>
        <v>Northern Europe</v>
      </c>
      <c r="N703" s="7">
        <v>1270.0</v>
      </c>
      <c r="O703" s="7" t="str">
        <f>VLOOKUP(N703, products, 2, FALSE)</f>
        <v>Beverages</v>
      </c>
      <c r="P703" s="7" t="s">
        <v>264</v>
      </c>
      <c r="Q703" s="7">
        <v>7581.0</v>
      </c>
      <c r="R703" s="17">
        <v>47.45</v>
      </c>
      <c r="S703" s="17">
        <v>31.79</v>
      </c>
      <c r="U703" s="18">
        <f t="shared" si="6"/>
        <v>359718.45</v>
      </c>
      <c r="V703" s="18">
        <f t="shared" si="7"/>
        <v>240999.99</v>
      </c>
      <c r="W703" s="19">
        <f t="shared" si="8"/>
        <v>118718.46</v>
      </c>
    </row>
    <row r="704">
      <c r="A704" s="7">
        <v>5.67412793E8</v>
      </c>
      <c r="B704" s="12">
        <v>40989.0</v>
      </c>
      <c r="C704" s="7">
        <f t="shared" si="1"/>
        <v>2012</v>
      </c>
      <c r="D704" s="14" t="str">
        <f t="shared" si="2"/>
        <v>03 - Mar</v>
      </c>
      <c r="E704" s="15" t="str">
        <f t="shared" si="3"/>
        <v>Wed</v>
      </c>
      <c r="F704" s="15">
        <f t="shared" si="4"/>
        <v>3</v>
      </c>
      <c r="G704" s="16">
        <v>40995.0</v>
      </c>
      <c r="H704" s="14">
        <f t="shared" si="5"/>
        <v>6</v>
      </c>
      <c r="I704" s="7" t="s">
        <v>232</v>
      </c>
      <c r="J704" s="7" t="s">
        <v>720</v>
      </c>
      <c r="K704" s="7" t="str">
        <f>VLOOKUP(J704,countries,2,false)</f>
        <v>Switzerland</v>
      </c>
      <c r="L704" s="7" t="str">
        <f>VLOOKUP($J704,countries,5,false)</f>
        <v>Europe</v>
      </c>
      <c r="M704" s="7" t="str">
        <f>VLOOKUP($J704,countries,6,false)</f>
        <v>Western Europe</v>
      </c>
      <c r="N704" s="7">
        <v>4594.0</v>
      </c>
      <c r="O704" s="7" t="str">
        <f>VLOOKUP(N704, products, 2, FALSE)</f>
        <v>Fruits</v>
      </c>
      <c r="P704" s="7" t="s">
        <v>334</v>
      </c>
      <c r="Q704" s="7">
        <v>8910.0</v>
      </c>
      <c r="R704" s="17">
        <v>9.33</v>
      </c>
      <c r="S704" s="17">
        <v>6.92</v>
      </c>
      <c r="U704" s="18">
        <f t="shared" si="6"/>
        <v>83130.3</v>
      </c>
      <c r="V704" s="18">
        <f t="shared" si="7"/>
        <v>61657.2</v>
      </c>
      <c r="W704" s="19">
        <f t="shared" si="8"/>
        <v>21473.1</v>
      </c>
    </row>
    <row r="705">
      <c r="A705" s="7">
        <v>5.67751824E8</v>
      </c>
      <c r="B705" s="12">
        <v>40837.0</v>
      </c>
      <c r="C705" s="7">
        <f t="shared" si="1"/>
        <v>2011</v>
      </c>
      <c r="D705" s="14" t="str">
        <f t="shared" si="2"/>
        <v>10 - Oct</v>
      </c>
      <c r="E705" s="15" t="str">
        <f t="shared" si="3"/>
        <v>Fri</v>
      </c>
      <c r="F705" s="15">
        <f t="shared" si="4"/>
        <v>5</v>
      </c>
      <c r="G705" s="16">
        <v>40868.0</v>
      </c>
      <c r="H705" s="14">
        <f t="shared" si="5"/>
        <v>31</v>
      </c>
      <c r="I705" s="7" t="s">
        <v>305</v>
      </c>
      <c r="J705" s="7" t="s">
        <v>489</v>
      </c>
      <c r="K705" s="7" t="str">
        <f>VLOOKUP(J705,countries,2,false)</f>
        <v>Malta</v>
      </c>
      <c r="L705" s="7" t="str">
        <f>VLOOKUP($J705,countries,5,false)</f>
        <v>Europe</v>
      </c>
      <c r="M705" s="7" t="str">
        <f>VLOOKUP($J705,countries,6,false)</f>
        <v>Southern Europe</v>
      </c>
      <c r="N705" s="7">
        <v>8293.0</v>
      </c>
      <c r="O705" s="7" t="str">
        <f>VLOOKUP(N705, products, 2, FALSE)</f>
        <v>Cosmetics</v>
      </c>
      <c r="P705" s="7" t="s">
        <v>264</v>
      </c>
      <c r="Q705" s="7">
        <v>9236.0</v>
      </c>
      <c r="R705" s="17">
        <v>437.2</v>
      </c>
      <c r="S705" s="17">
        <v>263.33</v>
      </c>
      <c r="U705" s="18">
        <f t="shared" si="6"/>
        <v>4037979.2</v>
      </c>
      <c r="V705" s="18">
        <f t="shared" si="7"/>
        <v>2432115.88</v>
      </c>
      <c r="W705" s="19">
        <f t="shared" si="8"/>
        <v>1605863.32</v>
      </c>
    </row>
    <row r="706">
      <c r="A706" s="7">
        <v>5.69170606E8</v>
      </c>
      <c r="B706" s="12">
        <v>42832.0</v>
      </c>
      <c r="C706" s="7">
        <f t="shared" si="1"/>
        <v>2017</v>
      </c>
      <c r="D706" s="14" t="str">
        <f t="shared" si="2"/>
        <v>04 - Apr</v>
      </c>
      <c r="E706" s="15" t="str">
        <f t="shared" si="3"/>
        <v>Fri</v>
      </c>
      <c r="F706" s="15">
        <f t="shared" si="4"/>
        <v>5</v>
      </c>
      <c r="G706" s="16">
        <v>42838.0</v>
      </c>
      <c r="H706" s="14">
        <f t="shared" si="5"/>
        <v>6</v>
      </c>
      <c r="I706" s="7" t="s">
        <v>232</v>
      </c>
      <c r="J706" s="7" t="s">
        <v>447</v>
      </c>
      <c r="K706" s="7" t="str">
        <f>VLOOKUP(J706,countries,2,false)</f>
        <v>Latvia</v>
      </c>
      <c r="L706" s="7" t="str">
        <f>VLOOKUP($J706,countries,5,false)</f>
        <v>Europe</v>
      </c>
      <c r="M706" s="7" t="str">
        <f>VLOOKUP($J706,countries,6,false)</f>
        <v>Northern Europe</v>
      </c>
      <c r="N706" s="7">
        <v>8969.0</v>
      </c>
      <c r="O706" s="7" t="str">
        <f>VLOOKUP(N706, products, 2, FALSE)</f>
        <v>Snacks</v>
      </c>
      <c r="P706" s="7" t="s">
        <v>334</v>
      </c>
      <c r="Q706" s="7">
        <v>9085.0</v>
      </c>
      <c r="R706" s="17">
        <v>152.58</v>
      </c>
      <c r="S706" s="17">
        <v>97.44</v>
      </c>
      <c r="U706" s="18">
        <f t="shared" si="6"/>
        <v>1386189.3</v>
      </c>
      <c r="V706" s="18">
        <f t="shared" si="7"/>
        <v>885242.4</v>
      </c>
      <c r="W706" s="19">
        <f t="shared" si="8"/>
        <v>500946.9</v>
      </c>
    </row>
    <row r="707">
      <c r="A707" s="7">
        <v>5.69864976E8</v>
      </c>
      <c r="B707" s="12">
        <v>42295.0</v>
      </c>
      <c r="C707" s="7">
        <f t="shared" si="1"/>
        <v>2015</v>
      </c>
      <c r="D707" s="14" t="str">
        <f t="shared" si="2"/>
        <v>10 - Oct</v>
      </c>
      <c r="E707" s="15" t="str">
        <f t="shared" si="3"/>
        <v>Sun</v>
      </c>
      <c r="F707" s="15">
        <f t="shared" si="4"/>
        <v>7</v>
      </c>
      <c r="G707" s="16">
        <v>42338.0</v>
      </c>
      <c r="H707" s="14">
        <f t="shared" si="5"/>
        <v>43</v>
      </c>
      <c r="I707" s="7" t="s">
        <v>232</v>
      </c>
      <c r="J707" s="7" t="s">
        <v>720</v>
      </c>
      <c r="K707" s="7" t="str">
        <f>VLOOKUP(J707,countries,2,false)</f>
        <v>Switzerland</v>
      </c>
      <c r="L707" s="7" t="str">
        <f>VLOOKUP($J707,countries,5,false)</f>
        <v>Europe</v>
      </c>
      <c r="M707" s="7" t="str">
        <f>VLOOKUP($J707,countries,6,false)</f>
        <v>Western Europe</v>
      </c>
      <c r="N707" s="7">
        <v>2103.0</v>
      </c>
      <c r="O707" s="7" t="str">
        <f>VLOOKUP(N707, products, 2, FALSE)</f>
        <v>Cereal</v>
      </c>
      <c r="P707" s="7" t="s">
        <v>334</v>
      </c>
      <c r="Q707" s="7">
        <v>4565.0</v>
      </c>
      <c r="R707" s="17">
        <v>205.7</v>
      </c>
      <c r="S707" s="17">
        <v>117.11</v>
      </c>
      <c r="U707" s="18">
        <f t="shared" si="6"/>
        <v>939020.5</v>
      </c>
      <c r="V707" s="18">
        <f t="shared" si="7"/>
        <v>534607.15</v>
      </c>
      <c r="W707" s="19">
        <f t="shared" si="8"/>
        <v>404413.35</v>
      </c>
    </row>
    <row r="708">
      <c r="A708" s="7">
        <v>5.69941365E8</v>
      </c>
      <c r="B708" s="12">
        <v>42667.0</v>
      </c>
      <c r="C708" s="7">
        <f t="shared" si="1"/>
        <v>2016</v>
      </c>
      <c r="D708" s="14" t="str">
        <f t="shared" si="2"/>
        <v>10 - Oct</v>
      </c>
      <c r="E708" s="15" t="str">
        <f t="shared" si="3"/>
        <v>Mon</v>
      </c>
      <c r="F708" s="15">
        <f t="shared" si="4"/>
        <v>1</v>
      </c>
      <c r="G708" s="16">
        <v>42700.0</v>
      </c>
      <c r="H708" s="14">
        <f t="shared" si="5"/>
        <v>33</v>
      </c>
      <c r="I708" s="7" t="s">
        <v>232</v>
      </c>
      <c r="J708" s="7" t="s">
        <v>67</v>
      </c>
      <c r="K708" s="7" t="str">
        <f>VLOOKUP(J708,countries,2,false)</f>
        <v>Andorra</v>
      </c>
      <c r="L708" s="7" t="str">
        <f>VLOOKUP($J708,countries,5,false)</f>
        <v>Europe</v>
      </c>
      <c r="M708" s="7" t="str">
        <f>VLOOKUP($J708,countries,6,false)</f>
        <v>Southern Europe</v>
      </c>
      <c r="N708" s="7">
        <v>7331.0</v>
      </c>
      <c r="O708" s="7" t="str">
        <f>VLOOKUP(N708, products, 2, FALSE)</f>
        <v>Baby Food</v>
      </c>
      <c r="P708" s="7" t="s">
        <v>264</v>
      </c>
      <c r="Q708" s="7">
        <v>7170.0</v>
      </c>
      <c r="R708" s="17">
        <v>255.28</v>
      </c>
      <c r="S708" s="17">
        <v>159.42</v>
      </c>
      <c r="U708" s="18">
        <f t="shared" si="6"/>
        <v>1830357.6</v>
      </c>
      <c r="V708" s="18">
        <f t="shared" si="7"/>
        <v>1143041.4</v>
      </c>
      <c r="W708" s="19">
        <f t="shared" si="8"/>
        <v>687316.2</v>
      </c>
    </row>
    <row r="709">
      <c r="A709" s="7">
        <v>5.7047652E8</v>
      </c>
      <c r="B709" s="12">
        <v>40532.0</v>
      </c>
      <c r="C709" s="7">
        <f t="shared" si="1"/>
        <v>2010</v>
      </c>
      <c r="D709" s="14" t="str">
        <f t="shared" si="2"/>
        <v>12 - Dec</v>
      </c>
      <c r="E709" s="15" t="str">
        <f t="shared" si="3"/>
        <v>Mon</v>
      </c>
      <c r="F709" s="15">
        <f t="shared" si="4"/>
        <v>1</v>
      </c>
      <c r="G709" s="16">
        <v>40536.0</v>
      </c>
      <c r="H709" s="14">
        <f t="shared" si="5"/>
        <v>4</v>
      </c>
      <c r="I709" s="7" t="s">
        <v>364</v>
      </c>
      <c r="J709" s="7" t="s">
        <v>41</v>
      </c>
      <c r="K709" s="7" t="str">
        <f>VLOOKUP(J709,countries,2,false)</f>
        <v>Albania</v>
      </c>
      <c r="L709" s="7" t="str">
        <f>VLOOKUP($J709,countries,5,false)</f>
        <v>Europe</v>
      </c>
      <c r="M709" s="7" t="str">
        <f>VLOOKUP($J709,countries,6,false)</f>
        <v>Southern Europe</v>
      </c>
      <c r="N709" s="7">
        <v>7940.0</v>
      </c>
      <c r="O709" s="7" t="str">
        <f>VLOOKUP(N709, products, 2, FALSE)</f>
        <v>Household</v>
      </c>
      <c r="P709" s="7" t="s">
        <v>264</v>
      </c>
      <c r="Q709" s="7">
        <v>5534.0</v>
      </c>
      <c r="R709" s="17">
        <v>668.27</v>
      </c>
      <c r="S709" s="17">
        <v>502.54</v>
      </c>
      <c r="U709" s="18">
        <f t="shared" si="6"/>
        <v>3698206.18</v>
      </c>
      <c r="V709" s="18">
        <f t="shared" si="7"/>
        <v>2781056.36</v>
      </c>
      <c r="W709" s="19">
        <f t="shared" si="8"/>
        <v>917149.82</v>
      </c>
    </row>
    <row r="710">
      <c r="A710" s="7">
        <v>5.70703542E8</v>
      </c>
      <c r="B710" s="12">
        <v>40440.0</v>
      </c>
      <c r="C710" s="7">
        <f t="shared" si="1"/>
        <v>2010</v>
      </c>
      <c r="D710" s="14" t="str">
        <f t="shared" si="2"/>
        <v>09 - Sep</v>
      </c>
      <c r="E710" s="15" t="str">
        <f t="shared" si="3"/>
        <v>Sun</v>
      </c>
      <c r="F710" s="15">
        <f t="shared" si="4"/>
        <v>7</v>
      </c>
      <c r="G710" s="16">
        <v>40485.0</v>
      </c>
      <c r="H710" s="14">
        <f t="shared" si="5"/>
        <v>45</v>
      </c>
      <c r="I710" s="7" t="s">
        <v>305</v>
      </c>
      <c r="J710" s="7" t="s">
        <v>381</v>
      </c>
      <c r="K710" s="7" t="str">
        <f>VLOOKUP(J710,countries,2,false)</f>
        <v>Iceland</v>
      </c>
      <c r="L710" s="7" t="str">
        <f>VLOOKUP($J710,countries,5,false)</f>
        <v>Europe</v>
      </c>
      <c r="M710" s="7" t="str">
        <f>VLOOKUP($J710,countries,6,false)</f>
        <v>Northern Europe</v>
      </c>
      <c r="N710" s="7">
        <v>3127.0</v>
      </c>
      <c r="O710" s="7" t="str">
        <f>VLOOKUP(N710, products, 2, FALSE)</f>
        <v>Personal Care</v>
      </c>
      <c r="P710" s="7" t="s">
        <v>334</v>
      </c>
      <c r="Q710" s="7">
        <v>2715.0</v>
      </c>
      <c r="R710" s="17">
        <v>81.73</v>
      </c>
      <c r="S710" s="17">
        <v>56.67</v>
      </c>
      <c r="U710" s="18">
        <f t="shared" si="6"/>
        <v>221896.95</v>
      </c>
      <c r="V710" s="18">
        <f t="shared" si="7"/>
        <v>153859.05</v>
      </c>
      <c r="W710" s="19">
        <f t="shared" si="8"/>
        <v>68037.9</v>
      </c>
    </row>
    <row r="711">
      <c r="A711" s="7">
        <v>5.71161448E8</v>
      </c>
      <c r="B711" s="12">
        <v>41876.0</v>
      </c>
      <c r="C711" s="7">
        <f t="shared" si="1"/>
        <v>2014</v>
      </c>
      <c r="D711" s="14" t="str">
        <f t="shared" si="2"/>
        <v>08 - Aug</v>
      </c>
      <c r="E711" s="15" t="str">
        <f t="shared" si="3"/>
        <v>Mon</v>
      </c>
      <c r="F711" s="15">
        <f t="shared" si="4"/>
        <v>1</v>
      </c>
      <c r="G711" s="16">
        <v>41912.0</v>
      </c>
      <c r="H711" s="14">
        <f t="shared" si="5"/>
        <v>36</v>
      </c>
      <c r="I711" s="7" t="s">
        <v>364</v>
      </c>
      <c r="J711" s="7" t="s">
        <v>243</v>
      </c>
      <c r="K711" s="7" t="str">
        <f>VLOOKUP(J711,countries,2,false)</f>
        <v>Czech Republic</v>
      </c>
      <c r="L711" s="7" t="str">
        <f>VLOOKUP($J711,countries,5,false)</f>
        <v>Europe</v>
      </c>
      <c r="M711" s="7" t="str">
        <f>VLOOKUP($J711,countries,6,false)</f>
        <v>Eastern Europe</v>
      </c>
      <c r="N711" s="7">
        <v>7940.0</v>
      </c>
      <c r="O711" s="7" t="str">
        <f>VLOOKUP(N711, products, 2, FALSE)</f>
        <v>Household</v>
      </c>
      <c r="P711" s="7" t="s">
        <v>264</v>
      </c>
      <c r="Q711" s="7">
        <v>8220.0</v>
      </c>
      <c r="R711" s="17">
        <v>668.27</v>
      </c>
      <c r="S711" s="17">
        <v>502.54</v>
      </c>
      <c r="U711" s="18">
        <f t="shared" si="6"/>
        <v>5493179.4</v>
      </c>
      <c r="V711" s="18">
        <f t="shared" si="7"/>
        <v>4130878.8</v>
      </c>
      <c r="W711" s="19">
        <f t="shared" si="8"/>
        <v>1362300.6</v>
      </c>
    </row>
    <row r="712">
      <c r="A712" s="7">
        <v>5.71323239E8</v>
      </c>
      <c r="B712" s="12">
        <v>42711.0</v>
      </c>
      <c r="C712" s="7">
        <f t="shared" si="1"/>
        <v>2016</v>
      </c>
      <c r="D712" s="14" t="str">
        <f t="shared" si="2"/>
        <v>12 - Dec</v>
      </c>
      <c r="E712" s="15" t="str">
        <f t="shared" si="3"/>
        <v>Wed</v>
      </c>
      <c r="F712" s="15">
        <f t="shared" si="4"/>
        <v>3</v>
      </c>
      <c r="G712" s="16">
        <v>42736.0</v>
      </c>
      <c r="H712" s="14">
        <f t="shared" si="5"/>
        <v>25</v>
      </c>
      <c r="I712" s="7" t="s">
        <v>232</v>
      </c>
      <c r="J712" s="7" t="s">
        <v>90</v>
      </c>
      <c r="K712" s="7" t="str">
        <f>VLOOKUP(J712,countries,2,false)</f>
        <v>Armenia</v>
      </c>
      <c r="L712" s="7" t="str">
        <f>VLOOKUP($J712,countries,5,false)</f>
        <v>Asia</v>
      </c>
      <c r="M712" s="7" t="str">
        <f>VLOOKUP($J712,countries,6,false)</f>
        <v>Western Asia</v>
      </c>
      <c r="N712" s="7">
        <v>5988.0</v>
      </c>
      <c r="O712" s="7" t="str">
        <f>VLOOKUP(N712, products, 2, FALSE)</f>
        <v>Vegetables</v>
      </c>
      <c r="P712" s="7" t="s">
        <v>264</v>
      </c>
      <c r="Q712" s="7">
        <v>6097.0</v>
      </c>
      <c r="R712" s="17">
        <v>154.06</v>
      </c>
      <c r="S712" s="17">
        <v>90.93</v>
      </c>
      <c r="U712" s="18">
        <f t="shared" si="6"/>
        <v>939303.82</v>
      </c>
      <c r="V712" s="18">
        <f t="shared" si="7"/>
        <v>554400.21</v>
      </c>
      <c r="W712" s="19">
        <f t="shared" si="8"/>
        <v>384903.61</v>
      </c>
    </row>
    <row r="713">
      <c r="A713" s="7">
        <v>5.72634732E8</v>
      </c>
      <c r="B713" s="12">
        <v>42443.0</v>
      </c>
      <c r="C713" s="7">
        <f t="shared" si="1"/>
        <v>2016</v>
      </c>
      <c r="D713" s="14" t="str">
        <f t="shared" si="2"/>
        <v>03 - Mar</v>
      </c>
      <c r="E713" s="15" t="str">
        <f t="shared" si="3"/>
        <v>Mon</v>
      </c>
      <c r="F713" s="15">
        <f t="shared" si="4"/>
        <v>1</v>
      </c>
      <c r="G713" s="16">
        <v>42461.0</v>
      </c>
      <c r="H713" s="14">
        <f t="shared" si="5"/>
        <v>18</v>
      </c>
      <c r="I713" s="7" t="s">
        <v>399</v>
      </c>
      <c r="J713" s="7" t="s">
        <v>623</v>
      </c>
      <c r="K713" s="7" t="str">
        <f>VLOOKUP(J713,countries,2,false)</f>
        <v>Romania</v>
      </c>
      <c r="L713" s="7" t="str">
        <f>VLOOKUP($J713,countries,5,false)</f>
        <v>Europe</v>
      </c>
      <c r="M713" s="7" t="str">
        <f>VLOOKUP($J713,countries,6,false)</f>
        <v>Eastern Europe</v>
      </c>
      <c r="N713" s="7">
        <v>2103.0</v>
      </c>
      <c r="O713" s="7" t="str">
        <f>VLOOKUP(N713, products, 2, FALSE)</f>
        <v>Cereal</v>
      </c>
      <c r="P713" s="7" t="s">
        <v>264</v>
      </c>
      <c r="Q713" s="7">
        <v>4197.0</v>
      </c>
      <c r="R713" s="17">
        <v>205.7</v>
      </c>
      <c r="S713" s="17">
        <v>117.11</v>
      </c>
      <c r="U713" s="18">
        <f t="shared" si="6"/>
        <v>863322.9</v>
      </c>
      <c r="V713" s="18">
        <f t="shared" si="7"/>
        <v>491510.67</v>
      </c>
      <c r="W713" s="19">
        <f t="shared" si="8"/>
        <v>371812.23</v>
      </c>
    </row>
    <row r="714">
      <c r="A714" s="7">
        <v>5.74247491E8</v>
      </c>
      <c r="B714" s="12">
        <v>41248.0</v>
      </c>
      <c r="C714" s="7">
        <f t="shared" si="1"/>
        <v>2012</v>
      </c>
      <c r="D714" s="14" t="str">
        <f t="shared" si="2"/>
        <v>12 - Dec</v>
      </c>
      <c r="E714" s="15" t="str">
        <f t="shared" si="3"/>
        <v>Wed</v>
      </c>
      <c r="F714" s="15">
        <f t="shared" si="4"/>
        <v>3</v>
      </c>
      <c r="G714" s="16">
        <v>41260.0</v>
      </c>
      <c r="H714" s="14">
        <f t="shared" si="5"/>
        <v>12</v>
      </c>
      <c r="I714" s="7" t="s">
        <v>399</v>
      </c>
      <c r="J714" s="7" t="s">
        <v>243</v>
      </c>
      <c r="K714" s="7" t="str">
        <f>VLOOKUP(J714,countries,2,false)</f>
        <v>Czech Republic</v>
      </c>
      <c r="L714" s="7" t="str">
        <f>VLOOKUP($J714,countries,5,false)</f>
        <v>Europe</v>
      </c>
      <c r="M714" s="7" t="str">
        <f>VLOOKUP($J714,countries,6,false)</f>
        <v>Eastern Europe</v>
      </c>
      <c r="N714" s="7">
        <v>7940.0</v>
      </c>
      <c r="O714" s="7" t="str">
        <f>VLOOKUP(N714, products, 2, FALSE)</f>
        <v>Household</v>
      </c>
      <c r="P714" s="7" t="s">
        <v>334</v>
      </c>
      <c r="Q714" s="7">
        <v>1448.0</v>
      </c>
      <c r="R714" s="17">
        <v>668.27</v>
      </c>
      <c r="S714" s="17">
        <v>502.54</v>
      </c>
      <c r="U714" s="18">
        <f t="shared" si="6"/>
        <v>967654.96</v>
      </c>
      <c r="V714" s="18">
        <f t="shared" si="7"/>
        <v>727677.92</v>
      </c>
      <c r="W714" s="19">
        <f t="shared" si="8"/>
        <v>239977.04</v>
      </c>
    </row>
    <row r="715">
      <c r="A715" s="7">
        <v>5.74925124E8</v>
      </c>
      <c r="B715" s="12">
        <v>42914.0</v>
      </c>
      <c r="C715" s="7">
        <f t="shared" si="1"/>
        <v>2017</v>
      </c>
      <c r="D715" s="14" t="str">
        <f t="shared" si="2"/>
        <v>06 - Jun</v>
      </c>
      <c r="E715" s="15" t="str">
        <f t="shared" si="3"/>
        <v>Wed</v>
      </c>
      <c r="F715" s="15">
        <f t="shared" si="4"/>
        <v>3</v>
      </c>
      <c r="G715" s="16">
        <v>42929.0</v>
      </c>
      <c r="H715" s="14">
        <f t="shared" si="5"/>
        <v>15</v>
      </c>
      <c r="I715" s="7" t="s">
        <v>232</v>
      </c>
      <c r="J715" s="7" t="s">
        <v>771</v>
      </c>
      <c r="K715" s="7" t="str">
        <f>VLOOKUP(J715,countries,2,false)</f>
        <v>Ukraine</v>
      </c>
      <c r="L715" s="7" t="str">
        <f>VLOOKUP($J715,countries,5,false)</f>
        <v>Europe</v>
      </c>
      <c r="M715" s="7" t="str">
        <f>VLOOKUP($J715,countries,6,false)</f>
        <v>Eastern Europe</v>
      </c>
      <c r="N715" s="7">
        <v>8293.0</v>
      </c>
      <c r="O715" s="7" t="str">
        <f>VLOOKUP(N715, products, 2, FALSE)</f>
        <v>Cosmetics</v>
      </c>
      <c r="P715" s="7" t="s">
        <v>334</v>
      </c>
      <c r="Q715" s="7">
        <v>1975.0</v>
      </c>
      <c r="R715" s="17">
        <v>437.2</v>
      </c>
      <c r="S715" s="17">
        <v>263.33</v>
      </c>
      <c r="U715" s="18">
        <f t="shared" si="6"/>
        <v>863470</v>
      </c>
      <c r="V715" s="18">
        <f t="shared" si="7"/>
        <v>520076.75</v>
      </c>
      <c r="W715" s="19">
        <f t="shared" si="8"/>
        <v>343393.25</v>
      </c>
    </row>
    <row r="716">
      <c r="A716" s="7">
        <v>5.7547959E8</v>
      </c>
      <c r="B716" s="12">
        <v>40578.0</v>
      </c>
      <c r="C716" s="7">
        <f t="shared" si="1"/>
        <v>2011</v>
      </c>
      <c r="D716" s="14" t="str">
        <f t="shared" si="2"/>
        <v>02 - Feb</v>
      </c>
      <c r="E716" s="15" t="str">
        <f t="shared" si="3"/>
        <v>Fri</v>
      </c>
      <c r="F716" s="15">
        <f t="shared" si="4"/>
        <v>5</v>
      </c>
      <c r="G716" s="16">
        <v>40624.0</v>
      </c>
      <c r="H716" s="14">
        <f t="shared" si="5"/>
        <v>46</v>
      </c>
      <c r="I716" s="7" t="s">
        <v>364</v>
      </c>
      <c r="J716" s="7" t="s">
        <v>67</v>
      </c>
      <c r="K716" s="7" t="str">
        <f>VLOOKUP(J716,countries,2,false)</f>
        <v>Andorra</v>
      </c>
      <c r="L716" s="7" t="str">
        <f>VLOOKUP($J716,countries,5,false)</f>
        <v>Europe</v>
      </c>
      <c r="M716" s="7" t="str">
        <f>VLOOKUP($J716,countries,6,false)</f>
        <v>Southern Europe</v>
      </c>
      <c r="N716" s="7">
        <v>8969.0</v>
      </c>
      <c r="O716" s="7" t="str">
        <f>VLOOKUP(N716, products, 2, FALSE)</f>
        <v>Snacks</v>
      </c>
      <c r="P716" s="7" t="s">
        <v>264</v>
      </c>
      <c r="Q716" s="7">
        <v>6054.0</v>
      </c>
      <c r="R716" s="17">
        <v>152.58</v>
      </c>
      <c r="S716" s="17">
        <v>97.44</v>
      </c>
      <c r="U716" s="18">
        <f t="shared" si="6"/>
        <v>923719.32</v>
      </c>
      <c r="V716" s="18">
        <f t="shared" si="7"/>
        <v>589901.76</v>
      </c>
      <c r="W716" s="19">
        <f t="shared" si="8"/>
        <v>333817.56</v>
      </c>
    </row>
    <row r="717">
      <c r="A717" s="7">
        <v>5.75552117E8</v>
      </c>
      <c r="B717" s="12">
        <v>42097.0</v>
      </c>
      <c r="C717" s="7">
        <f t="shared" si="1"/>
        <v>2015</v>
      </c>
      <c r="D717" s="14" t="str">
        <f t="shared" si="2"/>
        <v>04 - Apr</v>
      </c>
      <c r="E717" s="15" t="str">
        <f t="shared" si="3"/>
        <v>Fri</v>
      </c>
      <c r="F717" s="15">
        <f t="shared" si="4"/>
        <v>5</v>
      </c>
      <c r="G717" s="16">
        <v>42120.0</v>
      </c>
      <c r="H717" s="14">
        <f t="shared" si="5"/>
        <v>23</v>
      </c>
      <c r="I717" s="7" t="s">
        <v>305</v>
      </c>
      <c r="J717" s="7" t="s">
        <v>101</v>
      </c>
      <c r="K717" s="7" t="str">
        <f>VLOOKUP(J717,countries,2,false)</f>
        <v>Austria</v>
      </c>
      <c r="L717" s="7" t="str">
        <f>VLOOKUP($J717,countries,5,false)</f>
        <v>Europe</v>
      </c>
      <c r="M717" s="7" t="str">
        <f>VLOOKUP($J717,countries,6,false)</f>
        <v>Western Europe</v>
      </c>
      <c r="N717" s="7">
        <v>8681.0</v>
      </c>
      <c r="O717" s="7" t="str">
        <f>VLOOKUP(N717, products, 2, FALSE)</f>
        <v>Office Supplies</v>
      </c>
      <c r="P717" s="7" t="s">
        <v>334</v>
      </c>
      <c r="Q717" s="7">
        <v>7516.0</v>
      </c>
      <c r="R717" s="17">
        <v>651.21</v>
      </c>
      <c r="S717" s="17">
        <v>524.96</v>
      </c>
      <c r="U717" s="18">
        <f t="shared" si="6"/>
        <v>4894494.36</v>
      </c>
      <c r="V717" s="18">
        <f t="shared" si="7"/>
        <v>3945599.36</v>
      </c>
      <c r="W717" s="19">
        <f t="shared" si="8"/>
        <v>948895</v>
      </c>
    </row>
    <row r="718">
      <c r="A718" s="7">
        <v>5.75583016E8</v>
      </c>
      <c r="B718" s="12">
        <v>41221.0</v>
      </c>
      <c r="C718" s="7">
        <f t="shared" si="1"/>
        <v>2012</v>
      </c>
      <c r="D718" s="14" t="str">
        <f t="shared" si="2"/>
        <v>11 - Nov</v>
      </c>
      <c r="E718" s="15" t="str">
        <f t="shared" si="3"/>
        <v>Thu</v>
      </c>
      <c r="F718" s="15">
        <f t="shared" si="4"/>
        <v>4</v>
      </c>
      <c r="G718" s="16">
        <v>41237.0</v>
      </c>
      <c r="H718" s="14">
        <f t="shared" si="5"/>
        <v>16</v>
      </c>
      <c r="I718" s="7" t="s">
        <v>305</v>
      </c>
      <c r="J718" s="7" t="s">
        <v>146</v>
      </c>
      <c r="K718" s="7" t="str">
        <f>VLOOKUP(J718,countries,2,false)</f>
        <v>Bosnia and Herzegovina</v>
      </c>
      <c r="L718" s="7" t="str">
        <f>VLOOKUP($J718,countries,5,false)</f>
        <v>Europe</v>
      </c>
      <c r="M718" s="7" t="str">
        <f>VLOOKUP($J718,countries,6,false)</f>
        <v>Southern Europe</v>
      </c>
      <c r="N718" s="7">
        <v>8681.0</v>
      </c>
      <c r="O718" s="7" t="str">
        <f>VLOOKUP(N718, products, 2, FALSE)</f>
        <v>Office Supplies</v>
      </c>
      <c r="P718" s="7" t="s">
        <v>334</v>
      </c>
      <c r="Q718" s="7">
        <v>6660.0</v>
      </c>
      <c r="R718" s="17">
        <v>651.21</v>
      </c>
      <c r="S718" s="17">
        <v>524.96</v>
      </c>
      <c r="U718" s="18">
        <f t="shared" si="6"/>
        <v>4337058.6</v>
      </c>
      <c r="V718" s="18">
        <f t="shared" si="7"/>
        <v>3496233.6</v>
      </c>
      <c r="W718" s="19">
        <f t="shared" si="8"/>
        <v>840825</v>
      </c>
    </row>
    <row r="719">
      <c r="A719" s="7">
        <v>5.75758969E8</v>
      </c>
      <c r="B719" s="12">
        <v>40617.0</v>
      </c>
      <c r="C719" s="7">
        <f t="shared" si="1"/>
        <v>2011</v>
      </c>
      <c r="D719" s="14" t="str">
        <f t="shared" si="2"/>
        <v>03 - Mar</v>
      </c>
      <c r="E719" s="15" t="str">
        <f t="shared" si="3"/>
        <v>Tue</v>
      </c>
      <c r="F719" s="15">
        <f t="shared" si="4"/>
        <v>2</v>
      </c>
      <c r="G719" s="16">
        <v>40631.0</v>
      </c>
      <c r="H719" s="14">
        <f t="shared" si="5"/>
        <v>14</v>
      </c>
      <c r="I719" s="7" t="s">
        <v>399</v>
      </c>
      <c r="J719" s="7" t="s">
        <v>296</v>
      </c>
      <c r="K719" s="7" t="str">
        <f>VLOOKUP(J719,countries,2,false)</f>
        <v>France</v>
      </c>
      <c r="L719" s="7" t="str">
        <f>VLOOKUP($J719,countries,5,false)</f>
        <v>Europe</v>
      </c>
      <c r="M719" s="7" t="str">
        <f>VLOOKUP($J719,countries,6,false)</f>
        <v>Western Europe</v>
      </c>
      <c r="N719" s="7">
        <v>3127.0</v>
      </c>
      <c r="O719" s="7" t="str">
        <f>VLOOKUP(N719, products, 2, FALSE)</f>
        <v>Personal Care</v>
      </c>
      <c r="P719" s="7" t="s">
        <v>264</v>
      </c>
      <c r="Q719" s="7">
        <v>8729.0</v>
      </c>
      <c r="R719" s="17">
        <v>81.73</v>
      </c>
      <c r="S719" s="17">
        <v>56.67</v>
      </c>
      <c r="U719" s="18">
        <f t="shared" si="6"/>
        <v>713421.17</v>
      </c>
      <c r="V719" s="18">
        <f t="shared" si="7"/>
        <v>494672.43</v>
      </c>
      <c r="W719" s="19">
        <f t="shared" si="8"/>
        <v>218748.74</v>
      </c>
    </row>
    <row r="720">
      <c r="A720" s="7">
        <v>5.7694472E8</v>
      </c>
      <c r="B720" s="12">
        <v>42643.0</v>
      </c>
      <c r="C720" s="7">
        <f t="shared" si="1"/>
        <v>2016</v>
      </c>
      <c r="D720" s="14" t="str">
        <f t="shared" si="2"/>
        <v>09 - Sep</v>
      </c>
      <c r="E720" s="15" t="str">
        <f t="shared" si="3"/>
        <v>Fri</v>
      </c>
      <c r="F720" s="15">
        <f t="shared" si="4"/>
        <v>5</v>
      </c>
      <c r="G720" s="16">
        <v>42652.0</v>
      </c>
      <c r="H720" s="14">
        <f t="shared" si="5"/>
        <v>9</v>
      </c>
      <c r="I720" s="7" t="s">
        <v>364</v>
      </c>
      <c r="J720" s="7" t="s">
        <v>41</v>
      </c>
      <c r="K720" s="7" t="str">
        <f>VLOOKUP(J720,countries,2,false)</f>
        <v>Albania</v>
      </c>
      <c r="L720" s="7" t="str">
        <f>VLOOKUP($J720,countries,5,false)</f>
        <v>Europe</v>
      </c>
      <c r="M720" s="7" t="str">
        <f>VLOOKUP($J720,countries,6,false)</f>
        <v>Southern Europe</v>
      </c>
      <c r="N720" s="7">
        <v>8293.0</v>
      </c>
      <c r="O720" s="7" t="str">
        <f>VLOOKUP(N720, products, 2, FALSE)</f>
        <v>Cosmetics</v>
      </c>
      <c r="P720" s="7" t="s">
        <v>334</v>
      </c>
      <c r="Q720" s="7">
        <v>9619.0</v>
      </c>
      <c r="R720" s="17">
        <v>437.2</v>
      </c>
      <c r="S720" s="17">
        <v>263.33</v>
      </c>
      <c r="U720" s="18">
        <f t="shared" si="6"/>
        <v>4205426.8</v>
      </c>
      <c r="V720" s="18">
        <f t="shared" si="7"/>
        <v>2532971.27</v>
      </c>
      <c r="W720" s="19">
        <f t="shared" si="8"/>
        <v>1672455.53</v>
      </c>
    </row>
    <row r="721">
      <c r="A721" s="7">
        <v>5.77530944E8</v>
      </c>
      <c r="B721" s="12">
        <v>41021.0</v>
      </c>
      <c r="C721" s="7">
        <f t="shared" si="1"/>
        <v>2012</v>
      </c>
      <c r="D721" s="14" t="str">
        <f t="shared" si="2"/>
        <v>04 - Apr</v>
      </c>
      <c r="E721" s="15" t="str">
        <f t="shared" si="3"/>
        <v>Sun</v>
      </c>
      <c r="F721" s="15">
        <f t="shared" si="4"/>
        <v>7</v>
      </c>
      <c r="G721" s="16">
        <v>41044.0</v>
      </c>
      <c r="H721" s="14">
        <f t="shared" si="5"/>
        <v>23</v>
      </c>
      <c r="I721" s="7" t="s">
        <v>305</v>
      </c>
      <c r="J721" s="7" t="s">
        <v>243</v>
      </c>
      <c r="K721" s="7" t="str">
        <f>VLOOKUP(J721,countries,2,false)</f>
        <v>Czech Republic</v>
      </c>
      <c r="L721" s="7" t="str">
        <f>VLOOKUP($J721,countries,5,false)</f>
        <v>Europe</v>
      </c>
      <c r="M721" s="7" t="str">
        <f>VLOOKUP($J721,countries,6,false)</f>
        <v>Eastern Europe</v>
      </c>
      <c r="N721" s="7">
        <v>3127.0</v>
      </c>
      <c r="O721" s="7" t="str">
        <f>VLOOKUP(N721, products, 2, FALSE)</f>
        <v>Personal Care</v>
      </c>
      <c r="P721" s="7" t="s">
        <v>264</v>
      </c>
      <c r="Q721" s="7">
        <v>3095.0</v>
      </c>
      <c r="R721" s="17">
        <v>81.73</v>
      </c>
      <c r="S721" s="17">
        <v>56.67</v>
      </c>
      <c r="U721" s="18">
        <f t="shared" si="6"/>
        <v>252954.35</v>
      </c>
      <c r="V721" s="18">
        <f t="shared" si="7"/>
        <v>175393.65</v>
      </c>
      <c r="W721" s="19">
        <f t="shared" si="8"/>
        <v>77560.7</v>
      </c>
    </row>
    <row r="722">
      <c r="A722" s="7">
        <v>5.78356206E8</v>
      </c>
      <c r="B722" s="12">
        <v>42194.0</v>
      </c>
      <c r="C722" s="7">
        <f t="shared" si="1"/>
        <v>2015</v>
      </c>
      <c r="D722" s="14" t="str">
        <f t="shared" si="2"/>
        <v>07 - Jul</v>
      </c>
      <c r="E722" s="15" t="str">
        <f t="shared" si="3"/>
        <v>Thu</v>
      </c>
      <c r="F722" s="15">
        <f t="shared" si="4"/>
        <v>4</v>
      </c>
      <c r="G722" s="16">
        <v>42200.0</v>
      </c>
      <c r="H722" s="14">
        <f t="shared" si="5"/>
        <v>6</v>
      </c>
      <c r="I722" s="7" t="s">
        <v>232</v>
      </c>
      <c r="J722" s="7" t="s">
        <v>381</v>
      </c>
      <c r="K722" s="7" t="str">
        <f>VLOOKUP(J722,countries,2,false)</f>
        <v>Iceland</v>
      </c>
      <c r="L722" s="7" t="str">
        <f>VLOOKUP($J722,countries,5,false)</f>
        <v>Europe</v>
      </c>
      <c r="M722" s="7" t="str">
        <f>VLOOKUP($J722,countries,6,false)</f>
        <v>Northern Europe</v>
      </c>
      <c r="N722" s="7">
        <v>8875.0</v>
      </c>
      <c r="O722" s="7" t="str">
        <f>VLOOKUP(N722, products, 2, FALSE)</f>
        <v>Meat</v>
      </c>
      <c r="P722" s="7" t="s">
        <v>264</v>
      </c>
      <c r="Q722" s="7">
        <v>7309.0</v>
      </c>
      <c r="R722" s="17">
        <v>421.89</v>
      </c>
      <c r="S722" s="17">
        <v>364.69</v>
      </c>
      <c r="U722" s="18">
        <f t="shared" si="6"/>
        <v>3083594.01</v>
      </c>
      <c r="V722" s="18">
        <f t="shared" si="7"/>
        <v>2665519.21</v>
      </c>
      <c r="W722" s="19">
        <f t="shared" si="8"/>
        <v>418074.8</v>
      </c>
    </row>
    <row r="723">
      <c r="A723" s="7">
        <v>5.78666484E8</v>
      </c>
      <c r="B723" s="12">
        <v>41357.0</v>
      </c>
      <c r="C723" s="7">
        <f t="shared" si="1"/>
        <v>2013</v>
      </c>
      <c r="D723" s="14" t="str">
        <f t="shared" si="2"/>
        <v>03 - Mar</v>
      </c>
      <c r="E723" s="15" t="str">
        <f t="shared" si="3"/>
        <v>Sun</v>
      </c>
      <c r="F723" s="15">
        <f t="shared" si="4"/>
        <v>7</v>
      </c>
      <c r="G723" s="16">
        <v>41375.0</v>
      </c>
      <c r="H723" s="14">
        <f t="shared" si="5"/>
        <v>18</v>
      </c>
      <c r="I723" s="7" t="s">
        <v>399</v>
      </c>
      <c r="J723" s="7" t="s">
        <v>626</v>
      </c>
      <c r="K723" s="7" t="str">
        <f>VLOOKUP(J723,countries,2,false)</f>
        <v>Russia</v>
      </c>
      <c r="L723" s="7" t="str">
        <f>VLOOKUP($J723,countries,5,false)</f>
        <v>Europe</v>
      </c>
      <c r="M723" s="7" t="str">
        <f>VLOOKUP($J723,countries,6,false)</f>
        <v>Eastern Europe</v>
      </c>
      <c r="N723" s="7">
        <v>4594.0</v>
      </c>
      <c r="O723" s="7" t="str">
        <f>VLOOKUP(N723, products, 2, FALSE)</f>
        <v>Fruits</v>
      </c>
      <c r="P723" s="7" t="s">
        <v>334</v>
      </c>
      <c r="Q723" s="7">
        <v>9127.0</v>
      </c>
      <c r="R723" s="17">
        <v>9.33</v>
      </c>
      <c r="S723" s="17">
        <v>6.92</v>
      </c>
      <c r="U723" s="18">
        <f t="shared" si="6"/>
        <v>85154.91</v>
      </c>
      <c r="V723" s="18">
        <f t="shared" si="7"/>
        <v>63158.84</v>
      </c>
      <c r="W723" s="19">
        <f t="shared" si="8"/>
        <v>21996.07</v>
      </c>
    </row>
    <row r="724">
      <c r="A724" s="7">
        <v>5.79094779E8</v>
      </c>
      <c r="B724" s="12">
        <v>40520.0</v>
      </c>
      <c r="C724" s="7">
        <f t="shared" si="1"/>
        <v>2010</v>
      </c>
      <c r="D724" s="14" t="str">
        <f t="shared" si="2"/>
        <v>12 - Dec</v>
      </c>
      <c r="E724" s="15" t="str">
        <f t="shared" si="3"/>
        <v>Wed</v>
      </c>
      <c r="F724" s="15">
        <f t="shared" si="4"/>
        <v>3</v>
      </c>
      <c r="G724" s="16">
        <v>40523.0</v>
      </c>
      <c r="H724" s="14">
        <f t="shared" si="5"/>
        <v>3</v>
      </c>
      <c r="I724" s="7" t="s">
        <v>232</v>
      </c>
      <c r="J724" s="7" t="s">
        <v>240</v>
      </c>
      <c r="K724" s="7" t="str">
        <f>VLOOKUP(J724,countries,2,false)</f>
        <v>Cyprus</v>
      </c>
      <c r="L724" s="7" t="str">
        <f>VLOOKUP($J724,countries,5,false)</f>
        <v>Asia</v>
      </c>
      <c r="M724" s="7" t="str">
        <f>VLOOKUP($J724,countries,6,false)</f>
        <v>Western Asia</v>
      </c>
      <c r="N724" s="7">
        <v>5988.0</v>
      </c>
      <c r="O724" s="7" t="str">
        <f>VLOOKUP(N724, products, 2, FALSE)</f>
        <v>Vegetables</v>
      </c>
      <c r="P724" s="7" t="s">
        <v>334</v>
      </c>
      <c r="Q724" s="7">
        <v>5869.0</v>
      </c>
      <c r="R724" s="17">
        <v>154.06</v>
      </c>
      <c r="S724" s="17">
        <v>90.93</v>
      </c>
      <c r="U724" s="18">
        <f t="shared" si="6"/>
        <v>904178.14</v>
      </c>
      <c r="V724" s="18">
        <f t="shared" si="7"/>
        <v>533668.17</v>
      </c>
      <c r="W724" s="19">
        <f t="shared" si="8"/>
        <v>370509.97</v>
      </c>
    </row>
    <row r="725">
      <c r="A725" s="7">
        <v>5.79463422E8</v>
      </c>
      <c r="B725" s="12">
        <v>42641.0</v>
      </c>
      <c r="C725" s="7">
        <f t="shared" si="1"/>
        <v>2016</v>
      </c>
      <c r="D725" s="14" t="str">
        <f t="shared" si="2"/>
        <v>09 - Sep</v>
      </c>
      <c r="E725" s="15" t="str">
        <f t="shared" si="3"/>
        <v>Wed</v>
      </c>
      <c r="F725" s="15">
        <f t="shared" si="4"/>
        <v>3</v>
      </c>
      <c r="G725" s="16">
        <v>42675.0</v>
      </c>
      <c r="H725" s="14">
        <f t="shared" si="5"/>
        <v>34</v>
      </c>
      <c r="I725" s="7" t="s">
        <v>364</v>
      </c>
      <c r="J725" s="7" t="s">
        <v>274</v>
      </c>
      <c r="K725" s="7" t="str">
        <f>VLOOKUP(J725,countries,2,false)</f>
        <v>Estonia</v>
      </c>
      <c r="L725" s="7" t="str">
        <f>VLOOKUP($J725,countries,5,false)</f>
        <v>Europe</v>
      </c>
      <c r="M725" s="7" t="str">
        <f>VLOOKUP($J725,countries,6,false)</f>
        <v>Northern Europe</v>
      </c>
      <c r="N725" s="7">
        <v>4594.0</v>
      </c>
      <c r="O725" s="7" t="str">
        <f>VLOOKUP(N725, products, 2, FALSE)</f>
        <v>Fruits</v>
      </c>
      <c r="P725" s="7" t="s">
        <v>264</v>
      </c>
      <c r="Q725" s="7">
        <v>4958.0</v>
      </c>
      <c r="R725" s="17">
        <v>9.33</v>
      </c>
      <c r="S725" s="17">
        <v>6.92</v>
      </c>
      <c r="U725" s="18">
        <f t="shared" si="6"/>
        <v>46258.14</v>
      </c>
      <c r="V725" s="18">
        <f t="shared" si="7"/>
        <v>34309.36</v>
      </c>
      <c r="W725" s="19">
        <f t="shared" si="8"/>
        <v>11948.78</v>
      </c>
    </row>
    <row r="726">
      <c r="A726" s="7">
        <v>5.80314862E8</v>
      </c>
      <c r="B726" s="12">
        <v>42496.0</v>
      </c>
      <c r="C726" s="7">
        <f t="shared" si="1"/>
        <v>2016</v>
      </c>
      <c r="D726" s="14" t="str">
        <f t="shared" si="2"/>
        <v>05 - May</v>
      </c>
      <c r="E726" s="15" t="str">
        <f t="shared" si="3"/>
        <v>Fri</v>
      </c>
      <c r="F726" s="15">
        <f t="shared" si="4"/>
        <v>5</v>
      </c>
      <c r="G726" s="16">
        <v>42502.0</v>
      </c>
      <c r="H726" s="14">
        <f t="shared" si="5"/>
        <v>6</v>
      </c>
      <c r="I726" s="7" t="s">
        <v>305</v>
      </c>
      <c r="J726" s="7" t="s">
        <v>381</v>
      </c>
      <c r="K726" s="7" t="str">
        <f>VLOOKUP(J726,countries,2,false)</f>
        <v>Iceland</v>
      </c>
      <c r="L726" s="7" t="str">
        <f>VLOOKUP($J726,countries,5,false)</f>
        <v>Europe</v>
      </c>
      <c r="M726" s="7" t="str">
        <f>VLOOKUP($J726,countries,6,false)</f>
        <v>Northern Europe</v>
      </c>
      <c r="N726" s="7">
        <v>7331.0</v>
      </c>
      <c r="O726" s="7" t="str">
        <f>VLOOKUP(N726, products, 2, FALSE)</f>
        <v>Baby Food</v>
      </c>
      <c r="P726" s="7" t="s">
        <v>334</v>
      </c>
      <c r="Q726" s="7">
        <v>6918.0</v>
      </c>
      <c r="R726" s="17">
        <v>255.28</v>
      </c>
      <c r="S726" s="17">
        <v>159.42</v>
      </c>
      <c r="U726" s="18">
        <f t="shared" si="6"/>
        <v>1766027.04</v>
      </c>
      <c r="V726" s="18">
        <f t="shared" si="7"/>
        <v>1102867.56</v>
      </c>
      <c r="W726" s="19">
        <f t="shared" si="8"/>
        <v>663159.48</v>
      </c>
    </row>
    <row r="727">
      <c r="A727" s="7">
        <v>5.80342328E8</v>
      </c>
      <c r="B727" s="12">
        <v>40796.0</v>
      </c>
      <c r="C727" s="7">
        <f t="shared" si="1"/>
        <v>2011</v>
      </c>
      <c r="D727" s="14" t="str">
        <f t="shared" si="2"/>
        <v>09 - Sep</v>
      </c>
      <c r="E727" s="15" t="str">
        <f t="shared" si="3"/>
        <v>Sat</v>
      </c>
      <c r="F727" s="15">
        <f t="shared" si="4"/>
        <v>6</v>
      </c>
      <c r="G727" s="16">
        <v>40830.0</v>
      </c>
      <c r="H727" s="14">
        <f t="shared" si="5"/>
        <v>34</v>
      </c>
      <c r="I727" s="7" t="s">
        <v>399</v>
      </c>
      <c r="J727" s="7" t="s">
        <v>90</v>
      </c>
      <c r="K727" s="7" t="str">
        <f>VLOOKUP(J727,countries,2,false)</f>
        <v>Armenia</v>
      </c>
      <c r="L727" s="7" t="str">
        <f>VLOOKUP($J727,countries,5,false)</f>
        <v>Asia</v>
      </c>
      <c r="M727" s="7" t="str">
        <f>VLOOKUP($J727,countries,6,false)</f>
        <v>Western Asia</v>
      </c>
      <c r="N727" s="7">
        <v>2103.0</v>
      </c>
      <c r="O727" s="7" t="str">
        <f>VLOOKUP(N727, products, 2, FALSE)</f>
        <v>Cereal</v>
      </c>
      <c r="P727" s="7" t="s">
        <v>334</v>
      </c>
      <c r="Q727" s="7">
        <v>5046.0</v>
      </c>
      <c r="R727" s="17">
        <v>205.7</v>
      </c>
      <c r="S727" s="17">
        <v>117.11</v>
      </c>
      <c r="U727" s="18">
        <f t="shared" si="6"/>
        <v>1037962.2</v>
      </c>
      <c r="V727" s="18">
        <f t="shared" si="7"/>
        <v>590937.06</v>
      </c>
      <c r="W727" s="19">
        <f t="shared" si="8"/>
        <v>447025.14</v>
      </c>
    </row>
    <row r="728">
      <c r="A728" s="7">
        <v>5.80463349E8</v>
      </c>
      <c r="B728" s="12">
        <v>40826.0</v>
      </c>
      <c r="C728" s="7">
        <f t="shared" si="1"/>
        <v>2011</v>
      </c>
      <c r="D728" s="14" t="str">
        <f t="shared" si="2"/>
        <v>10 - Oct</v>
      </c>
      <c r="E728" s="15" t="str">
        <f t="shared" si="3"/>
        <v>Mon</v>
      </c>
      <c r="F728" s="15">
        <f t="shared" si="4"/>
        <v>1</v>
      </c>
      <c r="G728" s="16">
        <v>40855.0</v>
      </c>
      <c r="H728" s="14">
        <f t="shared" si="5"/>
        <v>29</v>
      </c>
      <c r="I728" s="7" t="s">
        <v>305</v>
      </c>
      <c r="J728" s="7" t="s">
        <v>771</v>
      </c>
      <c r="K728" s="7" t="str">
        <f>VLOOKUP(J728,countries,2,false)</f>
        <v>Ukraine</v>
      </c>
      <c r="L728" s="7" t="str">
        <f>VLOOKUP($J728,countries,5,false)</f>
        <v>Europe</v>
      </c>
      <c r="M728" s="7" t="str">
        <f>VLOOKUP($J728,countries,6,false)</f>
        <v>Eastern Europe</v>
      </c>
      <c r="N728" s="7">
        <v>2103.0</v>
      </c>
      <c r="O728" s="7" t="str">
        <f>VLOOKUP(N728, products, 2, FALSE)</f>
        <v>Cereal</v>
      </c>
      <c r="P728" s="7" t="s">
        <v>334</v>
      </c>
      <c r="Q728" s="7">
        <v>859.0</v>
      </c>
      <c r="R728" s="17">
        <v>205.7</v>
      </c>
      <c r="S728" s="17">
        <v>117.11</v>
      </c>
      <c r="U728" s="18">
        <f t="shared" si="6"/>
        <v>176696.3</v>
      </c>
      <c r="V728" s="18">
        <f t="shared" si="7"/>
        <v>100597.49</v>
      </c>
      <c r="W728" s="19">
        <f t="shared" si="8"/>
        <v>76098.81</v>
      </c>
    </row>
    <row r="729">
      <c r="A729" s="7">
        <v>5.8056935E8</v>
      </c>
      <c r="B729" s="12">
        <v>40704.0</v>
      </c>
      <c r="C729" s="7">
        <f t="shared" si="1"/>
        <v>2011</v>
      </c>
      <c r="D729" s="14" t="str">
        <f t="shared" si="2"/>
        <v>06 - Jun</v>
      </c>
      <c r="E729" s="15" t="str">
        <f t="shared" si="3"/>
        <v>Fri</v>
      </c>
      <c r="F729" s="15">
        <f t="shared" si="4"/>
        <v>5</v>
      </c>
      <c r="G729" s="16">
        <v>40727.0</v>
      </c>
      <c r="H729" s="14">
        <f t="shared" si="5"/>
        <v>23</v>
      </c>
      <c r="I729" s="7" t="s">
        <v>232</v>
      </c>
      <c r="J729" s="7" t="s">
        <v>396</v>
      </c>
      <c r="K729" s="7" t="str">
        <f>VLOOKUP(J729,countries,2,false)</f>
        <v>Ireland</v>
      </c>
      <c r="L729" s="7" t="str">
        <f>VLOOKUP($J729,countries,5,false)</f>
        <v>Europe</v>
      </c>
      <c r="M729" s="7" t="str">
        <f>VLOOKUP($J729,countries,6,false)</f>
        <v>Northern Europe</v>
      </c>
      <c r="N729" s="7">
        <v>1270.0</v>
      </c>
      <c r="O729" s="7" t="str">
        <f>VLOOKUP(N729, products, 2, FALSE)</f>
        <v>Beverages</v>
      </c>
      <c r="P729" s="7" t="s">
        <v>334</v>
      </c>
      <c r="Q729" s="7">
        <v>2227.0</v>
      </c>
      <c r="R729" s="17">
        <v>47.45</v>
      </c>
      <c r="S729" s="17">
        <v>31.79</v>
      </c>
      <c r="U729" s="18">
        <f t="shared" si="6"/>
        <v>105671.15</v>
      </c>
      <c r="V729" s="18">
        <f t="shared" si="7"/>
        <v>70796.33</v>
      </c>
      <c r="W729" s="19">
        <f t="shared" si="8"/>
        <v>34874.82</v>
      </c>
    </row>
    <row r="730">
      <c r="A730" s="7">
        <v>5.8078221E8</v>
      </c>
      <c r="B730" s="12">
        <v>42051.0</v>
      </c>
      <c r="C730" s="7">
        <f t="shared" si="1"/>
        <v>2015</v>
      </c>
      <c r="D730" s="14" t="str">
        <f t="shared" si="2"/>
        <v>02 - Feb</v>
      </c>
      <c r="E730" s="15" t="str">
        <f t="shared" si="3"/>
        <v>Mon</v>
      </c>
      <c r="F730" s="15">
        <f t="shared" si="4"/>
        <v>1</v>
      </c>
      <c r="G730" s="16">
        <v>42055.0</v>
      </c>
      <c r="H730" s="14">
        <f t="shared" si="5"/>
        <v>4</v>
      </c>
      <c r="I730" s="7" t="s">
        <v>305</v>
      </c>
      <c r="J730" s="7" t="s">
        <v>348</v>
      </c>
      <c r="K730" s="7" t="s">
        <v>348</v>
      </c>
      <c r="L730" s="7" t="s">
        <v>348</v>
      </c>
      <c r="M730" s="7" t="s">
        <v>348</v>
      </c>
      <c r="N730" s="7">
        <v>8681.0</v>
      </c>
      <c r="O730" s="7" t="str">
        <f>VLOOKUP(N730, products, 2, FALSE)</f>
        <v>Office Supplies</v>
      </c>
      <c r="P730" s="7" t="s">
        <v>264</v>
      </c>
      <c r="Q730" s="7">
        <v>5217.0</v>
      </c>
      <c r="R730" s="17">
        <v>651.21</v>
      </c>
      <c r="S730" s="17">
        <v>524.96</v>
      </c>
      <c r="U730" s="18">
        <f t="shared" si="6"/>
        <v>3397362.57</v>
      </c>
      <c r="V730" s="18">
        <f t="shared" si="7"/>
        <v>2738716.32</v>
      </c>
      <c r="W730" s="19">
        <f t="shared" si="8"/>
        <v>658646.25</v>
      </c>
    </row>
    <row r="731">
      <c r="A731" s="7">
        <v>5.81193768E8</v>
      </c>
      <c r="B731" s="12">
        <v>40651.0</v>
      </c>
      <c r="C731" s="7">
        <f t="shared" si="1"/>
        <v>2011</v>
      </c>
      <c r="D731" s="14" t="str">
        <f t="shared" si="2"/>
        <v>04 - Apr</v>
      </c>
      <c r="E731" s="15" t="str">
        <f t="shared" si="3"/>
        <v>Mon</v>
      </c>
      <c r="F731" s="15">
        <f t="shared" si="4"/>
        <v>1</v>
      </c>
      <c r="G731" s="16">
        <v>40657.0</v>
      </c>
      <c r="H731" s="14">
        <f t="shared" si="5"/>
        <v>6</v>
      </c>
      <c r="I731" s="7" t="s">
        <v>232</v>
      </c>
      <c r="J731" s="7" t="s">
        <v>240</v>
      </c>
      <c r="K731" s="7" t="str">
        <f>VLOOKUP(J731,countries,2,false)</f>
        <v>Cyprus</v>
      </c>
      <c r="L731" s="7" t="str">
        <f>VLOOKUP($J731,countries,5,false)</f>
        <v>Asia</v>
      </c>
      <c r="M731" s="7" t="str">
        <f>VLOOKUP($J731,countries,6,false)</f>
        <v>Western Asia</v>
      </c>
      <c r="N731" s="7">
        <v>8969.0</v>
      </c>
      <c r="O731" s="7" t="str">
        <f>VLOOKUP(N731, products, 2, FALSE)</f>
        <v>Snacks</v>
      </c>
      <c r="P731" s="7" t="s">
        <v>264</v>
      </c>
      <c r="Q731" s="7">
        <v>7006.0</v>
      </c>
      <c r="R731" s="17">
        <v>152.58</v>
      </c>
      <c r="S731" s="17">
        <v>97.44</v>
      </c>
      <c r="U731" s="18">
        <f t="shared" si="6"/>
        <v>1068975.48</v>
      </c>
      <c r="V731" s="18">
        <f t="shared" si="7"/>
        <v>682664.64</v>
      </c>
      <c r="W731" s="19">
        <f t="shared" si="8"/>
        <v>386310.84</v>
      </c>
    </row>
    <row r="732">
      <c r="A732" s="7">
        <v>5.82560193E8</v>
      </c>
      <c r="B732" s="12">
        <v>42515.0</v>
      </c>
      <c r="C732" s="7">
        <f t="shared" si="1"/>
        <v>2016</v>
      </c>
      <c r="D732" s="14" t="str">
        <f t="shared" si="2"/>
        <v>05 - May</v>
      </c>
      <c r="E732" s="15" t="str">
        <f t="shared" si="3"/>
        <v>Wed</v>
      </c>
      <c r="F732" s="15">
        <f t="shared" si="4"/>
        <v>3</v>
      </c>
      <c r="G732" s="16">
        <v>42518.0</v>
      </c>
      <c r="H732" s="14">
        <f t="shared" si="5"/>
        <v>3</v>
      </c>
      <c r="I732" s="7" t="s">
        <v>364</v>
      </c>
      <c r="J732" s="7" t="s">
        <v>229</v>
      </c>
      <c r="K732" s="7" t="str">
        <f>VLOOKUP(J732,countries,2,false)</f>
        <v>Croatia</v>
      </c>
      <c r="L732" s="7" t="str">
        <f>VLOOKUP($J732,countries,5,false)</f>
        <v>Europe</v>
      </c>
      <c r="M732" s="7" t="str">
        <f>VLOOKUP($J732,countries,6,false)</f>
        <v>Southern Europe</v>
      </c>
      <c r="N732" s="7">
        <v>7940.0</v>
      </c>
      <c r="O732" s="7" t="str">
        <f>VLOOKUP(N732, products, 2, FALSE)</f>
        <v>Household</v>
      </c>
      <c r="P732" s="7" t="s">
        <v>264</v>
      </c>
      <c r="Q732" s="7">
        <v>1362.0</v>
      </c>
      <c r="R732" s="17">
        <v>668.27</v>
      </c>
      <c r="S732" s="17">
        <v>502.54</v>
      </c>
      <c r="U732" s="18">
        <f t="shared" si="6"/>
        <v>910183.74</v>
      </c>
      <c r="V732" s="18">
        <f t="shared" si="7"/>
        <v>684459.48</v>
      </c>
      <c r="W732" s="19">
        <f t="shared" si="8"/>
        <v>225724.26</v>
      </c>
    </row>
    <row r="733">
      <c r="A733" s="7">
        <v>5.82563626E8</v>
      </c>
      <c r="B733" s="12">
        <v>40574.0</v>
      </c>
      <c r="C733" s="7">
        <f t="shared" si="1"/>
        <v>2011</v>
      </c>
      <c r="D733" s="14" t="str">
        <f t="shared" si="2"/>
        <v>01 - Jan</v>
      </c>
      <c r="E733" s="15" t="str">
        <f t="shared" si="3"/>
        <v>Mon</v>
      </c>
      <c r="F733" s="15">
        <f t="shared" si="4"/>
        <v>1</v>
      </c>
      <c r="G733" s="16">
        <v>40593.0</v>
      </c>
      <c r="H733" s="14">
        <f t="shared" si="5"/>
        <v>19</v>
      </c>
      <c r="I733" s="7" t="s">
        <v>232</v>
      </c>
      <c r="J733" s="7" t="s">
        <v>348</v>
      </c>
      <c r="K733" s="7" t="s">
        <v>348</v>
      </c>
      <c r="L733" s="7" t="s">
        <v>348</v>
      </c>
      <c r="M733" s="7" t="s">
        <v>348</v>
      </c>
      <c r="N733" s="7">
        <v>7940.0</v>
      </c>
      <c r="O733" s="7" t="str">
        <f>VLOOKUP(N733, products, 2, FALSE)</f>
        <v>Household</v>
      </c>
      <c r="P733" s="7" t="s">
        <v>264</v>
      </c>
      <c r="Q733" s="7">
        <v>2378.0</v>
      </c>
      <c r="R733" s="17">
        <v>668.27</v>
      </c>
      <c r="S733" s="17">
        <v>502.54</v>
      </c>
      <c r="U733" s="18">
        <f t="shared" si="6"/>
        <v>1589146.06</v>
      </c>
      <c r="V733" s="18">
        <f t="shared" si="7"/>
        <v>1195040.12</v>
      </c>
      <c r="W733" s="19">
        <f t="shared" si="8"/>
        <v>394105.94</v>
      </c>
    </row>
    <row r="734">
      <c r="A734" s="7">
        <v>5.82836139E8</v>
      </c>
      <c r="B734" s="12">
        <v>41729.0</v>
      </c>
      <c r="C734" s="7">
        <f t="shared" si="1"/>
        <v>2014</v>
      </c>
      <c r="D734" s="14" t="str">
        <f t="shared" si="2"/>
        <v>03 - Mar</v>
      </c>
      <c r="E734" s="15" t="str">
        <f t="shared" si="3"/>
        <v>Mon</v>
      </c>
      <c r="F734" s="15">
        <f t="shared" si="4"/>
        <v>1</v>
      </c>
      <c r="G734" s="16">
        <v>41734.0</v>
      </c>
      <c r="H734" s="14">
        <f t="shared" si="5"/>
        <v>5</v>
      </c>
      <c r="I734" s="7" t="s">
        <v>399</v>
      </c>
      <c r="J734" s="7" t="s">
        <v>67</v>
      </c>
      <c r="K734" s="7" t="str">
        <f>VLOOKUP(J734,countries,2,false)</f>
        <v>Andorra</v>
      </c>
      <c r="L734" s="7" t="str">
        <f>VLOOKUP($J734,countries,5,false)</f>
        <v>Europe</v>
      </c>
      <c r="M734" s="7" t="str">
        <f>VLOOKUP($J734,countries,6,false)</f>
        <v>Southern Europe</v>
      </c>
      <c r="N734" s="7">
        <v>8681.0</v>
      </c>
      <c r="O734" s="7" t="str">
        <f>VLOOKUP(N734, products, 2, FALSE)</f>
        <v>Office Supplies</v>
      </c>
      <c r="P734" s="7" t="s">
        <v>264</v>
      </c>
      <c r="Q734" s="7">
        <v>3020.0</v>
      </c>
      <c r="R734" s="17">
        <v>651.21</v>
      </c>
      <c r="S734" s="17">
        <v>524.96</v>
      </c>
      <c r="U734" s="18">
        <f t="shared" si="6"/>
        <v>1966654.2</v>
      </c>
      <c r="V734" s="18">
        <f t="shared" si="7"/>
        <v>1585379.2</v>
      </c>
      <c r="W734" s="19">
        <f t="shared" si="8"/>
        <v>381275</v>
      </c>
    </row>
    <row r="735">
      <c r="A735" s="7">
        <v>5.83089339E8</v>
      </c>
      <c r="B735" s="12">
        <v>40320.0</v>
      </c>
      <c r="C735" s="7">
        <f t="shared" si="1"/>
        <v>2010</v>
      </c>
      <c r="D735" s="14" t="str">
        <f t="shared" si="2"/>
        <v>05 - May</v>
      </c>
      <c r="E735" s="15" t="str">
        <f t="shared" si="3"/>
        <v>Sat</v>
      </c>
      <c r="F735" s="15">
        <f t="shared" si="4"/>
        <v>6</v>
      </c>
      <c r="G735" s="16">
        <v>40355.0</v>
      </c>
      <c r="H735" s="14">
        <f t="shared" si="5"/>
        <v>35</v>
      </c>
      <c r="I735" s="7" t="s">
        <v>305</v>
      </c>
      <c r="J735" s="7" t="s">
        <v>328</v>
      </c>
      <c r="K735" s="7" t="str">
        <f>VLOOKUP(J735,countries,2,false)</f>
        <v>Greece</v>
      </c>
      <c r="L735" s="7" t="str">
        <f>VLOOKUP($J735,countries,5,false)</f>
        <v>Europe</v>
      </c>
      <c r="M735" s="7" t="str">
        <f>VLOOKUP($J735,countries,6,false)</f>
        <v>Southern Europe</v>
      </c>
      <c r="N735" s="7">
        <v>8293.0</v>
      </c>
      <c r="O735" s="7" t="str">
        <f>VLOOKUP(N735, products, 2, FALSE)</f>
        <v>Cosmetics</v>
      </c>
      <c r="P735" s="7" t="s">
        <v>264</v>
      </c>
      <c r="Q735" s="7">
        <v>7948.0</v>
      </c>
      <c r="R735" s="17">
        <v>437.2</v>
      </c>
      <c r="S735" s="17">
        <v>263.33</v>
      </c>
      <c r="U735" s="18">
        <f t="shared" si="6"/>
        <v>3474865.6</v>
      </c>
      <c r="V735" s="18">
        <f t="shared" si="7"/>
        <v>2092946.84</v>
      </c>
      <c r="W735" s="19">
        <f t="shared" si="8"/>
        <v>1381918.76</v>
      </c>
    </row>
    <row r="736">
      <c r="A736" s="7">
        <v>5.83451974E8</v>
      </c>
      <c r="B736" s="12">
        <v>42380.0</v>
      </c>
      <c r="C736" s="7">
        <f t="shared" si="1"/>
        <v>2016</v>
      </c>
      <c r="D736" s="14" t="str">
        <f t="shared" si="2"/>
        <v>01 - Jan</v>
      </c>
      <c r="E736" s="15" t="str">
        <f t="shared" si="3"/>
        <v>Mon</v>
      </c>
      <c r="F736" s="15">
        <f t="shared" si="4"/>
        <v>1</v>
      </c>
      <c r="G736" s="16">
        <v>42405.0</v>
      </c>
      <c r="H736" s="14">
        <f t="shared" si="5"/>
        <v>25</v>
      </c>
      <c r="I736" s="7" t="s">
        <v>399</v>
      </c>
      <c r="J736" s="7" t="s">
        <v>348</v>
      </c>
      <c r="K736" s="7" t="s">
        <v>348</v>
      </c>
      <c r="L736" s="7" t="s">
        <v>348</v>
      </c>
      <c r="M736" s="7" t="s">
        <v>348</v>
      </c>
      <c r="N736" s="7">
        <v>8969.0</v>
      </c>
      <c r="O736" s="7" t="str">
        <f>VLOOKUP(N736, products, 2, FALSE)</f>
        <v>Snacks</v>
      </c>
      <c r="P736" s="7" t="s">
        <v>334</v>
      </c>
      <c r="Q736" s="7">
        <v>5260.0</v>
      </c>
      <c r="R736" s="17">
        <v>152.58</v>
      </c>
      <c r="S736" s="17">
        <v>97.44</v>
      </c>
      <c r="U736" s="18">
        <f t="shared" si="6"/>
        <v>802570.8</v>
      </c>
      <c r="V736" s="18">
        <f t="shared" si="7"/>
        <v>512534.4</v>
      </c>
      <c r="W736" s="19">
        <f t="shared" si="8"/>
        <v>290036.4</v>
      </c>
    </row>
    <row r="737">
      <c r="A737" s="7">
        <v>5.83654105E8</v>
      </c>
      <c r="B737" s="12">
        <v>40458.0</v>
      </c>
      <c r="C737" s="7">
        <f t="shared" si="1"/>
        <v>2010</v>
      </c>
      <c r="D737" s="14" t="str">
        <f t="shared" si="2"/>
        <v>10 - Oct</v>
      </c>
      <c r="E737" s="15" t="str">
        <f t="shared" si="3"/>
        <v>Thu</v>
      </c>
      <c r="F737" s="15">
        <f t="shared" si="4"/>
        <v>4</v>
      </c>
      <c r="G737" s="16">
        <v>40470.0</v>
      </c>
      <c r="H737" s="14">
        <f t="shared" si="5"/>
        <v>12</v>
      </c>
      <c r="I737" s="7" t="s">
        <v>305</v>
      </c>
      <c r="J737" s="7" t="s">
        <v>611</v>
      </c>
      <c r="K737" s="7" t="str">
        <f>VLOOKUP(J737,countries,2,false)</f>
        <v>Portugal</v>
      </c>
      <c r="L737" s="7" t="str">
        <f>VLOOKUP($J737,countries,5,false)</f>
        <v>Europe</v>
      </c>
      <c r="M737" s="7" t="str">
        <f>VLOOKUP($J737,countries,6,false)</f>
        <v>Southern Europe</v>
      </c>
      <c r="N737" s="7">
        <v>8969.0</v>
      </c>
      <c r="O737" s="7" t="str">
        <f>VLOOKUP(N737, products, 2, FALSE)</f>
        <v>Snacks</v>
      </c>
      <c r="P737" s="7" t="s">
        <v>264</v>
      </c>
      <c r="Q737" s="7">
        <v>5075.0</v>
      </c>
      <c r="R737" s="17">
        <v>152.58</v>
      </c>
      <c r="S737" s="17">
        <v>97.44</v>
      </c>
      <c r="U737" s="18">
        <f t="shared" si="6"/>
        <v>774343.5</v>
      </c>
      <c r="V737" s="18">
        <f t="shared" si="7"/>
        <v>494508</v>
      </c>
      <c r="W737" s="19">
        <f t="shared" si="8"/>
        <v>279835.5</v>
      </c>
    </row>
    <row r="738">
      <c r="A738" s="7">
        <v>5.85362994E8</v>
      </c>
      <c r="B738" s="12">
        <v>40229.0</v>
      </c>
      <c r="C738" s="7">
        <f t="shared" si="1"/>
        <v>2010</v>
      </c>
      <c r="D738" s="14" t="str">
        <f t="shared" si="2"/>
        <v>02 - Feb</v>
      </c>
      <c r="E738" s="15" t="str">
        <f t="shared" si="3"/>
        <v>Sat</v>
      </c>
      <c r="F738" s="15">
        <f t="shared" si="4"/>
        <v>6</v>
      </c>
      <c r="G738" s="16">
        <v>40279.0</v>
      </c>
      <c r="H738" s="14">
        <f t="shared" si="5"/>
        <v>50</v>
      </c>
      <c r="I738" s="7" t="s">
        <v>364</v>
      </c>
      <c r="J738" s="7" t="s">
        <v>435</v>
      </c>
      <c r="K738" s="7" t="str">
        <f>VLOOKUP(J738,countries,2,false)</f>
        <v>Slovakia</v>
      </c>
      <c r="L738" s="7" t="str">
        <f>VLOOKUP($J738,countries,5,false)</f>
        <v>Europe</v>
      </c>
      <c r="M738" s="7" t="str">
        <f>VLOOKUP($J738,countries,6,false)</f>
        <v>Eastern Europe</v>
      </c>
      <c r="N738" s="7">
        <v>7940.0</v>
      </c>
      <c r="O738" s="7" t="str">
        <f>VLOOKUP(N738, products, 2, FALSE)</f>
        <v>Household</v>
      </c>
      <c r="P738" s="7" t="s">
        <v>334</v>
      </c>
      <c r="Q738" s="7">
        <v>773.0</v>
      </c>
      <c r="R738" s="17">
        <v>668.27</v>
      </c>
      <c r="S738" s="17">
        <v>502.54</v>
      </c>
      <c r="U738" s="18">
        <f t="shared" si="6"/>
        <v>516572.71</v>
      </c>
      <c r="V738" s="18">
        <f t="shared" si="7"/>
        <v>388463.42</v>
      </c>
      <c r="W738" s="19">
        <f t="shared" si="8"/>
        <v>128109.29</v>
      </c>
    </row>
    <row r="739">
      <c r="A739" s="7">
        <v>5.85677134E8</v>
      </c>
      <c r="B739" s="12">
        <v>41012.0</v>
      </c>
      <c r="C739" s="7">
        <f t="shared" si="1"/>
        <v>2012</v>
      </c>
      <c r="D739" s="14" t="str">
        <f t="shared" si="2"/>
        <v>04 - Apr</v>
      </c>
      <c r="E739" s="15" t="str">
        <f t="shared" si="3"/>
        <v>Fri</v>
      </c>
      <c r="F739" s="15">
        <f t="shared" si="4"/>
        <v>5</v>
      </c>
      <c r="G739" s="16">
        <v>41033.0</v>
      </c>
      <c r="H739" s="14">
        <f t="shared" si="5"/>
        <v>21</v>
      </c>
      <c r="I739" s="7" t="s">
        <v>399</v>
      </c>
      <c r="J739" s="7" t="s">
        <v>246</v>
      </c>
      <c r="K739" s="7" t="str">
        <f>VLOOKUP(J739,countries,2,false)</f>
        <v>Denmark</v>
      </c>
      <c r="L739" s="7" t="str">
        <f>VLOOKUP($J739,countries,5,false)</f>
        <v>Europe</v>
      </c>
      <c r="M739" s="7" t="str">
        <f>VLOOKUP($J739,countries,6,false)</f>
        <v>Northern Europe</v>
      </c>
      <c r="N739" s="7">
        <v>8969.0</v>
      </c>
      <c r="O739" s="7" t="str">
        <f>VLOOKUP(N739, products, 2, FALSE)</f>
        <v>Snacks</v>
      </c>
      <c r="P739" s="7" t="s">
        <v>264</v>
      </c>
      <c r="Q739" s="7">
        <v>3734.0</v>
      </c>
      <c r="R739" s="17">
        <v>152.58</v>
      </c>
      <c r="S739" s="17">
        <v>97.44</v>
      </c>
      <c r="U739" s="18">
        <f t="shared" si="6"/>
        <v>569733.72</v>
      </c>
      <c r="V739" s="18">
        <f t="shared" si="7"/>
        <v>363840.96</v>
      </c>
      <c r="W739" s="19">
        <f t="shared" si="8"/>
        <v>205892.76</v>
      </c>
    </row>
    <row r="740">
      <c r="A740" s="7">
        <v>5.86812674E8</v>
      </c>
      <c r="B740" s="12">
        <v>41348.0</v>
      </c>
      <c r="C740" s="7">
        <f t="shared" si="1"/>
        <v>2013</v>
      </c>
      <c r="D740" s="14" t="str">
        <f t="shared" si="2"/>
        <v>03 - Mar</v>
      </c>
      <c r="E740" s="15" t="str">
        <f t="shared" si="3"/>
        <v>Fri</v>
      </c>
      <c r="F740" s="15">
        <f t="shared" si="4"/>
        <v>5</v>
      </c>
      <c r="G740" s="16">
        <v>41364.0</v>
      </c>
      <c r="H740" s="14">
        <f t="shared" si="5"/>
        <v>16</v>
      </c>
      <c r="I740" s="7" t="s">
        <v>232</v>
      </c>
      <c r="J740" s="7" t="s">
        <v>626</v>
      </c>
      <c r="K740" s="7" t="str">
        <f>VLOOKUP(J740,countries,2,false)</f>
        <v>Russia</v>
      </c>
      <c r="L740" s="7" t="str">
        <f>VLOOKUP($J740,countries,5,false)</f>
        <v>Europe</v>
      </c>
      <c r="M740" s="7" t="str">
        <f>VLOOKUP($J740,countries,6,false)</f>
        <v>Eastern Europe</v>
      </c>
      <c r="N740" s="7">
        <v>8681.0</v>
      </c>
      <c r="O740" s="7" t="str">
        <f>VLOOKUP(N740, products, 2, FALSE)</f>
        <v>Office Supplies</v>
      </c>
      <c r="P740" s="7" t="s">
        <v>334</v>
      </c>
      <c r="Q740" s="7">
        <v>9766.0</v>
      </c>
      <c r="R740" s="17">
        <v>651.21</v>
      </c>
      <c r="S740" s="17">
        <v>524.96</v>
      </c>
      <c r="U740" s="18">
        <f t="shared" si="6"/>
        <v>6359716.86</v>
      </c>
      <c r="V740" s="18">
        <f t="shared" si="7"/>
        <v>5126759.36</v>
      </c>
      <c r="W740" s="19">
        <f t="shared" si="8"/>
        <v>1232957.5</v>
      </c>
    </row>
    <row r="741">
      <c r="A741" s="7">
        <v>5.87598884E8</v>
      </c>
      <c r="B741" s="12">
        <v>42129.0</v>
      </c>
      <c r="C741" s="7">
        <f t="shared" si="1"/>
        <v>2015</v>
      </c>
      <c r="D741" s="14" t="str">
        <f t="shared" si="2"/>
        <v>05 - May</v>
      </c>
      <c r="E741" s="15" t="str">
        <f t="shared" si="3"/>
        <v>Tue</v>
      </c>
      <c r="F741" s="15">
        <f t="shared" si="4"/>
        <v>2</v>
      </c>
      <c r="G741" s="16">
        <v>42168.0</v>
      </c>
      <c r="H741" s="14">
        <f t="shared" si="5"/>
        <v>39</v>
      </c>
      <c r="I741" s="7" t="s">
        <v>399</v>
      </c>
      <c r="J741" s="7" t="s">
        <v>328</v>
      </c>
      <c r="K741" s="7" t="str">
        <f>VLOOKUP(J741,countries,2,false)</f>
        <v>Greece</v>
      </c>
      <c r="L741" s="7" t="str">
        <f>VLOOKUP($J741,countries,5,false)</f>
        <v>Europe</v>
      </c>
      <c r="M741" s="7" t="str">
        <f>VLOOKUP($J741,countries,6,false)</f>
        <v>Southern Europe</v>
      </c>
      <c r="N741" s="7">
        <v>2103.0</v>
      </c>
      <c r="O741" s="7" t="str">
        <f>VLOOKUP(N741, products, 2, FALSE)</f>
        <v>Cereal</v>
      </c>
      <c r="P741" s="7" t="s">
        <v>264</v>
      </c>
      <c r="Q741" s="7">
        <v>2422.0</v>
      </c>
      <c r="R741" s="17">
        <v>205.7</v>
      </c>
      <c r="S741" s="17">
        <v>117.11</v>
      </c>
      <c r="U741" s="18">
        <f t="shared" si="6"/>
        <v>498205.4</v>
      </c>
      <c r="V741" s="18">
        <f t="shared" si="7"/>
        <v>283640.42</v>
      </c>
      <c r="W741" s="19">
        <f t="shared" si="8"/>
        <v>214564.98</v>
      </c>
    </row>
    <row r="742">
      <c r="A742" s="7">
        <v>5.87799727E8</v>
      </c>
      <c r="B742" s="12">
        <v>40589.0</v>
      </c>
      <c r="C742" s="7">
        <f t="shared" si="1"/>
        <v>2011</v>
      </c>
      <c r="D742" s="14" t="str">
        <f t="shared" si="2"/>
        <v>02 - Feb</v>
      </c>
      <c r="E742" s="15" t="str">
        <f t="shared" si="3"/>
        <v>Tue</v>
      </c>
      <c r="F742" s="15">
        <f t="shared" si="4"/>
        <v>2</v>
      </c>
      <c r="G742" s="16">
        <v>40629.0</v>
      </c>
      <c r="H742" s="14">
        <f t="shared" si="5"/>
        <v>40</v>
      </c>
      <c r="I742" s="7" t="s">
        <v>364</v>
      </c>
      <c r="J742" s="7" t="s">
        <v>656</v>
      </c>
      <c r="K742" s="7" t="str">
        <f>VLOOKUP(J742,countries,2,false)</f>
        <v>San Marino</v>
      </c>
      <c r="L742" s="7" t="str">
        <f>VLOOKUP($J742,countries,5,false)</f>
        <v>Europe</v>
      </c>
      <c r="M742" s="7" t="str">
        <f>VLOOKUP($J742,countries,6,false)</f>
        <v>Southern Europe</v>
      </c>
      <c r="N742" s="7">
        <v>7331.0</v>
      </c>
      <c r="O742" s="7" t="str">
        <f>VLOOKUP(N742, products, 2, FALSE)</f>
        <v>Baby Food</v>
      </c>
      <c r="P742" s="7" t="s">
        <v>334</v>
      </c>
      <c r="Q742" s="7">
        <v>1856.0</v>
      </c>
      <c r="R742" s="17">
        <v>255.28</v>
      </c>
      <c r="S742" s="17">
        <v>159.42</v>
      </c>
      <c r="U742" s="18">
        <f t="shared" si="6"/>
        <v>473799.68</v>
      </c>
      <c r="V742" s="18">
        <f t="shared" si="7"/>
        <v>295883.52</v>
      </c>
      <c r="W742" s="19">
        <f t="shared" si="8"/>
        <v>177916.16</v>
      </c>
    </row>
    <row r="743">
      <c r="A743" s="7">
        <v>5.87846076E8</v>
      </c>
      <c r="B743" s="12">
        <v>40659.0</v>
      </c>
      <c r="C743" s="7">
        <f t="shared" si="1"/>
        <v>2011</v>
      </c>
      <c r="D743" s="14" t="str">
        <f t="shared" si="2"/>
        <v>04 - Apr</v>
      </c>
      <c r="E743" s="15" t="str">
        <f t="shared" si="3"/>
        <v>Tue</v>
      </c>
      <c r="F743" s="15">
        <f t="shared" si="4"/>
        <v>2</v>
      </c>
      <c r="G743" s="16">
        <v>40687.0</v>
      </c>
      <c r="H743" s="14">
        <f t="shared" si="5"/>
        <v>28</v>
      </c>
      <c r="I743" s="7" t="s">
        <v>305</v>
      </c>
      <c r="J743" s="7" t="s">
        <v>717</v>
      </c>
      <c r="K743" s="7" t="str">
        <f>VLOOKUP(J743,countries,2,false)</f>
        <v>Sweden</v>
      </c>
      <c r="L743" s="7" t="str">
        <f>VLOOKUP($J743,countries,5,false)</f>
        <v>Europe</v>
      </c>
      <c r="M743" s="7" t="str">
        <f>VLOOKUP($J743,countries,6,false)</f>
        <v>Northern Europe</v>
      </c>
      <c r="N743" s="7">
        <v>3127.0</v>
      </c>
      <c r="O743" s="7" t="str">
        <f>VLOOKUP(N743, products, 2, FALSE)</f>
        <v>Personal Care</v>
      </c>
      <c r="P743" s="7" t="s">
        <v>264</v>
      </c>
      <c r="Q743" s="7">
        <v>5572.0</v>
      </c>
      <c r="R743" s="17">
        <v>81.73</v>
      </c>
      <c r="S743" s="17">
        <v>56.67</v>
      </c>
      <c r="U743" s="18">
        <f t="shared" si="6"/>
        <v>455399.56</v>
      </c>
      <c r="V743" s="18">
        <f t="shared" si="7"/>
        <v>315765.24</v>
      </c>
      <c r="W743" s="19">
        <f t="shared" si="8"/>
        <v>139634.32</v>
      </c>
    </row>
    <row r="744">
      <c r="A744" s="7">
        <v>5.88528859E8</v>
      </c>
      <c r="B744" s="12">
        <v>40797.0</v>
      </c>
      <c r="C744" s="7">
        <f t="shared" si="1"/>
        <v>2011</v>
      </c>
      <c r="D744" s="14" t="str">
        <f t="shared" si="2"/>
        <v>09 - Sep</v>
      </c>
      <c r="E744" s="15" t="str">
        <f t="shared" si="3"/>
        <v>Sun</v>
      </c>
      <c r="F744" s="15">
        <f t="shared" si="4"/>
        <v>7</v>
      </c>
      <c r="G744" s="16">
        <v>40828.0</v>
      </c>
      <c r="H744" s="14">
        <f t="shared" si="5"/>
        <v>31</v>
      </c>
      <c r="I744" s="7" t="s">
        <v>364</v>
      </c>
      <c r="J744" s="7" t="s">
        <v>328</v>
      </c>
      <c r="K744" s="7" t="str">
        <f>VLOOKUP(J744,countries,2,false)</f>
        <v>Greece</v>
      </c>
      <c r="L744" s="7" t="str">
        <f>VLOOKUP($J744,countries,5,false)</f>
        <v>Europe</v>
      </c>
      <c r="M744" s="7" t="str">
        <f>VLOOKUP($J744,countries,6,false)</f>
        <v>Southern Europe</v>
      </c>
      <c r="N744" s="7">
        <v>3127.0</v>
      </c>
      <c r="O744" s="7" t="str">
        <f>VLOOKUP(N744, products, 2, FALSE)</f>
        <v>Personal Care</v>
      </c>
      <c r="P744" s="7" t="s">
        <v>264</v>
      </c>
      <c r="Q744" s="7">
        <v>7623.0</v>
      </c>
      <c r="R744" s="17">
        <v>81.73</v>
      </c>
      <c r="S744" s="17">
        <v>56.67</v>
      </c>
      <c r="U744" s="18">
        <f t="shared" si="6"/>
        <v>623027.79</v>
      </c>
      <c r="V744" s="18">
        <f t="shared" si="7"/>
        <v>431995.41</v>
      </c>
      <c r="W744" s="19">
        <f t="shared" si="8"/>
        <v>191032.38</v>
      </c>
    </row>
    <row r="745">
      <c r="A745" s="7">
        <v>5.89842927E8</v>
      </c>
      <c r="B745" s="12">
        <v>42530.0</v>
      </c>
      <c r="C745" s="7">
        <f t="shared" si="1"/>
        <v>2016</v>
      </c>
      <c r="D745" s="14" t="str">
        <f t="shared" si="2"/>
        <v>06 - Jun</v>
      </c>
      <c r="E745" s="15" t="str">
        <f t="shared" si="3"/>
        <v>Thu</v>
      </c>
      <c r="F745" s="15">
        <f t="shared" si="4"/>
        <v>4</v>
      </c>
      <c r="G745" s="16">
        <v>42579.0</v>
      </c>
      <c r="H745" s="14">
        <f t="shared" si="5"/>
        <v>49</v>
      </c>
      <c r="I745" s="7" t="s">
        <v>232</v>
      </c>
      <c r="J745" s="7" t="s">
        <v>406</v>
      </c>
      <c r="K745" s="7" t="str">
        <f>VLOOKUP(J745,countries,2,false)</f>
        <v>Italy</v>
      </c>
      <c r="L745" s="7" t="str">
        <f>VLOOKUP($J745,countries,5,false)</f>
        <v>Europe</v>
      </c>
      <c r="M745" s="7" t="str">
        <f>VLOOKUP($J745,countries,6,false)</f>
        <v>Southern Europe</v>
      </c>
      <c r="N745" s="7">
        <v>3127.0</v>
      </c>
      <c r="O745" s="7" t="str">
        <f>VLOOKUP(N745, products, 2, FALSE)</f>
        <v>Personal Care</v>
      </c>
      <c r="P745" s="7" t="s">
        <v>334</v>
      </c>
      <c r="Q745" s="7">
        <v>6485.0</v>
      </c>
      <c r="R745" s="17">
        <v>81.73</v>
      </c>
      <c r="S745" s="17">
        <v>56.67</v>
      </c>
      <c r="U745" s="18">
        <f t="shared" si="6"/>
        <v>530019.05</v>
      </c>
      <c r="V745" s="18">
        <f t="shared" si="7"/>
        <v>367504.95</v>
      </c>
      <c r="W745" s="19">
        <f t="shared" si="8"/>
        <v>162514.1</v>
      </c>
    </row>
    <row r="746">
      <c r="A746" s="7">
        <v>5.91287887E8</v>
      </c>
      <c r="B746" s="12">
        <v>40441.0</v>
      </c>
      <c r="C746" s="7">
        <f t="shared" si="1"/>
        <v>2010</v>
      </c>
      <c r="D746" s="14" t="str">
        <f t="shared" si="2"/>
        <v>09 - Sep</v>
      </c>
      <c r="E746" s="15" t="str">
        <f t="shared" si="3"/>
        <v>Mon</v>
      </c>
      <c r="F746" s="15">
        <f t="shared" si="4"/>
        <v>1</v>
      </c>
      <c r="G746" s="16">
        <v>40453.0</v>
      </c>
      <c r="H746" s="14">
        <f t="shared" si="5"/>
        <v>12</v>
      </c>
      <c r="I746" s="7" t="s">
        <v>364</v>
      </c>
      <c r="J746" s="7" t="s">
        <v>293</v>
      </c>
      <c r="K746" s="7" t="str">
        <f>VLOOKUP(J746,countries,2,false)</f>
        <v>Finland</v>
      </c>
      <c r="L746" s="7" t="str">
        <f>VLOOKUP($J746,countries,5,false)</f>
        <v>Europe</v>
      </c>
      <c r="M746" s="7" t="str">
        <f>VLOOKUP($J746,countries,6,false)</f>
        <v>Northern Europe</v>
      </c>
      <c r="N746" s="7">
        <v>4594.0</v>
      </c>
      <c r="O746" s="7" t="str">
        <f>VLOOKUP(N746, products, 2, FALSE)</f>
        <v>Fruits</v>
      </c>
      <c r="P746" s="7" t="s">
        <v>334</v>
      </c>
      <c r="Q746" s="7">
        <v>4080.0</v>
      </c>
      <c r="R746" s="17">
        <v>9.33</v>
      </c>
      <c r="S746" s="17">
        <v>6.92</v>
      </c>
      <c r="U746" s="18">
        <f t="shared" si="6"/>
        <v>38066.4</v>
      </c>
      <c r="V746" s="18">
        <f t="shared" si="7"/>
        <v>28233.6</v>
      </c>
      <c r="W746" s="19">
        <f t="shared" si="8"/>
        <v>9832.8</v>
      </c>
    </row>
    <row r="747">
      <c r="A747" s="7">
        <v>5.91774117E8</v>
      </c>
      <c r="B747" s="12">
        <v>41767.0</v>
      </c>
      <c r="C747" s="7">
        <f t="shared" si="1"/>
        <v>2014</v>
      </c>
      <c r="D747" s="14" t="str">
        <f t="shared" si="2"/>
        <v>05 - May</v>
      </c>
      <c r="E747" s="15" t="str">
        <f t="shared" si="3"/>
        <v>Thu</v>
      </c>
      <c r="F747" s="15">
        <f t="shared" si="4"/>
        <v>4</v>
      </c>
      <c r="G747" s="16">
        <v>41789.0</v>
      </c>
      <c r="H747" s="14">
        <f t="shared" si="5"/>
        <v>22</v>
      </c>
      <c r="I747" s="7" t="s">
        <v>232</v>
      </c>
      <c r="J747" s="7" t="s">
        <v>656</v>
      </c>
      <c r="K747" s="7" t="str">
        <f>VLOOKUP(J747,countries,2,false)</f>
        <v>San Marino</v>
      </c>
      <c r="L747" s="7" t="str">
        <f>VLOOKUP($J747,countries,5,false)</f>
        <v>Europe</v>
      </c>
      <c r="M747" s="7" t="str">
        <f>VLOOKUP($J747,countries,6,false)</f>
        <v>Southern Europe</v>
      </c>
      <c r="N747" s="7">
        <v>2103.0</v>
      </c>
      <c r="O747" s="7" t="str">
        <f>VLOOKUP(N747, products, 2, FALSE)</f>
        <v>Cereal</v>
      </c>
      <c r="P747" s="7" t="s">
        <v>264</v>
      </c>
      <c r="Q747" s="7">
        <v>7967.0</v>
      </c>
      <c r="R747" s="17">
        <v>205.7</v>
      </c>
      <c r="S747" s="17">
        <v>117.11</v>
      </c>
      <c r="U747" s="18">
        <f t="shared" si="6"/>
        <v>1638811.9</v>
      </c>
      <c r="V747" s="18">
        <f t="shared" si="7"/>
        <v>933015.37</v>
      </c>
      <c r="W747" s="19">
        <f t="shared" si="8"/>
        <v>705796.53</v>
      </c>
    </row>
    <row r="748">
      <c r="A748" s="7">
        <v>5.93018233E8</v>
      </c>
      <c r="B748" s="12">
        <v>41218.0</v>
      </c>
      <c r="C748" s="7">
        <f t="shared" si="1"/>
        <v>2012</v>
      </c>
      <c r="D748" s="14" t="str">
        <f t="shared" si="2"/>
        <v>11 - Nov</v>
      </c>
      <c r="E748" s="15" t="str">
        <f t="shared" si="3"/>
        <v>Mon</v>
      </c>
      <c r="F748" s="15">
        <f t="shared" si="4"/>
        <v>1</v>
      </c>
      <c r="G748" s="16">
        <v>41254.0</v>
      </c>
      <c r="H748" s="14">
        <f t="shared" si="5"/>
        <v>36</v>
      </c>
      <c r="I748" s="7" t="s">
        <v>232</v>
      </c>
      <c r="J748" s="7" t="s">
        <v>240</v>
      </c>
      <c r="K748" s="7" t="str">
        <f>VLOOKUP(J748,countries,2,false)</f>
        <v>Cyprus</v>
      </c>
      <c r="L748" s="7" t="str">
        <f>VLOOKUP($J748,countries,5,false)</f>
        <v>Asia</v>
      </c>
      <c r="M748" s="7" t="str">
        <f>VLOOKUP($J748,countries,6,false)</f>
        <v>Western Asia</v>
      </c>
      <c r="N748" s="7">
        <v>8969.0</v>
      </c>
      <c r="O748" s="7" t="str">
        <f>VLOOKUP(N748, products, 2, FALSE)</f>
        <v>Snacks</v>
      </c>
      <c r="P748" s="7" t="s">
        <v>264</v>
      </c>
      <c r="Q748" s="7">
        <v>6128.0</v>
      </c>
      <c r="R748" s="17">
        <v>152.58</v>
      </c>
      <c r="S748" s="17">
        <v>97.44</v>
      </c>
      <c r="U748" s="18">
        <f t="shared" si="6"/>
        <v>935010.24</v>
      </c>
      <c r="V748" s="18">
        <f t="shared" si="7"/>
        <v>597112.32</v>
      </c>
      <c r="W748" s="19">
        <f t="shared" si="8"/>
        <v>337897.92</v>
      </c>
    </row>
    <row r="749">
      <c r="A749" s="7">
        <v>5.93158566E8</v>
      </c>
      <c r="B749" s="12">
        <v>41046.0</v>
      </c>
      <c r="C749" s="7">
        <f t="shared" si="1"/>
        <v>2012</v>
      </c>
      <c r="D749" s="14" t="str">
        <f t="shared" si="2"/>
        <v>05 - May</v>
      </c>
      <c r="E749" s="15" t="str">
        <f t="shared" si="3"/>
        <v>Thu</v>
      </c>
      <c r="F749" s="15">
        <f t="shared" si="4"/>
        <v>4</v>
      </c>
      <c r="G749" s="16">
        <v>41085.0</v>
      </c>
      <c r="H749" s="14">
        <f t="shared" si="5"/>
        <v>39</v>
      </c>
      <c r="I749" s="7" t="s">
        <v>305</v>
      </c>
      <c r="J749" s="7" t="s">
        <v>240</v>
      </c>
      <c r="K749" s="7" t="str">
        <f>VLOOKUP(J749,countries,2,false)</f>
        <v>Cyprus</v>
      </c>
      <c r="L749" s="7" t="str">
        <f>VLOOKUP($J749,countries,5,false)</f>
        <v>Asia</v>
      </c>
      <c r="M749" s="7" t="str">
        <f>VLOOKUP($J749,countries,6,false)</f>
        <v>Western Asia</v>
      </c>
      <c r="N749" s="7">
        <v>2455.0</v>
      </c>
      <c r="O749" s="7" t="str">
        <f>VLOOKUP(N749, products, 2, FALSE)</f>
        <v>Clothes</v>
      </c>
      <c r="P749" s="7" t="s">
        <v>264</v>
      </c>
      <c r="Q749" s="7">
        <v>7656.0</v>
      </c>
      <c r="R749" s="17">
        <v>109.28</v>
      </c>
      <c r="S749" s="17">
        <v>35.84</v>
      </c>
      <c r="U749" s="18">
        <f t="shared" si="6"/>
        <v>836647.68</v>
      </c>
      <c r="V749" s="18">
        <f t="shared" si="7"/>
        <v>274391.04</v>
      </c>
      <c r="W749" s="19">
        <f t="shared" si="8"/>
        <v>562256.64</v>
      </c>
    </row>
    <row r="750">
      <c r="A750" s="7">
        <v>5.94699656E8</v>
      </c>
      <c r="B750" s="12">
        <v>42688.0</v>
      </c>
      <c r="C750" s="7">
        <f t="shared" si="1"/>
        <v>2016</v>
      </c>
      <c r="D750" s="14" t="str">
        <f t="shared" si="2"/>
        <v>11 - Nov</v>
      </c>
      <c r="E750" s="15" t="str">
        <f t="shared" si="3"/>
        <v>Mon</v>
      </c>
      <c r="F750" s="15">
        <f t="shared" si="4"/>
        <v>1</v>
      </c>
      <c r="G750" s="16">
        <v>42734.0</v>
      </c>
      <c r="H750" s="14">
        <f t="shared" si="5"/>
        <v>46</v>
      </c>
      <c r="I750" s="7" t="s">
        <v>364</v>
      </c>
      <c r="J750" s="7" t="s">
        <v>365</v>
      </c>
      <c r="K750" s="7" t="str">
        <f>VLOOKUP(J750,countries,2,false)</f>
        <v>Montenegro</v>
      </c>
      <c r="L750" s="7" t="str">
        <f>VLOOKUP($J750,countries,5,false)</f>
        <v>Europe</v>
      </c>
      <c r="M750" s="7" t="str">
        <f>VLOOKUP($J750,countries,6,false)</f>
        <v>Southern Europe</v>
      </c>
      <c r="N750" s="7">
        <v>3127.0</v>
      </c>
      <c r="O750" s="7" t="str">
        <f>VLOOKUP(N750, products, 2, FALSE)</f>
        <v>Personal Care</v>
      </c>
      <c r="P750" s="7" t="s">
        <v>334</v>
      </c>
      <c r="Q750" s="7">
        <v>3699.0</v>
      </c>
      <c r="R750" s="17">
        <v>81.73</v>
      </c>
      <c r="S750" s="17">
        <v>56.67</v>
      </c>
      <c r="U750" s="18">
        <f t="shared" si="6"/>
        <v>302319.27</v>
      </c>
      <c r="V750" s="18">
        <f t="shared" si="7"/>
        <v>209622.33</v>
      </c>
      <c r="W750" s="19">
        <f t="shared" si="8"/>
        <v>92696.94</v>
      </c>
    </row>
    <row r="751">
      <c r="A751" s="7">
        <v>5.94813811E8</v>
      </c>
      <c r="B751" s="12">
        <v>41068.0</v>
      </c>
      <c r="C751" s="7">
        <f t="shared" si="1"/>
        <v>2012</v>
      </c>
      <c r="D751" s="14" t="str">
        <f t="shared" si="2"/>
        <v>06 - Jun</v>
      </c>
      <c r="E751" s="15" t="str">
        <f t="shared" si="3"/>
        <v>Fri</v>
      </c>
      <c r="F751" s="15">
        <f t="shared" si="4"/>
        <v>5</v>
      </c>
      <c r="G751" s="16">
        <v>41077.0</v>
      </c>
      <c r="H751" s="14">
        <f t="shared" si="5"/>
        <v>9</v>
      </c>
      <c r="I751" s="7" t="s">
        <v>232</v>
      </c>
      <c r="J751" s="7" t="s">
        <v>233</v>
      </c>
      <c r="K751" s="7" t="str">
        <f>VLOOKUP(J751,countries,2,false)</f>
        <v>Norway</v>
      </c>
      <c r="L751" s="7" t="str">
        <f>VLOOKUP($J751,countries,5,false)</f>
        <v>Europe</v>
      </c>
      <c r="M751" s="7" t="str">
        <f>VLOOKUP($J751,countries,6,false)</f>
        <v>Northern Europe</v>
      </c>
      <c r="N751" s="7">
        <v>3127.0</v>
      </c>
      <c r="O751" s="7" t="str">
        <f>VLOOKUP(N751, products, 2, FALSE)</f>
        <v>Personal Care</v>
      </c>
      <c r="P751" s="7" t="s">
        <v>334</v>
      </c>
      <c r="Q751" s="7">
        <v>7480.0</v>
      </c>
      <c r="R751" s="17">
        <v>81.73</v>
      </c>
      <c r="S751" s="17">
        <v>56.67</v>
      </c>
      <c r="U751" s="18">
        <f t="shared" si="6"/>
        <v>611340.4</v>
      </c>
      <c r="V751" s="18">
        <f t="shared" si="7"/>
        <v>423891.6</v>
      </c>
      <c r="W751" s="19">
        <f t="shared" si="8"/>
        <v>187448.8</v>
      </c>
    </row>
    <row r="752">
      <c r="A752" s="7">
        <v>5.94991052E8</v>
      </c>
      <c r="B752" s="12">
        <v>42847.0</v>
      </c>
      <c r="C752" s="7">
        <f t="shared" si="1"/>
        <v>2017</v>
      </c>
      <c r="D752" s="14" t="str">
        <f t="shared" si="2"/>
        <v>04 - Apr</v>
      </c>
      <c r="E752" s="15" t="str">
        <f t="shared" si="3"/>
        <v>Sat</v>
      </c>
      <c r="F752" s="15">
        <f t="shared" si="4"/>
        <v>6</v>
      </c>
      <c r="G752" s="16">
        <v>42892.0</v>
      </c>
      <c r="H752" s="14">
        <f t="shared" si="5"/>
        <v>45</v>
      </c>
      <c r="I752" s="7" t="s">
        <v>232</v>
      </c>
      <c r="J752" s="7" t="s">
        <v>468</v>
      </c>
      <c r="K752" s="7" t="str">
        <f>VLOOKUP(J752,countries,2,false)</f>
        <v>Luxembourg</v>
      </c>
      <c r="L752" s="7" t="str">
        <f>VLOOKUP($J752,countries,5,false)</f>
        <v>Europe</v>
      </c>
      <c r="M752" s="7" t="str">
        <f>VLOOKUP($J752,countries,6,false)</f>
        <v>Western Europe</v>
      </c>
      <c r="N752" s="7">
        <v>8969.0</v>
      </c>
      <c r="O752" s="7" t="str">
        <f>VLOOKUP(N752, products, 2, FALSE)</f>
        <v>Snacks</v>
      </c>
      <c r="P752" s="7" t="s">
        <v>334</v>
      </c>
      <c r="Q752" s="7">
        <v>9929.0</v>
      </c>
      <c r="R752" s="17">
        <v>152.58</v>
      </c>
      <c r="S752" s="17">
        <v>97.44</v>
      </c>
      <c r="U752" s="18">
        <f t="shared" si="6"/>
        <v>1514966.82</v>
      </c>
      <c r="V752" s="18">
        <f t="shared" si="7"/>
        <v>967481.76</v>
      </c>
      <c r="W752" s="19">
        <f t="shared" si="8"/>
        <v>547485.06</v>
      </c>
    </row>
    <row r="753">
      <c r="A753" s="7">
        <v>5.95385873E8</v>
      </c>
      <c r="B753" s="12">
        <v>40884.0</v>
      </c>
      <c r="C753" s="7">
        <f t="shared" si="1"/>
        <v>2011</v>
      </c>
      <c r="D753" s="14" t="str">
        <f t="shared" si="2"/>
        <v>12 - Dec</v>
      </c>
      <c r="E753" s="15" t="str">
        <f t="shared" si="3"/>
        <v>Wed</v>
      </c>
      <c r="F753" s="15">
        <f t="shared" si="4"/>
        <v>3</v>
      </c>
      <c r="G753" s="16">
        <v>40898.0</v>
      </c>
      <c r="H753" s="14">
        <f t="shared" si="5"/>
        <v>14</v>
      </c>
      <c r="I753" s="7" t="s">
        <v>232</v>
      </c>
      <c r="J753" s="7" t="s">
        <v>468</v>
      </c>
      <c r="K753" s="7" t="str">
        <f>VLOOKUP(J753,countries,2,false)</f>
        <v>Luxembourg</v>
      </c>
      <c r="L753" s="7" t="str">
        <f>VLOOKUP($J753,countries,5,false)</f>
        <v>Europe</v>
      </c>
      <c r="M753" s="7" t="str">
        <f>VLOOKUP($J753,countries,6,false)</f>
        <v>Western Europe</v>
      </c>
      <c r="N753" s="7">
        <v>3127.0</v>
      </c>
      <c r="O753" s="7" t="str">
        <f>VLOOKUP(N753, products, 2, FALSE)</f>
        <v>Personal Care</v>
      </c>
      <c r="P753" s="7" t="s">
        <v>334</v>
      </c>
      <c r="Q753" s="7">
        <v>6765.0</v>
      </c>
      <c r="R753" s="17">
        <v>81.73</v>
      </c>
      <c r="S753" s="17">
        <v>56.67</v>
      </c>
      <c r="U753" s="18">
        <f t="shared" si="6"/>
        <v>552903.45</v>
      </c>
      <c r="V753" s="18">
        <f t="shared" si="7"/>
        <v>383372.55</v>
      </c>
      <c r="W753" s="19">
        <f t="shared" si="8"/>
        <v>169530.9</v>
      </c>
    </row>
    <row r="754">
      <c r="A754" s="7">
        <v>5.95395314E8</v>
      </c>
      <c r="B754" s="12">
        <v>41769.0</v>
      </c>
      <c r="C754" s="7">
        <f t="shared" si="1"/>
        <v>2014</v>
      </c>
      <c r="D754" s="14" t="str">
        <f t="shared" si="2"/>
        <v>05 - May</v>
      </c>
      <c r="E754" s="15" t="str">
        <f t="shared" si="3"/>
        <v>Sat</v>
      </c>
      <c r="F754" s="15">
        <f t="shared" si="4"/>
        <v>6</v>
      </c>
      <c r="G754" s="16">
        <v>41789.0</v>
      </c>
      <c r="H754" s="14">
        <f t="shared" si="5"/>
        <v>20</v>
      </c>
      <c r="I754" s="7" t="s">
        <v>232</v>
      </c>
      <c r="J754" s="7" t="s">
        <v>656</v>
      </c>
      <c r="K754" s="7" t="str">
        <f>VLOOKUP(J754,countries,2,false)</f>
        <v>San Marino</v>
      </c>
      <c r="L754" s="7" t="str">
        <f>VLOOKUP($J754,countries,5,false)</f>
        <v>Europe</v>
      </c>
      <c r="M754" s="7" t="str">
        <f>VLOOKUP($J754,countries,6,false)</f>
        <v>Southern Europe</v>
      </c>
      <c r="N754" s="7">
        <v>1270.0</v>
      </c>
      <c r="O754" s="7" t="str">
        <f>VLOOKUP(N754, products, 2, FALSE)</f>
        <v>Beverages</v>
      </c>
      <c r="P754" s="7" t="s">
        <v>334</v>
      </c>
      <c r="Q754" s="7">
        <v>9559.0</v>
      </c>
      <c r="R754" s="17">
        <v>47.45</v>
      </c>
      <c r="S754" s="17">
        <v>31.79</v>
      </c>
      <c r="U754" s="18">
        <f t="shared" si="6"/>
        <v>453574.55</v>
      </c>
      <c r="V754" s="18">
        <f t="shared" si="7"/>
        <v>303880.61</v>
      </c>
      <c r="W754" s="19">
        <f t="shared" si="8"/>
        <v>149693.94</v>
      </c>
    </row>
    <row r="755">
      <c r="A755" s="7">
        <v>5.95496594E8</v>
      </c>
      <c r="B755" s="12">
        <v>41206.0</v>
      </c>
      <c r="C755" s="7">
        <f t="shared" si="1"/>
        <v>2012</v>
      </c>
      <c r="D755" s="14" t="str">
        <f t="shared" si="2"/>
        <v>10 - Oct</v>
      </c>
      <c r="E755" s="15" t="str">
        <f t="shared" si="3"/>
        <v>Wed</v>
      </c>
      <c r="F755" s="15">
        <f t="shared" si="4"/>
        <v>3</v>
      </c>
      <c r="G755" s="16">
        <v>41217.0</v>
      </c>
      <c r="H755" s="14">
        <f t="shared" si="5"/>
        <v>11</v>
      </c>
      <c r="I755" s="7" t="s">
        <v>399</v>
      </c>
      <c r="J755" s="7" t="s">
        <v>165</v>
      </c>
      <c r="K755" s="7" t="str">
        <f>VLOOKUP(J755,countries,2,false)</f>
        <v>Bulgaria</v>
      </c>
      <c r="L755" s="7" t="str">
        <f>VLOOKUP($J755,countries,5,false)</f>
        <v>Europe</v>
      </c>
      <c r="M755" s="7" t="str">
        <f>VLOOKUP($J755,countries,6,false)</f>
        <v>Eastern Europe</v>
      </c>
      <c r="N755" s="7">
        <v>3127.0</v>
      </c>
      <c r="O755" s="7" t="str">
        <f>VLOOKUP(N755, products, 2, FALSE)</f>
        <v>Personal Care</v>
      </c>
      <c r="P755" s="7" t="s">
        <v>334</v>
      </c>
      <c r="Q755" s="7">
        <v>9530.0</v>
      </c>
      <c r="R755" s="17">
        <v>81.73</v>
      </c>
      <c r="S755" s="17">
        <v>56.67</v>
      </c>
      <c r="U755" s="18">
        <f t="shared" si="6"/>
        <v>778886.9</v>
      </c>
      <c r="V755" s="18">
        <f t="shared" si="7"/>
        <v>540065.1</v>
      </c>
      <c r="W755" s="19">
        <f t="shared" si="8"/>
        <v>238821.8</v>
      </c>
    </row>
    <row r="756">
      <c r="A756" s="7">
        <v>5.95922315E8</v>
      </c>
      <c r="B756" s="12">
        <v>41133.0</v>
      </c>
      <c r="C756" s="7">
        <f t="shared" si="1"/>
        <v>2012</v>
      </c>
      <c r="D756" s="14" t="str">
        <f t="shared" si="2"/>
        <v>08 - Aug</v>
      </c>
      <c r="E756" s="15" t="str">
        <f t="shared" si="3"/>
        <v>Sun</v>
      </c>
      <c r="F756" s="15">
        <f t="shared" si="4"/>
        <v>7</v>
      </c>
      <c r="G756" s="16">
        <v>41156.0</v>
      </c>
      <c r="H756" s="14">
        <f t="shared" si="5"/>
        <v>23</v>
      </c>
      <c r="I756" s="7" t="s">
        <v>232</v>
      </c>
      <c r="J756" s="7" t="s">
        <v>246</v>
      </c>
      <c r="K756" s="7" t="str">
        <f>VLOOKUP(J756,countries,2,false)</f>
        <v>Denmark</v>
      </c>
      <c r="L756" s="7" t="str">
        <f>VLOOKUP($J756,countries,5,false)</f>
        <v>Europe</v>
      </c>
      <c r="M756" s="7" t="str">
        <f>VLOOKUP($J756,countries,6,false)</f>
        <v>Northern Europe</v>
      </c>
      <c r="N756" s="7">
        <v>8875.0</v>
      </c>
      <c r="O756" s="7" t="str">
        <f>VLOOKUP(N756, products, 2, FALSE)</f>
        <v>Meat</v>
      </c>
      <c r="P756" s="7" t="s">
        <v>334</v>
      </c>
      <c r="Q756" s="7">
        <v>5510.0</v>
      </c>
      <c r="R756" s="17">
        <v>421.89</v>
      </c>
      <c r="S756" s="17">
        <v>364.69</v>
      </c>
      <c r="U756" s="18">
        <f t="shared" si="6"/>
        <v>2324613.9</v>
      </c>
      <c r="V756" s="18">
        <f t="shared" si="7"/>
        <v>2009441.9</v>
      </c>
      <c r="W756" s="19">
        <f t="shared" si="8"/>
        <v>315172</v>
      </c>
    </row>
    <row r="757">
      <c r="A757" s="7">
        <v>5.96166074E8</v>
      </c>
      <c r="B757" s="12">
        <v>41605.0</v>
      </c>
      <c r="C757" s="7">
        <f t="shared" si="1"/>
        <v>2013</v>
      </c>
      <c r="D757" s="14" t="str">
        <f t="shared" si="2"/>
        <v>11 - Nov</v>
      </c>
      <c r="E757" s="15" t="str">
        <f t="shared" si="3"/>
        <v>Wed</v>
      </c>
      <c r="F757" s="15">
        <f t="shared" si="4"/>
        <v>3</v>
      </c>
      <c r="G757" s="16">
        <v>41652.0</v>
      </c>
      <c r="H757" s="14">
        <f t="shared" si="5"/>
        <v>47</v>
      </c>
      <c r="I757" s="7" t="s">
        <v>399</v>
      </c>
      <c r="J757" s="7" t="s">
        <v>319</v>
      </c>
      <c r="K757" s="7" t="str">
        <f>VLOOKUP(J757,countries,2,false)</f>
        <v>Germany</v>
      </c>
      <c r="L757" s="7" t="str">
        <f>VLOOKUP($J757,countries,5,false)</f>
        <v>Europe</v>
      </c>
      <c r="M757" s="7" t="str">
        <f>VLOOKUP($J757,countries,6,false)</f>
        <v>Western Europe</v>
      </c>
      <c r="N757" s="7">
        <v>7331.0</v>
      </c>
      <c r="O757" s="7" t="str">
        <f>VLOOKUP(N757, products, 2, FALSE)</f>
        <v>Baby Food</v>
      </c>
      <c r="P757" s="7" t="s">
        <v>334</v>
      </c>
      <c r="Q757" s="7">
        <v>7644.0</v>
      </c>
      <c r="R757" s="17">
        <v>255.28</v>
      </c>
      <c r="S757" s="17">
        <v>159.42</v>
      </c>
      <c r="U757" s="18">
        <f t="shared" si="6"/>
        <v>1951360.32</v>
      </c>
      <c r="V757" s="18">
        <f t="shared" si="7"/>
        <v>1218606.48</v>
      </c>
      <c r="W757" s="19">
        <f t="shared" si="8"/>
        <v>732753.84</v>
      </c>
    </row>
    <row r="758">
      <c r="A758" s="7">
        <v>5.97105491E8</v>
      </c>
      <c r="B758" s="12">
        <v>41158.0</v>
      </c>
      <c r="C758" s="7">
        <f t="shared" si="1"/>
        <v>2012</v>
      </c>
      <c r="D758" s="14" t="str">
        <f t="shared" si="2"/>
        <v>09 - Sep</v>
      </c>
      <c r="E758" s="15" t="str">
        <f t="shared" si="3"/>
        <v>Thu</v>
      </c>
      <c r="F758" s="15">
        <f t="shared" si="4"/>
        <v>4</v>
      </c>
      <c r="G758" s="16">
        <v>41202.0</v>
      </c>
      <c r="H758" s="14">
        <f t="shared" si="5"/>
        <v>44</v>
      </c>
      <c r="I758" s="7" t="s">
        <v>232</v>
      </c>
      <c r="J758" s="7" t="s">
        <v>570</v>
      </c>
      <c r="K758" s="7" t="str">
        <f>VLOOKUP(J758,countries,2,false)</f>
        <v>Macedonia</v>
      </c>
      <c r="L758" s="7" t="str">
        <f>VLOOKUP($J758,countries,5,false)</f>
        <v>Europe</v>
      </c>
      <c r="M758" s="7" t="str">
        <f>VLOOKUP($J758,countries,6,false)</f>
        <v>Southern Europe</v>
      </c>
      <c r="N758" s="7">
        <v>8969.0</v>
      </c>
      <c r="O758" s="7" t="str">
        <f>VLOOKUP(N758, products, 2, FALSE)</f>
        <v>Snacks</v>
      </c>
      <c r="P758" s="7" t="s">
        <v>334</v>
      </c>
      <c r="Q758" s="7">
        <v>5639.0</v>
      </c>
      <c r="R758" s="17">
        <v>152.58</v>
      </c>
      <c r="S758" s="17">
        <v>97.44</v>
      </c>
      <c r="U758" s="18">
        <f t="shared" si="6"/>
        <v>860398.62</v>
      </c>
      <c r="V758" s="18">
        <f t="shared" si="7"/>
        <v>549464.16</v>
      </c>
      <c r="W758" s="19">
        <f t="shared" si="8"/>
        <v>310934.46</v>
      </c>
    </row>
    <row r="759">
      <c r="A759" s="7">
        <v>5.97839343E8</v>
      </c>
      <c r="B759" s="12">
        <v>41808.0</v>
      </c>
      <c r="C759" s="7">
        <f t="shared" si="1"/>
        <v>2014</v>
      </c>
      <c r="D759" s="14" t="str">
        <f t="shared" si="2"/>
        <v>06 - Jun</v>
      </c>
      <c r="E759" s="15" t="str">
        <f t="shared" si="3"/>
        <v>Wed</v>
      </c>
      <c r="F759" s="15">
        <f t="shared" si="4"/>
        <v>3</v>
      </c>
      <c r="G759" s="16">
        <v>41846.0</v>
      </c>
      <c r="H759" s="14">
        <f t="shared" si="5"/>
        <v>38</v>
      </c>
      <c r="I759" s="7" t="s">
        <v>305</v>
      </c>
      <c r="J759" s="7" t="s">
        <v>246</v>
      </c>
      <c r="K759" s="7" t="str">
        <f>VLOOKUP(J759,countries,2,false)</f>
        <v>Denmark</v>
      </c>
      <c r="L759" s="7" t="str">
        <f>VLOOKUP($J759,countries,5,false)</f>
        <v>Europe</v>
      </c>
      <c r="M759" s="7" t="str">
        <f>VLOOKUP($J759,countries,6,false)</f>
        <v>Northern Europe</v>
      </c>
      <c r="N759" s="7">
        <v>3127.0</v>
      </c>
      <c r="O759" s="7" t="str">
        <f>VLOOKUP(N759, products, 2, FALSE)</f>
        <v>Personal Care</v>
      </c>
      <c r="P759" s="7" t="s">
        <v>334</v>
      </c>
      <c r="Q759" s="7">
        <v>2802.0</v>
      </c>
      <c r="R759" s="17">
        <v>81.73</v>
      </c>
      <c r="S759" s="17">
        <v>56.67</v>
      </c>
      <c r="U759" s="18">
        <f t="shared" si="6"/>
        <v>229007.46</v>
      </c>
      <c r="V759" s="18">
        <f t="shared" si="7"/>
        <v>158789.34</v>
      </c>
      <c r="W759" s="19">
        <f t="shared" si="8"/>
        <v>70218.12</v>
      </c>
    </row>
    <row r="760">
      <c r="A760" s="7">
        <v>5.98404109E8</v>
      </c>
      <c r="B760" s="12">
        <v>41946.0</v>
      </c>
      <c r="C760" s="7">
        <f t="shared" si="1"/>
        <v>2014</v>
      </c>
      <c r="D760" s="14" t="str">
        <f t="shared" si="2"/>
        <v>11 - Nov</v>
      </c>
      <c r="E760" s="15" t="str">
        <f t="shared" si="3"/>
        <v>Mon</v>
      </c>
      <c r="F760" s="15">
        <f t="shared" si="4"/>
        <v>1</v>
      </c>
      <c r="G760" s="16">
        <v>41961.0</v>
      </c>
      <c r="H760" s="14">
        <f t="shared" si="5"/>
        <v>15</v>
      </c>
      <c r="I760" s="7" t="s">
        <v>399</v>
      </c>
      <c r="J760" s="7" t="s">
        <v>348</v>
      </c>
      <c r="K760" s="7" t="s">
        <v>348</v>
      </c>
      <c r="L760" s="7" t="s">
        <v>348</v>
      </c>
      <c r="M760" s="7" t="s">
        <v>348</v>
      </c>
      <c r="N760" s="7">
        <v>4594.0</v>
      </c>
      <c r="O760" s="7" t="str">
        <f>VLOOKUP(N760, products, 2, FALSE)</f>
        <v>Fruits</v>
      </c>
      <c r="P760" s="7" t="s">
        <v>264</v>
      </c>
      <c r="Q760" s="7">
        <v>9929.0</v>
      </c>
      <c r="R760" s="17">
        <v>9.33</v>
      </c>
      <c r="S760" s="17">
        <v>6.92</v>
      </c>
      <c r="U760" s="18">
        <f t="shared" si="6"/>
        <v>92637.57</v>
      </c>
      <c r="V760" s="18">
        <f t="shared" si="7"/>
        <v>68708.68</v>
      </c>
      <c r="W760" s="19">
        <f t="shared" si="8"/>
        <v>23928.89</v>
      </c>
    </row>
    <row r="761">
      <c r="A761" s="7">
        <v>5.99624192E8</v>
      </c>
      <c r="B761" s="12">
        <v>41155.0</v>
      </c>
      <c r="C761" s="7">
        <f t="shared" si="1"/>
        <v>2012</v>
      </c>
      <c r="D761" s="14" t="str">
        <f t="shared" si="2"/>
        <v>09 - Sep</v>
      </c>
      <c r="E761" s="15" t="str">
        <f t="shared" si="3"/>
        <v>Mon</v>
      </c>
      <c r="F761" s="15">
        <f t="shared" si="4"/>
        <v>1</v>
      </c>
      <c r="G761" s="16">
        <v>41173.0</v>
      </c>
      <c r="H761" s="14">
        <f t="shared" si="5"/>
        <v>18</v>
      </c>
      <c r="I761" s="7" t="s">
        <v>364</v>
      </c>
      <c r="J761" s="7" t="s">
        <v>306</v>
      </c>
      <c r="K761" s="7" t="str">
        <f>VLOOKUP(J761,countries,2,false)</f>
        <v>Serbia</v>
      </c>
      <c r="L761" s="7" t="str">
        <f>VLOOKUP($J761,countries,5,false)</f>
        <v>Europe</v>
      </c>
      <c r="M761" s="7" t="str">
        <f>VLOOKUP($J761,countries,6,false)</f>
        <v>Southern Europe</v>
      </c>
      <c r="N761" s="7">
        <v>1270.0</v>
      </c>
      <c r="O761" s="7" t="str">
        <f>VLOOKUP(N761, products, 2, FALSE)</f>
        <v>Beverages</v>
      </c>
      <c r="P761" s="7" t="s">
        <v>264</v>
      </c>
      <c r="Q761" s="7">
        <v>978.0</v>
      </c>
      <c r="R761" s="17">
        <v>47.45</v>
      </c>
      <c r="S761" s="17">
        <v>31.79</v>
      </c>
      <c r="U761" s="18">
        <f t="shared" si="6"/>
        <v>46406.1</v>
      </c>
      <c r="V761" s="18">
        <f t="shared" si="7"/>
        <v>31090.62</v>
      </c>
      <c r="W761" s="19">
        <f t="shared" si="8"/>
        <v>15315.48</v>
      </c>
    </row>
    <row r="762">
      <c r="A762" s="7">
        <v>5.99997556E8</v>
      </c>
      <c r="B762" s="12">
        <v>40952.0</v>
      </c>
      <c r="C762" s="7">
        <f t="shared" si="1"/>
        <v>2012</v>
      </c>
      <c r="D762" s="14" t="str">
        <f t="shared" si="2"/>
        <v>02 - Feb</v>
      </c>
      <c r="E762" s="15" t="str">
        <f t="shared" si="3"/>
        <v>Mon</v>
      </c>
      <c r="F762" s="15">
        <f t="shared" si="4"/>
        <v>1</v>
      </c>
      <c r="G762" s="16">
        <v>40953.0</v>
      </c>
      <c r="H762" s="14">
        <f t="shared" si="5"/>
        <v>1</v>
      </c>
      <c r="I762" s="7" t="s">
        <v>399</v>
      </c>
      <c r="J762" s="7" t="s">
        <v>348</v>
      </c>
      <c r="K762" s="7" t="s">
        <v>348</v>
      </c>
      <c r="L762" s="7" t="s">
        <v>348</v>
      </c>
      <c r="M762" s="7" t="s">
        <v>348</v>
      </c>
      <c r="N762" s="7">
        <v>1270.0</v>
      </c>
      <c r="O762" s="7" t="str">
        <f>VLOOKUP(N762, products, 2, FALSE)</f>
        <v>Beverages</v>
      </c>
      <c r="P762" s="7" t="s">
        <v>334</v>
      </c>
      <c r="Q762" s="7">
        <v>1465.0</v>
      </c>
      <c r="R762" s="17">
        <v>47.45</v>
      </c>
      <c r="S762" s="17">
        <v>31.79</v>
      </c>
      <c r="U762" s="18">
        <f t="shared" si="6"/>
        <v>69514.25</v>
      </c>
      <c r="V762" s="18">
        <f t="shared" si="7"/>
        <v>46572.35</v>
      </c>
      <c r="W762" s="19">
        <f t="shared" si="8"/>
        <v>22941.9</v>
      </c>
    </row>
    <row r="763">
      <c r="A763" s="7">
        <v>6.00515115E8</v>
      </c>
      <c r="B763" s="12">
        <v>42197.0</v>
      </c>
      <c r="C763" s="7">
        <f t="shared" si="1"/>
        <v>2015</v>
      </c>
      <c r="D763" s="14" t="str">
        <f t="shared" si="2"/>
        <v>07 - Jul</v>
      </c>
      <c r="E763" s="15" t="str">
        <f t="shared" si="3"/>
        <v>Sun</v>
      </c>
      <c r="F763" s="15">
        <f t="shared" si="4"/>
        <v>7</v>
      </c>
      <c r="G763" s="16">
        <v>42246.0</v>
      </c>
      <c r="H763" s="14">
        <f t="shared" si="5"/>
        <v>49</v>
      </c>
      <c r="I763" s="7" t="s">
        <v>232</v>
      </c>
      <c r="J763" s="7" t="s">
        <v>240</v>
      </c>
      <c r="K763" s="7" t="str">
        <f>VLOOKUP(J763,countries,2,false)</f>
        <v>Cyprus</v>
      </c>
      <c r="L763" s="7" t="str">
        <f>VLOOKUP($J763,countries,5,false)</f>
        <v>Asia</v>
      </c>
      <c r="M763" s="7" t="str">
        <f>VLOOKUP($J763,countries,6,false)</f>
        <v>Western Asia</v>
      </c>
      <c r="N763" s="7">
        <v>4594.0</v>
      </c>
      <c r="O763" s="7" t="str">
        <f>VLOOKUP(N763, products, 2, FALSE)</f>
        <v>Fruits</v>
      </c>
      <c r="P763" s="7" t="s">
        <v>334</v>
      </c>
      <c r="Q763" s="7">
        <v>4622.0</v>
      </c>
      <c r="R763" s="17">
        <v>9.33</v>
      </c>
      <c r="S763" s="17">
        <v>6.92</v>
      </c>
      <c r="U763" s="18">
        <f t="shared" si="6"/>
        <v>43123.26</v>
      </c>
      <c r="V763" s="18">
        <f t="shared" si="7"/>
        <v>31984.24</v>
      </c>
      <c r="W763" s="19">
        <f t="shared" si="8"/>
        <v>11139.02</v>
      </c>
    </row>
    <row r="764">
      <c r="A764" s="7">
        <v>6.01422345E8</v>
      </c>
      <c r="B764" s="12">
        <v>40241.0</v>
      </c>
      <c r="C764" s="7">
        <f t="shared" si="1"/>
        <v>2010</v>
      </c>
      <c r="D764" s="14" t="str">
        <f t="shared" si="2"/>
        <v>03 - Mar</v>
      </c>
      <c r="E764" s="15" t="str">
        <f t="shared" si="3"/>
        <v>Thu</v>
      </c>
      <c r="F764" s="15">
        <f t="shared" si="4"/>
        <v>4</v>
      </c>
      <c r="G764" s="16">
        <v>40257.0</v>
      </c>
      <c r="H764" s="14">
        <f t="shared" si="5"/>
        <v>16</v>
      </c>
      <c r="I764" s="7" t="s">
        <v>305</v>
      </c>
      <c r="J764" s="7" t="s">
        <v>546</v>
      </c>
      <c r="K764" s="7" t="str">
        <f>VLOOKUP(J764,countries,2,false)</f>
        <v>Netherlands</v>
      </c>
      <c r="L764" s="7" t="str">
        <f>VLOOKUP($J764,countries,5,false)</f>
        <v>Europe</v>
      </c>
      <c r="M764" s="7" t="str">
        <f>VLOOKUP($J764,countries,6,false)</f>
        <v>Western Europe</v>
      </c>
      <c r="N764" s="7">
        <v>1270.0</v>
      </c>
      <c r="O764" s="7" t="str">
        <f>VLOOKUP(N764, products, 2, FALSE)</f>
        <v>Beverages</v>
      </c>
      <c r="P764" s="7" t="s">
        <v>264</v>
      </c>
      <c r="Q764" s="7">
        <v>3092.0</v>
      </c>
      <c r="R764" s="17">
        <v>47.45</v>
      </c>
      <c r="S764" s="17">
        <v>31.79</v>
      </c>
      <c r="U764" s="18">
        <f t="shared" si="6"/>
        <v>146715.4</v>
      </c>
      <c r="V764" s="18">
        <f t="shared" si="7"/>
        <v>98294.68</v>
      </c>
      <c r="W764" s="19">
        <f t="shared" si="8"/>
        <v>48420.72</v>
      </c>
    </row>
    <row r="765">
      <c r="A765" s="7">
        <v>6.01588857E8</v>
      </c>
      <c r="B765" s="12">
        <v>41518.0</v>
      </c>
      <c r="C765" s="7">
        <f t="shared" si="1"/>
        <v>2013</v>
      </c>
      <c r="D765" s="14" t="str">
        <f t="shared" si="2"/>
        <v>09 - Sep</v>
      </c>
      <c r="E765" s="15" t="str">
        <f t="shared" si="3"/>
        <v>Sun</v>
      </c>
      <c r="F765" s="15">
        <f t="shared" si="4"/>
        <v>7</v>
      </c>
      <c r="G765" s="16">
        <v>41527.0</v>
      </c>
      <c r="H765" s="14">
        <f t="shared" si="5"/>
        <v>9</v>
      </c>
      <c r="I765" s="7" t="s">
        <v>399</v>
      </c>
      <c r="J765" s="7" t="s">
        <v>348</v>
      </c>
      <c r="K765" s="7" t="s">
        <v>348</v>
      </c>
      <c r="L765" s="7" t="s">
        <v>348</v>
      </c>
      <c r="M765" s="7" t="s">
        <v>348</v>
      </c>
      <c r="N765" s="7">
        <v>2455.0</v>
      </c>
      <c r="O765" s="7" t="str">
        <f>VLOOKUP(N765, products, 2, FALSE)</f>
        <v>Clothes</v>
      </c>
      <c r="P765" s="7" t="s">
        <v>334</v>
      </c>
      <c r="Q765" s="7">
        <v>2366.0</v>
      </c>
      <c r="R765" s="17">
        <v>109.28</v>
      </c>
      <c r="S765" s="17">
        <v>35.84</v>
      </c>
      <c r="U765" s="18">
        <f t="shared" si="6"/>
        <v>258556.48</v>
      </c>
      <c r="V765" s="18">
        <f t="shared" si="7"/>
        <v>84797.44</v>
      </c>
      <c r="W765" s="19">
        <f t="shared" si="8"/>
        <v>173759.04</v>
      </c>
    </row>
    <row r="766">
      <c r="A766" s="7">
        <v>6.0188626E8</v>
      </c>
      <c r="B766" s="12">
        <v>41738.0</v>
      </c>
      <c r="C766" s="7">
        <f t="shared" si="1"/>
        <v>2014</v>
      </c>
      <c r="D766" s="14" t="str">
        <f t="shared" si="2"/>
        <v>04 - Apr</v>
      </c>
      <c r="E766" s="15" t="str">
        <f t="shared" si="3"/>
        <v>Wed</v>
      </c>
      <c r="F766" s="15">
        <f t="shared" si="4"/>
        <v>3</v>
      </c>
      <c r="G766" s="16">
        <v>41786.0</v>
      </c>
      <c r="H766" s="14">
        <f t="shared" si="5"/>
        <v>48</v>
      </c>
      <c r="I766" s="7" t="s">
        <v>305</v>
      </c>
      <c r="J766" s="7" t="s">
        <v>296</v>
      </c>
      <c r="K766" s="7" t="str">
        <f>VLOOKUP(J766,countries,2,false)</f>
        <v>France</v>
      </c>
      <c r="L766" s="7" t="str">
        <f>VLOOKUP($J766,countries,5,false)</f>
        <v>Europe</v>
      </c>
      <c r="M766" s="7" t="str">
        <f>VLOOKUP($J766,countries,6,false)</f>
        <v>Western Europe</v>
      </c>
      <c r="N766" s="7">
        <v>4594.0</v>
      </c>
      <c r="O766" s="7" t="str">
        <f>VLOOKUP(N766, products, 2, FALSE)</f>
        <v>Fruits</v>
      </c>
      <c r="P766" s="7" t="s">
        <v>334</v>
      </c>
      <c r="Q766" s="7">
        <v>374.0</v>
      </c>
      <c r="R766" s="17">
        <v>9.33</v>
      </c>
      <c r="S766" s="17">
        <v>6.92</v>
      </c>
      <c r="U766" s="18">
        <f t="shared" si="6"/>
        <v>3489.42</v>
      </c>
      <c r="V766" s="18">
        <f t="shared" si="7"/>
        <v>2588.08</v>
      </c>
      <c r="W766" s="19">
        <f t="shared" si="8"/>
        <v>901.34</v>
      </c>
    </row>
    <row r="767">
      <c r="A767" s="7">
        <v>6.01894414E8</v>
      </c>
      <c r="B767" s="12">
        <v>40239.0</v>
      </c>
      <c r="C767" s="7">
        <f t="shared" si="1"/>
        <v>2010</v>
      </c>
      <c r="D767" s="14" t="str">
        <f t="shared" si="2"/>
        <v>03 - Mar</v>
      </c>
      <c r="E767" s="15" t="str">
        <f t="shared" si="3"/>
        <v>Tue</v>
      </c>
      <c r="F767" s="15">
        <f t="shared" si="4"/>
        <v>2</v>
      </c>
      <c r="G767" s="16">
        <v>40256.0</v>
      </c>
      <c r="H767" s="14">
        <f t="shared" si="5"/>
        <v>17</v>
      </c>
      <c r="I767" s="7" t="s">
        <v>232</v>
      </c>
      <c r="J767" s="7" t="s">
        <v>435</v>
      </c>
      <c r="K767" s="7" t="str">
        <f>VLOOKUP(J767,countries,2,false)</f>
        <v>Slovakia</v>
      </c>
      <c r="L767" s="7" t="str">
        <f>VLOOKUP($J767,countries,5,false)</f>
        <v>Europe</v>
      </c>
      <c r="M767" s="7" t="str">
        <f>VLOOKUP($J767,countries,6,false)</f>
        <v>Eastern Europe</v>
      </c>
      <c r="N767" s="7">
        <v>8681.0</v>
      </c>
      <c r="O767" s="7" t="str">
        <f>VLOOKUP(N767, products, 2, FALSE)</f>
        <v>Office Supplies</v>
      </c>
      <c r="P767" s="7" t="s">
        <v>334</v>
      </c>
      <c r="Q767" s="7">
        <v>2787.0</v>
      </c>
      <c r="R767" s="17">
        <v>651.21</v>
      </c>
      <c r="S767" s="17">
        <v>524.96</v>
      </c>
      <c r="U767" s="18">
        <f t="shared" si="6"/>
        <v>1814922.27</v>
      </c>
      <c r="V767" s="18">
        <f t="shared" si="7"/>
        <v>1463063.52</v>
      </c>
      <c r="W767" s="19">
        <f t="shared" si="8"/>
        <v>351858.75</v>
      </c>
    </row>
    <row r="768">
      <c r="A768" s="7">
        <v>6.02264344E8</v>
      </c>
      <c r="B768" s="12">
        <v>41977.0</v>
      </c>
      <c r="C768" s="7">
        <f t="shared" si="1"/>
        <v>2014</v>
      </c>
      <c r="D768" s="14" t="str">
        <f t="shared" si="2"/>
        <v>12 - Dec</v>
      </c>
      <c r="E768" s="15" t="str">
        <f t="shared" si="3"/>
        <v>Thu</v>
      </c>
      <c r="F768" s="15">
        <f t="shared" si="4"/>
        <v>4</v>
      </c>
      <c r="G768" s="16">
        <v>42011.0</v>
      </c>
      <c r="H768" s="14">
        <f t="shared" si="5"/>
        <v>34</v>
      </c>
      <c r="I768" s="7" t="s">
        <v>399</v>
      </c>
      <c r="J768" s="7" t="s">
        <v>489</v>
      </c>
      <c r="K768" s="7" t="str">
        <f>VLOOKUP(J768,countries,2,false)</f>
        <v>Malta</v>
      </c>
      <c r="L768" s="7" t="str">
        <f>VLOOKUP($J768,countries,5,false)</f>
        <v>Europe</v>
      </c>
      <c r="M768" s="7" t="str">
        <f>VLOOKUP($J768,countries,6,false)</f>
        <v>Southern Europe</v>
      </c>
      <c r="N768" s="7">
        <v>8681.0</v>
      </c>
      <c r="O768" s="7" t="str">
        <f>VLOOKUP(N768, products, 2, FALSE)</f>
        <v>Office Supplies</v>
      </c>
      <c r="P768" s="7" t="s">
        <v>334</v>
      </c>
      <c r="Q768" s="7">
        <v>2258.0</v>
      </c>
      <c r="R768" s="17">
        <v>651.21</v>
      </c>
      <c r="S768" s="17">
        <v>524.96</v>
      </c>
      <c r="U768" s="18">
        <f t="shared" si="6"/>
        <v>1470432.18</v>
      </c>
      <c r="V768" s="18">
        <f t="shared" si="7"/>
        <v>1185359.68</v>
      </c>
      <c r="W768" s="19">
        <f t="shared" si="8"/>
        <v>285072.5</v>
      </c>
    </row>
    <row r="769">
      <c r="A769" s="7">
        <v>6.02301251E8</v>
      </c>
      <c r="B769" s="12">
        <v>41163.0</v>
      </c>
      <c r="C769" s="7">
        <f t="shared" si="1"/>
        <v>2012</v>
      </c>
      <c r="D769" s="14" t="str">
        <f t="shared" si="2"/>
        <v>09 - Sep</v>
      </c>
      <c r="E769" s="15" t="str">
        <f t="shared" si="3"/>
        <v>Tue</v>
      </c>
      <c r="F769" s="15">
        <f t="shared" si="4"/>
        <v>2</v>
      </c>
      <c r="G769" s="16">
        <v>41179.0</v>
      </c>
      <c r="H769" s="14">
        <f t="shared" si="5"/>
        <v>16</v>
      </c>
      <c r="I769" s="7" t="s">
        <v>232</v>
      </c>
      <c r="J769" s="7" t="s">
        <v>406</v>
      </c>
      <c r="K769" s="7" t="str">
        <f>VLOOKUP(J769,countries,2,false)</f>
        <v>Italy</v>
      </c>
      <c r="L769" s="7" t="str">
        <f>VLOOKUP($J769,countries,5,false)</f>
        <v>Europe</v>
      </c>
      <c r="M769" s="7" t="str">
        <f>VLOOKUP($J769,countries,6,false)</f>
        <v>Southern Europe</v>
      </c>
      <c r="N769" s="7">
        <v>2455.0</v>
      </c>
      <c r="O769" s="7" t="str">
        <f>VLOOKUP(N769, products, 2, FALSE)</f>
        <v>Clothes</v>
      </c>
      <c r="P769" s="7" t="s">
        <v>334</v>
      </c>
      <c r="Q769" s="7">
        <v>3180.0</v>
      </c>
      <c r="R769" s="17">
        <v>109.28</v>
      </c>
      <c r="S769" s="17">
        <v>35.84</v>
      </c>
      <c r="U769" s="18">
        <f t="shared" si="6"/>
        <v>347510.4</v>
      </c>
      <c r="V769" s="18">
        <f t="shared" si="7"/>
        <v>113971.2</v>
      </c>
      <c r="W769" s="19">
        <f t="shared" si="8"/>
        <v>233539.2</v>
      </c>
    </row>
    <row r="770">
      <c r="A770" s="7">
        <v>6.02357041E8</v>
      </c>
      <c r="B770" s="12">
        <v>42118.0</v>
      </c>
      <c r="C770" s="7">
        <f t="shared" si="1"/>
        <v>2015</v>
      </c>
      <c r="D770" s="14" t="str">
        <f t="shared" si="2"/>
        <v>04 - Apr</v>
      </c>
      <c r="E770" s="15" t="str">
        <f t="shared" si="3"/>
        <v>Fri</v>
      </c>
      <c r="F770" s="15">
        <f t="shared" si="4"/>
        <v>5</v>
      </c>
      <c r="G770" s="16">
        <v>42129.0</v>
      </c>
      <c r="H770" s="14">
        <f t="shared" si="5"/>
        <v>11</v>
      </c>
      <c r="I770" s="7" t="s">
        <v>364</v>
      </c>
      <c r="J770" s="7" t="s">
        <v>626</v>
      </c>
      <c r="K770" s="7" t="str">
        <f>VLOOKUP(J770,countries,2,false)</f>
        <v>Russia</v>
      </c>
      <c r="L770" s="7" t="str">
        <f>VLOOKUP($J770,countries,5,false)</f>
        <v>Europe</v>
      </c>
      <c r="M770" s="7" t="str">
        <f>VLOOKUP($J770,countries,6,false)</f>
        <v>Eastern Europe</v>
      </c>
      <c r="N770" s="7">
        <v>3127.0</v>
      </c>
      <c r="O770" s="7" t="str">
        <f>VLOOKUP(N770, products, 2, FALSE)</f>
        <v>Personal Care</v>
      </c>
      <c r="P770" s="7" t="s">
        <v>264</v>
      </c>
      <c r="Q770" s="7">
        <v>9689.0</v>
      </c>
      <c r="R770" s="17">
        <v>81.73</v>
      </c>
      <c r="S770" s="17">
        <v>56.67</v>
      </c>
      <c r="U770" s="18">
        <f t="shared" si="6"/>
        <v>791881.97</v>
      </c>
      <c r="V770" s="18">
        <f t="shared" si="7"/>
        <v>549075.63</v>
      </c>
      <c r="W770" s="19">
        <f t="shared" si="8"/>
        <v>242806.34</v>
      </c>
    </row>
    <row r="771">
      <c r="A771" s="7">
        <v>6.04124295E8</v>
      </c>
      <c r="B771" s="12">
        <v>42079.0</v>
      </c>
      <c r="C771" s="7">
        <f t="shared" si="1"/>
        <v>2015</v>
      </c>
      <c r="D771" s="14" t="str">
        <f t="shared" si="2"/>
        <v>03 - Mar</v>
      </c>
      <c r="E771" s="15" t="str">
        <f t="shared" si="3"/>
        <v>Mon</v>
      </c>
      <c r="F771" s="15">
        <f t="shared" si="4"/>
        <v>1</v>
      </c>
      <c r="G771" s="16">
        <v>42096.0</v>
      </c>
      <c r="H771" s="14">
        <f t="shared" si="5"/>
        <v>17</v>
      </c>
      <c r="I771" s="7" t="s">
        <v>305</v>
      </c>
      <c r="J771" s="7" t="s">
        <v>570</v>
      </c>
      <c r="K771" s="7" t="str">
        <f>VLOOKUP(J771,countries,2,false)</f>
        <v>Macedonia</v>
      </c>
      <c r="L771" s="7" t="str">
        <f>VLOOKUP($J771,countries,5,false)</f>
        <v>Europe</v>
      </c>
      <c r="M771" s="7" t="str">
        <f>VLOOKUP($J771,countries,6,false)</f>
        <v>Southern Europe</v>
      </c>
      <c r="N771" s="7">
        <v>8875.0</v>
      </c>
      <c r="O771" s="7" t="str">
        <f>VLOOKUP(N771, products, 2, FALSE)</f>
        <v>Meat</v>
      </c>
      <c r="P771" s="7" t="s">
        <v>264</v>
      </c>
      <c r="Q771" s="7">
        <v>2659.0</v>
      </c>
      <c r="R771" s="17">
        <v>421.89</v>
      </c>
      <c r="S771" s="17">
        <v>364.69</v>
      </c>
      <c r="U771" s="18">
        <f t="shared" si="6"/>
        <v>1121805.51</v>
      </c>
      <c r="V771" s="18">
        <f t="shared" si="7"/>
        <v>969710.71</v>
      </c>
      <c r="W771" s="19">
        <f t="shared" si="8"/>
        <v>152094.8</v>
      </c>
    </row>
    <row r="772">
      <c r="A772" s="7">
        <v>6.04494225E8</v>
      </c>
      <c r="B772" s="12">
        <v>41051.0</v>
      </c>
      <c r="C772" s="7">
        <f t="shared" si="1"/>
        <v>2012</v>
      </c>
      <c r="D772" s="14" t="str">
        <f t="shared" si="2"/>
        <v>05 - May</v>
      </c>
      <c r="E772" s="15" t="str">
        <f t="shared" si="3"/>
        <v>Tue</v>
      </c>
      <c r="F772" s="15">
        <f t="shared" si="4"/>
        <v>2</v>
      </c>
      <c r="G772" s="16">
        <v>41085.0</v>
      </c>
      <c r="H772" s="14">
        <f t="shared" si="5"/>
        <v>34</v>
      </c>
      <c r="I772" s="7" t="s">
        <v>364</v>
      </c>
      <c r="J772" s="7" t="s">
        <v>316</v>
      </c>
      <c r="K772" s="7" t="str">
        <f>VLOOKUP(J772,countries,2,false)</f>
        <v>Georgia</v>
      </c>
      <c r="L772" s="7" t="str">
        <f>VLOOKUP($J772,countries,5,false)</f>
        <v>Asia</v>
      </c>
      <c r="M772" s="7" t="str">
        <f>VLOOKUP($J772,countries,6,false)</f>
        <v>Western Asia</v>
      </c>
      <c r="N772" s="7">
        <v>3127.0</v>
      </c>
      <c r="O772" s="7" t="str">
        <f>VLOOKUP(N772, products, 2, FALSE)</f>
        <v>Personal Care</v>
      </c>
      <c r="P772" s="7" t="s">
        <v>334</v>
      </c>
      <c r="Q772" s="7">
        <v>2129.0</v>
      </c>
      <c r="R772" s="17">
        <v>81.73</v>
      </c>
      <c r="S772" s="17">
        <v>56.67</v>
      </c>
      <c r="U772" s="18">
        <f t="shared" si="6"/>
        <v>174003.17</v>
      </c>
      <c r="V772" s="18">
        <f t="shared" si="7"/>
        <v>120650.43</v>
      </c>
      <c r="W772" s="19">
        <f t="shared" si="8"/>
        <v>53352.74</v>
      </c>
    </row>
    <row r="773">
      <c r="A773" s="7">
        <v>6.0502938E8</v>
      </c>
      <c r="B773" s="12">
        <v>41682.0</v>
      </c>
      <c r="C773" s="7">
        <f t="shared" si="1"/>
        <v>2014</v>
      </c>
      <c r="D773" s="14" t="str">
        <f t="shared" si="2"/>
        <v>02 - Feb</v>
      </c>
      <c r="E773" s="15" t="str">
        <f t="shared" si="3"/>
        <v>Wed</v>
      </c>
      <c r="F773" s="15">
        <f t="shared" si="4"/>
        <v>3</v>
      </c>
      <c r="G773" s="16">
        <v>41688.0</v>
      </c>
      <c r="H773" s="14">
        <f t="shared" si="5"/>
        <v>6</v>
      </c>
      <c r="I773" s="7" t="s">
        <v>399</v>
      </c>
      <c r="J773" s="7" t="s">
        <v>296</v>
      </c>
      <c r="K773" s="7" t="str">
        <f>VLOOKUP(J773,countries,2,false)</f>
        <v>France</v>
      </c>
      <c r="L773" s="7" t="str">
        <f>VLOOKUP($J773,countries,5,false)</f>
        <v>Europe</v>
      </c>
      <c r="M773" s="7" t="str">
        <f>VLOOKUP($J773,countries,6,false)</f>
        <v>Western Europe</v>
      </c>
      <c r="N773" s="7">
        <v>4594.0</v>
      </c>
      <c r="O773" s="7" t="str">
        <f>VLOOKUP(N773, products, 2, FALSE)</f>
        <v>Fruits</v>
      </c>
      <c r="P773" s="7" t="s">
        <v>334</v>
      </c>
      <c r="Q773" s="7">
        <v>493.0</v>
      </c>
      <c r="R773" s="17">
        <v>9.33</v>
      </c>
      <c r="S773" s="17">
        <v>6.92</v>
      </c>
      <c r="U773" s="18">
        <f t="shared" si="6"/>
        <v>4599.69</v>
      </c>
      <c r="V773" s="18">
        <f t="shared" si="7"/>
        <v>3411.56</v>
      </c>
      <c r="W773" s="19">
        <f t="shared" si="8"/>
        <v>1188.13</v>
      </c>
    </row>
    <row r="774">
      <c r="A774" s="7">
        <v>6.06118571E8</v>
      </c>
      <c r="B774" s="12">
        <v>41949.0</v>
      </c>
      <c r="C774" s="7">
        <f t="shared" si="1"/>
        <v>2014</v>
      </c>
      <c r="D774" s="14" t="str">
        <f t="shared" si="2"/>
        <v>11 - Nov</v>
      </c>
      <c r="E774" s="15" t="str">
        <f t="shared" si="3"/>
        <v>Thu</v>
      </c>
      <c r="F774" s="15">
        <f t="shared" si="4"/>
        <v>4</v>
      </c>
      <c r="G774" s="16">
        <v>41961.0</v>
      </c>
      <c r="H774" s="14">
        <f t="shared" si="5"/>
        <v>12</v>
      </c>
      <c r="I774" s="7" t="s">
        <v>399</v>
      </c>
      <c r="J774" s="7" t="s">
        <v>623</v>
      </c>
      <c r="K774" s="7" t="str">
        <f>VLOOKUP(J774,countries,2,false)</f>
        <v>Romania</v>
      </c>
      <c r="L774" s="7" t="str">
        <f>VLOOKUP($J774,countries,5,false)</f>
        <v>Europe</v>
      </c>
      <c r="M774" s="7" t="str">
        <f>VLOOKUP($J774,countries,6,false)</f>
        <v>Eastern Europe</v>
      </c>
      <c r="N774" s="7">
        <v>5988.0</v>
      </c>
      <c r="O774" s="7" t="str">
        <f>VLOOKUP(N774, products, 2, FALSE)</f>
        <v>Vegetables</v>
      </c>
      <c r="P774" s="7" t="s">
        <v>334</v>
      </c>
      <c r="Q774" s="7">
        <v>2809.0</v>
      </c>
      <c r="R774" s="17">
        <v>154.06</v>
      </c>
      <c r="S774" s="17">
        <v>90.93</v>
      </c>
      <c r="U774" s="18">
        <f t="shared" si="6"/>
        <v>432754.54</v>
      </c>
      <c r="V774" s="18">
        <f t="shared" si="7"/>
        <v>255422.37</v>
      </c>
      <c r="W774" s="19">
        <f t="shared" si="8"/>
        <v>177332.17</v>
      </c>
    </row>
    <row r="775">
      <c r="A775" s="7">
        <v>6.06224572E8</v>
      </c>
      <c r="B775" s="12">
        <v>41828.0</v>
      </c>
      <c r="C775" s="7">
        <f t="shared" si="1"/>
        <v>2014</v>
      </c>
      <c r="D775" s="14" t="str">
        <f t="shared" si="2"/>
        <v>07 - Jul</v>
      </c>
      <c r="E775" s="15" t="str">
        <f t="shared" si="3"/>
        <v>Tue</v>
      </c>
      <c r="F775" s="15">
        <f t="shared" si="4"/>
        <v>2</v>
      </c>
      <c r="G775" s="16">
        <v>41835.0</v>
      </c>
      <c r="H775" s="14">
        <f t="shared" si="5"/>
        <v>7</v>
      </c>
      <c r="I775" s="7" t="s">
        <v>232</v>
      </c>
      <c r="J775" s="7" t="s">
        <v>246</v>
      </c>
      <c r="K775" s="7" t="str">
        <f>VLOOKUP(J775,countries,2,false)</f>
        <v>Denmark</v>
      </c>
      <c r="L775" s="7" t="str">
        <f>VLOOKUP($J775,countries,5,false)</f>
        <v>Europe</v>
      </c>
      <c r="M775" s="7" t="str">
        <f>VLOOKUP($J775,countries,6,false)</f>
        <v>Northern Europe</v>
      </c>
      <c r="N775" s="7">
        <v>8293.0</v>
      </c>
      <c r="O775" s="7" t="str">
        <f>VLOOKUP(N775, products, 2, FALSE)</f>
        <v>Cosmetics</v>
      </c>
      <c r="P775" s="7" t="s">
        <v>334</v>
      </c>
      <c r="Q775" s="7">
        <v>4177.0</v>
      </c>
      <c r="R775" s="17">
        <v>437.2</v>
      </c>
      <c r="S775" s="17">
        <v>263.33</v>
      </c>
      <c r="U775" s="18">
        <f t="shared" si="6"/>
        <v>1826184.4</v>
      </c>
      <c r="V775" s="18">
        <f t="shared" si="7"/>
        <v>1099929.41</v>
      </c>
      <c r="W775" s="19">
        <f t="shared" si="8"/>
        <v>726254.99</v>
      </c>
    </row>
    <row r="776">
      <c r="A776" s="7">
        <v>6.07620608E8</v>
      </c>
      <c r="B776" s="12">
        <v>40433.0</v>
      </c>
      <c r="C776" s="7">
        <f t="shared" si="1"/>
        <v>2010</v>
      </c>
      <c r="D776" s="14" t="str">
        <f t="shared" si="2"/>
        <v>09 - Sep</v>
      </c>
      <c r="E776" s="15" t="str">
        <f t="shared" si="3"/>
        <v>Sun</v>
      </c>
      <c r="F776" s="15">
        <f t="shared" si="4"/>
        <v>7</v>
      </c>
      <c r="G776" s="16">
        <v>40441.0</v>
      </c>
      <c r="H776" s="14">
        <f t="shared" si="5"/>
        <v>8</v>
      </c>
      <c r="I776" s="7" t="s">
        <v>399</v>
      </c>
      <c r="J776" s="7" t="s">
        <v>348</v>
      </c>
      <c r="K776" s="7" t="s">
        <v>348</v>
      </c>
      <c r="L776" s="7" t="s">
        <v>348</v>
      </c>
      <c r="M776" s="7" t="s">
        <v>348</v>
      </c>
      <c r="N776" s="7">
        <v>1270.0</v>
      </c>
      <c r="O776" s="7" t="str">
        <f>VLOOKUP(N776, products, 2, FALSE)</f>
        <v>Beverages</v>
      </c>
      <c r="P776" s="7" t="s">
        <v>264</v>
      </c>
      <c r="Q776" s="7">
        <v>7296.0</v>
      </c>
      <c r="R776" s="17">
        <v>47.45</v>
      </c>
      <c r="S776" s="17">
        <v>31.79</v>
      </c>
      <c r="U776" s="18">
        <f t="shared" si="6"/>
        <v>346195.2</v>
      </c>
      <c r="V776" s="18">
        <f t="shared" si="7"/>
        <v>231939.84</v>
      </c>
      <c r="W776" s="19">
        <f t="shared" si="8"/>
        <v>114255.36</v>
      </c>
    </row>
    <row r="777">
      <c r="A777" s="7">
        <v>6.07756221E8</v>
      </c>
      <c r="B777" s="12">
        <v>42585.0</v>
      </c>
      <c r="C777" s="7">
        <f t="shared" si="1"/>
        <v>2016</v>
      </c>
      <c r="D777" s="14" t="str">
        <f t="shared" si="2"/>
        <v>08 - Aug</v>
      </c>
      <c r="E777" s="15" t="str">
        <f t="shared" si="3"/>
        <v>Wed</v>
      </c>
      <c r="F777" s="15">
        <f t="shared" si="4"/>
        <v>3</v>
      </c>
      <c r="G777" s="16">
        <v>42593.0</v>
      </c>
      <c r="H777" s="14">
        <f t="shared" si="5"/>
        <v>8</v>
      </c>
      <c r="I777" s="7" t="s">
        <v>399</v>
      </c>
      <c r="J777" s="7" t="s">
        <v>447</v>
      </c>
      <c r="K777" s="7" t="str">
        <f>VLOOKUP(J777,countries,2,false)</f>
        <v>Latvia</v>
      </c>
      <c r="L777" s="7" t="str">
        <f>VLOOKUP($J777,countries,5,false)</f>
        <v>Europe</v>
      </c>
      <c r="M777" s="7" t="str">
        <f>VLOOKUP($J777,countries,6,false)</f>
        <v>Northern Europe</v>
      </c>
      <c r="N777" s="7">
        <v>7940.0</v>
      </c>
      <c r="O777" s="7" t="str">
        <f>VLOOKUP(N777, products, 2, FALSE)</f>
        <v>Household</v>
      </c>
      <c r="P777" s="7" t="s">
        <v>264</v>
      </c>
      <c r="Q777" s="7">
        <v>7426.0</v>
      </c>
      <c r="R777" s="17">
        <v>668.27</v>
      </c>
      <c r="S777" s="17">
        <v>502.54</v>
      </c>
      <c r="U777" s="18">
        <f t="shared" si="6"/>
        <v>4962573.02</v>
      </c>
      <c r="V777" s="18">
        <f t="shared" si="7"/>
        <v>3731862.04</v>
      </c>
      <c r="W777" s="19">
        <f t="shared" si="8"/>
        <v>1230710.98</v>
      </c>
    </row>
    <row r="778">
      <c r="A778" s="7">
        <v>6.08374631E8</v>
      </c>
      <c r="B778" s="12">
        <v>42471.0</v>
      </c>
      <c r="C778" s="7">
        <f t="shared" si="1"/>
        <v>2016</v>
      </c>
      <c r="D778" s="14" t="str">
        <f t="shared" si="2"/>
        <v>04 - Apr</v>
      </c>
      <c r="E778" s="15" t="str">
        <f t="shared" si="3"/>
        <v>Mon</v>
      </c>
      <c r="F778" s="15">
        <f t="shared" si="4"/>
        <v>1</v>
      </c>
      <c r="G778" s="16">
        <v>42472.0</v>
      </c>
      <c r="H778" s="14">
        <f t="shared" si="5"/>
        <v>1</v>
      </c>
      <c r="I778" s="7" t="s">
        <v>232</v>
      </c>
      <c r="J778" s="7" t="s">
        <v>406</v>
      </c>
      <c r="K778" s="7" t="str">
        <f>VLOOKUP(J778,countries,2,false)</f>
        <v>Italy</v>
      </c>
      <c r="L778" s="7" t="str">
        <f>VLOOKUP($J778,countries,5,false)</f>
        <v>Europe</v>
      </c>
      <c r="M778" s="7" t="str">
        <f>VLOOKUP($J778,countries,6,false)</f>
        <v>Southern Europe</v>
      </c>
      <c r="N778" s="7">
        <v>5988.0</v>
      </c>
      <c r="O778" s="7" t="str">
        <f>VLOOKUP(N778, products, 2, FALSE)</f>
        <v>Vegetables</v>
      </c>
      <c r="P778" s="7" t="s">
        <v>334</v>
      </c>
      <c r="Q778" s="7">
        <v>428.0</v>
      </c>
      <c r="R778" s="17">
        <v>154.06</v>
      </c>
      <c r="S778" s="17">
        <v>90.93</v>
      </c>
      <c r="U778" s="18">
        <f t="shared" si="6"/>
        <v>65937.68</v>
      </c>
      <c r="V778" s="18">
        <f t="shared" si="7"/>
        <v>38918.04</v>
      </c>
      <c r="W778" s="19">
        <f t="shared" si="8"/>
        <v>27019.64</v>
      </c>
    </row>
    <row r="779">
      <c r="A779" s="7">
        <v>6.08451879E8</v>
      </c>
      <c r="B779" s="12">
        <v>41666.0</v>
      </c>
      <c r="C779" s="7">
        <f t="shared" si="1"/>
        <v>2014</v>
      </c>
      <c r="D779" s="14" t="str">
        <f t="shared" si="2"/>
        <v>01 - Jan</v>
      </c>
      <c r="E779" s="15" t="str">
        <f t="shared" si="3"/>
        <v>Mon</v>
      </c>
      <c r="F779" s="15">
        <f t="shared" si="4"/>
        <v>1</v>
      </c>
      <c r="G779" s="16">
        <v>41699.0</v>
      </c>
      <c r="H779" s="14">
        <f t="shared" si="5"/>
        <v>33</v>
      </c>
      <c r="I779" s="7" t="s">
        <v>305</v>
      </c>
      <c r="J779" s="7" t="s">
        <v>348</v>
      </c>
      <c r="K779" s="7" t="s">
        <v>348</v>
      </c>
      <c r="L779" s="7" t="s">
        <v>348</v>
      </c>
      <c r="M779" s="7" t="s">
        <v>348</v>
      </c>
      <c r="N779" s="7">
        <v>7331.0</v>
      </c>
      <c r="O779" s="7" t="str">
        <f>VLOOKUP(N779, products, 2, FALSE)</f>
        <v>Baby Food</v>
      </c>
      <c r="P779" s="7" t="s">
        <v>264</v>
      </c>
      <c r="Q779" s="7">
        <v>3287.0</v>
      </c>
      <c r="R779" s="17">
        <v>255.28</v>
      </c>
      <c r="S779" s="17">
        <v>159.42</v>
      </c>
      <c r="U779" s="18">
        <f t="shared" si="6"/>
        <v>839105.36</v>
      </c>
      <c r="V779" s="18">
        <f t="shared" si="7"/>
        <v>524013.54</v>
      </c>
      <c r="W779" s="19">
        <f t="shared" si="8"/>
        <v>315091.82</v>
      </c>
    </row>
    <row r="780">
      <c r="A780" s="7">
        <v>6.09939754E8</v>
      </c>
      <c r="B780" s="12">
        <v>41588.0</v>
      </c>
      <c r="C780" s="7">
        <f t="shared" si="1"/>
        <v>2013</v>
      </c>
      <c r="D780" s="14" t="str">
        <f t="shared" si="2"/>
        <v>11 - Nov</v>
      </c>
      <c r="E780" s="15" t="str">
        <f t="shared" si="3"/>
        <v>Sun</v>
      </c>
      <c r="F780" s="15">
        <f t="shared" si="4"/>
        <v>7</v>
      </c>
      <c r="G780" s="16">
        <v>41608.0</v>
      </c>
      <c r="H780" s="14">
        <f t="shared" si="5"/>
        <v>20</v>
      </c>
      <c r="I780" s="7" t="s">
        <v>232</v>
      </c>
      <c r="J780" s="7" t="s">
        <v>124</v>
      </c>
      <c r="K780" s="7" t="str">
        <f>VLOOKUP(J780,countries,2,false)</f>
        <v>Belgium</v>
      </c>
      <c r="L780" s="7" t="str">
        <f>VLOOKUP($J780,countries,5,false)</f>
        <v>Europe</v>
      </c>
      <c r="M780" s="7" t="str">
        <f>VLOOKUP($J780,countries,6,false)</f>
        <v>Western Europe</v>
      </c>
      <c r="N780" s="7">
        <v>4594.0</v>
      </c>
      <c r="O780" s="7" t="str">
        <f>VLOOKUP(N780, products, 2, FALSE)</f>
        <v>Fruits</v>
      </c>
      <c r="P780" s="7" t="s">
        <v>264</v>
      </c>
      <c r="Q780" s="7">
        <v>3582.0</v>
      </c>
      <c r="R780" s="17">
        <v>9.33</v>
      </c>
      <c r="S780" s="17">
        <v>6.92</v>
      </c>
      <c r="U780" s="18">
        <f t="shared" si="6"/>
        <v>33420.06</v>
      </c>
      <c r="V780" s="18">
        <f t="shared" si="7"/>
        <v>24787.44</v>
      </c>
      <c r="W780" s="19">
        <f t="shared" si="8"/>
        <v>8632.62</v>
      </c>
    </row>
    <row r="781">
      <c r="A781" s="7">
        <v>6.09952628E8</v>
      </c>
      <c r="B781" s="12">
        <v>40532.0</v>
      </c>
      <c r="C781" s="7">
        <f t="shared" si="1"/>
        <v>2010</v>
      </c>
      <c r="D781" s="14" t="str">
        <f t="shared" si="2"/>
        <v>12 - Dec</v>
      </c>
      <c r="E781" s="15" t="str">
        <f t="shared" si="3"/>
        <v>Mon</v>
      </c>
      <c r="F781" s="15">
        <f t="shared" si="4"/>
        <v>1</v>
      </c>
      <c r="G781" s="16">
        <v>40574.0</v>
      </c>
      <c r="H781" s="14">
        <f t="shared" si="5"/>
        <v>42</v>
      </c>
      <c r="I781" s="7" t="s">
        <v>232</v>
      </c>
      <c r="J781" s="7" t="s">
        <v>626</v>
      </c>
      <c r="K781" s="7" t="str">
        <f>VLOOKUP(J781,countries,2,false)</f>
        <v>Russia</v>
      </c>
      <c r="L781" s="7" t="str">
        <f>VLOOKUP($J781,countries,5,false)</f>
        <v>Europe</v>
      </c>
      <c r="M781" s="7" t="str">
        <f>VLOOKUP($J781,countries,6,false)</f>
        <v>Eastern Europe</v>
      </c>
      <c r="N781" s="7">
        <v>8875.0</v>
      </c>
      <c r="O781" s="7" t="str">
        <f>VLOOKUP(N781, products, 2, FALSE)</f>
        <v>Meat</v>
      </c>
      <c r="P781" s="7" t="s">
        <v>264</v>
      </c>
      <c r="Q781" s="7">
        <v>7392.0</v>
      </c>
      <c r="R781" s="17">
        <v>421.89</v>
      </c>
      <c r="S781" s="17">
        <v>364.69</v>
      </c>
      <c r="U781" s="18">
        <f t="shared" si="6"/>
        <v>3118610.88</v>
      </c>
      <c r="V781" s="18">
        <f t="shared" si="7"/>
        <v>2695788.48</v>
      </c>
      <c r="W781" s="19">
        <f t="shared" si="8"/>
        <v>422822.4</v>
      </c>
    </row>
    <row r="782">
      <c r="A782" s="7">
        <v>6.11766231E8</v>
      </c>
      <c r="B782" s="12">
        <v>40564.0</v>
      </c>
      <c r="C782" s="7">
        <f t="shared" si="1"/>
        <v>2011</v>
      </c>
      <c r="D782" s="14" t="str">
        <f t="shared" si="2"/>
        <v>01 - Jan</v>
      </c>
      <c r="E782" s="15" t="str">
        <f t="shared" si="3"/>
        <v>Fri</v>
      </c>
      <c r="F782" s="15">
        <f t="shared" si="4"/>
        <v>5</v>
      </c>
      <c r="G782" s="16">
        <v>40600.0</v>
      </c>
      <c r="H782" s="14">
        <f t="shared" si="5"/>
        <v>36</v>
      </c>
      <c r="I782" s="7" t="s">
        <v>305</v>
      </c>
      <c r="J782" s="7" t="s">
        <v>546</v>
      </c>
      <c r="K782" s="7" t="str">
        <f>VLOOKUP(J782,countries,2,false)</f>
        <v>Netherlands</v>
      </c>
      <c r="L782" s="7" t="str">
        <f>VLOOKUP($J782,countries,5,false)</f>
        <v>Europe</v>
      </c>
      <c r="M782" s="7" t="str">
        <f>VLOOKUP($J782,countries,6,false)</f>
        <v>Western Europe</v>
      </c>
      <c r="N782" s="7">
        <v>7331.0</v>
      </c>
      <c r="O782" s="7" t="str">
        <f>VLOOKUP(N782, products, 2, FALSE)</f>
        <v>Baby Food</v>
      </c>
      <c r="P782" s="7" t="s">
        <v>334</v>
      </c>
      <c r="Q782" s="7">
        <v>4077.0</v>
      </c>
      <c r="R782" s="17">
        <v>255.28</v>
      </c>
      <c r="S782" s="17">
        <v>159.42</v>
      </c>
      <c r="U782" s="18">
        <f t="shared" si="6"/>
        <v>1040776.56</v>
      </c>
      <c r="V782" s="18">
        <f t="shared" si="7"/>
        <v>649955.34</v>
      </c>
      <c r="W782" s="19">
        <f t="shared" si="8"/>
        <v>390821.22</v>
      </c>
    </row>
    <row r="783">
      <c r="A783" s="7">
        <v>6.11791121E8</v>
      </c>
      <c r="B783" s="12">
        <v>42394.0</v>
      </c>
      <c r="C783" s="7">
        <f t="shared" si="1"/>
        <v>2016</v>
      </c>
      <c r="D783" s="14" t="str">
        <f t="shared" si="2"/>
        <v>01 - Jan</v>
      </c>
      <c r="E783" s="15" t="str">
        <f t="shared" si="3"/>
        <v>Mon</v>
      </c>
      <c r="F783" s="15">
        <f t="shared" si="4"/>
        <v>1</v>
      </c>
      <c r="G783" s="16">
        <v>42432.0</v>
      </c>
      <c r="H783" s="14">
        <f t="shared" si="5"/>
        <v>38</v>
      </c>
      <c r="I783" s="7" t="s">
        <v>305</v>
      </c>
      <c r="J783" s="7" t="s">
        <v>771</v>
      </c>
      <c r="K783" s="7" t="str">
        <f>VLOOKUP(J783,countries,2,false)</f>
        <v>Ukraine</v>
      </c>
      <c r="L783" s="7" t="str">
        <f>VLOOKUP($J783,countries,5,false)</f>
        <v>Europe</v>
      </c>
      <c r="M783" s="7" t="str">
        <f>VLOOKUP($J783,countries,6,false)</f>
        <v>Eastern Europe</v>
      </c>
      <c r="N783" s="7">
        <v>8969.0</v>
      </c>
      <c r="O783" s="7" t="str">
        <f>VLOOKUP(N783, products, 2, FALSE)</f>
        <v>Snacks</v>
      </c>
      <c r="P783" s="7" t="s">
        <v>334</v>
      </c>
      <c r="Q783" s="7">
        <v>1443.0</v>
      </c>
      <c r="R783" s="17">
        <v>152.58</v>
      </c>
      <c r="S783" s="17">
        <v>97.44</v>
      </c>
      <c r="U783" s="18">
        <f t="shared" si="6"/>
        <v>220172.94</v>
      </c>
      <c r="V783" s="18">
        <f t="shared" si="7"/>
        <v>140605.92</v>
      </c>
      <c r="W783" s="19">
        <f t="shared" si="8"/>
        <v>79567.02</v>
      </c>
    </row>
    <row r="784">
      <c r="A784" s="7">
        <v>6.13166129E8</v>
      </c>
      <c r="B784" s="12">
        <v>40788.0</v>
      </c>
      <c r="C784" s="7">
        <f t="shared" si="1"/>
        <v>2011</v>
      </c>
      <c r="D784" s="14" t="str">
        <f t="shared" si="2"/>
        <v>09 - Sep</v>
      </c>
      <c r="E784" s="15" t="str">
        <f t="shared" si="3"/>
        <v>Fri</v>
      </c>
      <c r="F784" s="15">
        <f t="shared" si="4"/>
        <v>5</v>
      </c>
      <c r="G784" s="16">
        <v>40837.0</v>
      </c>
      <c r="H784" s="14">
        <f t="shared" si="5"/>
        <v>49</v>
      </c>
      <c r="I784" s="7" t="s">
        <v>232</v>
      </c>
      <c r="J784" s="7" t="s">
        <v>120</v>
      </c>
      <c r="K784" s="7" t="str">
        <f>VLOOKUP(J784,countries,2,false)</f>
        <v>Belarus</v>
      </c>
      <c r="L784" s="7" t="str">
        <f>VLOOKUP($J784,countries,5,false)</f>
        <v>Europe</v>
      </c>
      <c r="M784" s="7" t="str">
        <f>VLOOKUP($J784,countries,6,false)</f>
        <v>Eastern Europe</v>
      </c>
      <c r="N784" s="7">
        <v>8293.0</v>
      </c>
      <c r="O784" s="7" t="str">
        <f>VLOOKUP(N784, products, 2, FALSE)</f>
        <v>Cosmetics</v>
      </c>
      <c r="P784" s="7" t="s">
        <v>334</v>
      </c>
      <c r="Q784" s="7">
        <v>8338.0</v>
      </c>
      <c r="R784" s="17">
        <v>437.2</v>
      </c>
      <c r="S784" s="17">
        <v>263.33</v>
      </c>
      <c r="U784" s="18">
        <f t="shared" si="6"/>
        <v>3645373.6</v>
      </c>
      <c r="V784" s="18">
        <f t="shared" si="7"/>
        <v>2195645.54</v>
      </c>
      <c r="W784" s="19">
        <f t="shared" si="8"/>
        <v>1449728.06</v>
      </c>
    </row>
    <row r="785">
      <c r="A785" s="7">
        <v>6.14054477E8</v>
      </c>
      <c r="B785" s="12">
        <v>42594.0</v>
      </c>
      <c r="C785" s="7">
        <f t="shared" si="1"/>
        <v>2016</v>
      </c>
      <c r="D785" s="14" t="str">
        <f t="shared" si="2"/>
        <v>08 - Aug</v>
      </c>
      <c r="E785" s="15" t="str">
        <f t="shared" si="3"/>
        <v>Fri</v>
      </c>
      <c r="F785" s="15">
        <f t="shared" si="4"/>
        <v>5</v>
      </c>
      <c r="G785" s="16">
        <v>42598.0</v>
      </c>
      <c r="H785" s="14">
        <f t="shared" si="5"/>
        <v>4</v>
      </c>
      <c r="I785" s="7" t="s">
        <v>305</v>
      </c>
      <c r="J785" s="7" t="s">
        <v>120</v>
      </c>
      <c r="K785" s="7" t="str">
        <f>VLOOKUP(J785,countries,2,false)</f>
        <v>Belarus</v>
      </c>
      <c r="L785" s="7" t="str">
        <f>VLOOKUP($J785,countries,5,false)</f>
        <v>Europe</v>
      </c>
      <c r="M785" s="7" t="str">
        <f>VLOOKUP($J785,countries,6,false)</f>
        <v>Eastern Europe</v>
      </c>
      <c r="N785" s="7">
        <v>5988.0</v>
      </c>
      <c r="O785" s="7" t="str">
        <f>VLOOKUP(N785, products, 2, FALSE)</f>
        <v>Vegetables</v>
      </c>
      <c r="P785" s="7" t="s">
        <v>264</v>
      </c>
      <c r="Q785" s="7">
        <v>1220.0</v>
      </c>
      <c r="R785" s="17">
        <v>154.06</v>
      </c>
      <c r="S785" s="17">
        <v>90.93</v>
      </c>
      <c r="U785" s="18">
        <f t="shared" si="6"/>
        <v>187953.2</v>
      </c>
      <c r="V785" s="18">
        <f t="shared" si="7"/>
        <v>110934.6</v>
      </c>
      <c r="W785" s="19">
        <f t="shared" si="8"/>
        <v>77018.6</v>
      </c>
    </row>
    <row r="786">
      <c r="A786" s="7">
        <v>6.14321839E8</v>
      </c>
      <c r="B786" s="12">
        <v>42513.0</v>
      </c>
      <c r="C786" s="7">
        <f t="shared" si="1"/>
        <v>2016</v>
      </c>
      <c r="D786" s="14" t="str">
        <f t="shared" si="2"/>
        <v>05 - May</v>
      </c>
      <c r="E786" s="15" t="str">
        <f t="shared" si="3"/>
        <v>Mon</v>
      </c>
      <c r="F786" s="15">
        <f t="shared" si="4"/>
        <v>1</v>
      </c>
      <c r="G786" s="16">
        <v>42556.0</v>
      </c>
      <c r="H786" s="14">
        <f t="shared" si="5"/>
        <v>43</v>
      </c>
      <c r="I786" s="7" t="s">
        <v>399</v>
      </c>
      <c r="J786" s="7" t="s">
        <v>656</v>
      </c>
      <c r="K786" s="7" t="str">
        <f>VLOOKUP(J786,countries,2,false)</f>
        <v>San Marino</v>
      </c>
      <c r="L786" s="7" t="str">
        <f>VLOOKUP($J786,countries,5,false)</f>
        <v>Europe</v>
      </c>
      <c r="M786" s="7" t="str">
        <f>VLOOKUP($J786,countries,6,false)</f>
        <v>Southern Europe</v>
      </c>
      <c r="N786" s="7">
        <v>8875.0</v>
      </c>
      <c r="O786" s="7" t="str">
        <f>VLOOKUP(N786, products, 2, FALSE)</f>
        <v>Meat</v>
      </c>
      <c r="P786" s="7" t="s">
        <v>264</v>
      </c>
      <c r="Q786" s="7">
        <v>339.0</v>
      </c>
      <c r="R786" s="17">
        <v>421.89</v>
      </c>
      <c r="S786" s="17">
        <v>364.69</v>
      </c>
      <c r="U786" s="18">
        <f t="shared" si="6"/>
        <v>143020.71</v>
      </c>
      <c r="V786" s="18">
        <f t="shared" si="7"/>
        <v>123629.91</v>
      </c>
      <c r="W786" s="19">
        <f t="shared" si="8"/>
        <v>19390.8</v>
      </c>
    </row>
    <row r="787">
      <c r="A787" s="7">
        <v>6.14597785E8</v>
      </c>
      <c r="B787" s="12">
        <v>41727.0</v>
      </c>
      <c r="C787" s="7">
        <f t="shared" si="1"/>
        <v>2014</v>
      </c>
      <c r="D787" s="14" t="str">
        <f t="shared" si="2"/>
        <v>03 - Mar</v>
      </c>
      <c r="E787" s="15" t="str">
        <f t="shared" si="3"/>
        <v>Sat</v>
      </c>
      <c r="F787" s="15">
        <f t="shared" si="4"/>
        <v>6</v>
      </c>
      <c r="G787" s="16">
        <v>41773.0</v>
      </c>
      <c r="H787" s="14">
        <f t="shared" si="5"/>
        <v>46</v>
      </c>
      <c r="I787" s="7" t="s">
        <v>305</v>
      </c>
      <c r="J787" s="7" t="s">
        <v>365</v>
      </c>
      <c r="K787" s="7" t="str">
        <f>VLOOKUP(J787,countries,2,false)</f>
        <v>Montenegro</v>
      </c>
      <c r="L787" s="7" t="str">
        <f>VLOOKUP($J787,countries,5,false)</f>
        <v>Europe</v>
      </c>
      <c r="M787" s="7" t="str">
        <f>VLOOKUP($J787,countries,6,false)</f>
        <v>Southern Europe</v>
      </c>
      <c r="N787" s="7">
        <v>8293.0</v>
      </c>
      <c r="O787" s="7" t="str">
        <f>VLOOKUP(N787, products, 2, FALSE)</f>
        <v>Cosmetics</v>
      </c>
      <c r="P787" s="7" t="s">
        <v>334</v>
      </c>
      <c r="Q787" s="7">
        <v>1997.0</v>
      </c>
      <c r="R787" s="17">
        <v>437.2</v>
      </c>
      <c r="S787" s="17">
        <v>263.33</v>
      </c>
      <c r="U787" s="18">
        <f t="shared" si="6"/>
        <v>873088.4</v>
      </c>
      <c r="V787" s="18">
        <f t="shared" si="7"/>
        <v>525870.01</v>
      </c>
      <c r="W787" s="19">
        <f t="shared" si="8"/>
        <v>347218.39</v>
      </c>
    </row>
    <row r="788">
      <c r="A788" s="7">
        <v>6.15080583E8</v>
      </c>
      <c r="B788" s="12">
        <v>42227.0</v>
      </c>
      <c r="C788" s="7">
        <f t="shared" si="1"/>
        <v>2015</v>
      </c>
      <c r="D788" s="14" t="str">
        <f t="shared" si="2"/>
        <v>08 - Aug</v>
      </c>
      <c r="E788" s="15" t="str">
        <f t="shared" si="3"/>
        <v>Tue</v>
      </c>
      <c r="F788" s="15">
        <f t="shared" si="4"/>
        <v>2</v>
      </c>
      <c r="G788" s="16">
        <v>42266.0</v>
      </c>
      <c r="H788" s="14">
        <f t="shared" si="5"/>
        <v>39</v>
      </c>
      <c r="I788" s="7" t="s">
        <v>305</v>
      </c>
      <c r="J788" s="7" t="s">
        <v>611</v>
      </c>
      <c r="K788" s="7" t="str">
        <f>VLOOKUP(J788,countries,2,false)</f>
        <v>Portugal</v>
      </c>
      <c r="L788" s="7" t="str">
        <f>VLOOKUP($J788,countries,5,false)</f>
        <v>Europe</v>
      </c>
      <c r="M788" s="7" t="str">
        <f>VLOOKUP($J788,countries,6,false)</f>
        <v>Southern Europe</v>
      </c>
      <c r="N788" s="7">
        <v>2103.0</v>
      </c>
      <c r="O788" s="7" t="str">
        <f>VLOOKUP(N788, products, 2, FALSE)</f>
        <v>Cereal</v>
      </c>
      <c r="P788" s="7" t="s">
        <v>264</v>
      </c>
      <c r="Q788" s="7">
        <v>4868.0</v>
      </c>
      <c r="R788" s="17">
        <v>205.7</v>
      </c>
      <c r="S788" s="17">
        <v>117.11</v>
      </c>
      <c r="U788" s="18">
        <f t="shared" si="6"/>
        <v>1001347.6</v>
      </c>
      <c r="V788" s="18">
        <f t="shared" si="7"/>
        <v>570091.48</v>
      </c>
      <c r="W788" s="19">
        <f t="shared" si="8"/>
        <v>431256.12</v>
      </c>
    </row>
    <row r="789">
      <c r="A789" s="7">
        <v>6.15290009E8</v>
      </c>
      <c r="B789" s="12">
        <v>42749.0</v>
      </c>
      <c r="C789" s="7">
        <f t="shared" si="1"/>
        <v>2017</v>
      </c>
      <c r="D789" s="14" t="str">
        <f t="shared" si="2"/>
        <v>01 - Jan</v>
      </c>
      <c r="E789" s="15" t="str">
        <f t="shared" si="3"/>
        <v>Sat</v>
      </c>
      <c r="F789" s="15">
        <f t="shared" si="4"/>
        <v>6</v>
      </c>
      <c r="G789" s="16">
        <v>42753.0</v>
      </c>
      <c r="H789" s="14">
        <f t="shared" si="5"/>
        <v>4</v>
      </c>
      <c r="I789" s="7" t="s">
        <v>232</v>
      </c>
      <c r="J789" s="7" t="s">
        <v>319</v>
      </c>
      <c r="K789" s="7" t="str">
        <f>VLOOKUP(J789,countries,2,false)</f>
        <v>Germany</v>
      </c>
      <c r="L789" s="7" t="str">
        <f>VLOOKUP($J789,countries,5,false)</f>
        <v>Europe</v>
      </c>
      <c r="M789" s="7" t="str">
        <f>VLOOKUP($J789,countries,6,false)</f>
        <v>Western Europe</v>
      </c>
      <c r="N789" s="7">
        <v>8875.0</v>
      </c>
      <c r="O789" s="7" t="str">
        <f>VLOOKUP(N789, products, 2, FALSE)</f>
        <v>Meat</v>
      </c>
      <c r="P789" s="7" t="s">
        <v>334</v>
      </c>
      <c r="Q789" s="7">
        <v>6842.0</v>
      </c>
      <c r="R789" s="17">
        <v>421.89</v>
      </c>
      <c r="S789" s="17">
        <v>364.69</v>
      </c>
      <c r="U789" s="18">
        <f t="shared" si="6"/>
        <v>2886571.38</v>
      </c>
      <c r="V789" s="18">
        <f t="shared" si="7"/>
        <v>2495208.98</v>
      </c>
      <c r="W789" s="19">
        <f t="shared" si="8"/>
        <v>391362.4</v>
      </c>
    </row>
    <row r="790">
      <c r="A790" s="7">
        <v>6.1677531E8</v>
      </c>
      <c r="B790" s="12">
        <v>40670.0</v>
      </c>
      <c r="C790" s="7">
        <f t="shared" si="1"/>
        <v>2011</v>
      </c>
      <c r="D790" s="14" t="str">
        <f t="shared" si="2"/>
        <v>05 - May</v>
      </c>
      <c r="E790" s="15" t="str">
        <f t="shared" si="3"/>
        <v>Sat</v>
      </c>
      <c r="F790" s="15">
        <f t="shared" si="4"/>
        <v>6</v>
      </c>
      <c r="G790" s="16">
        <v>40687.0</v>
      </c>
      <c r="H790" s="14">
        <f t="shared" si="5"/>
        <v>17</v>
      </c>
      <c r="I790" s="7" t="s">
        <v>305</v>
      </c>
      <c r="J790" s="7" t="s">
        <v>348</v>
      </c>
      <c r="K790" s="7" t="s">
        <v>348</v>
      </c>
      <c r="L790" s="7" t="s">
        <v>348</v>
      </c>
      <c r="M790" s="7" t="s">
        <v>348</v>
      </c>
      <c r="N790" s="7">
        <v>8681.0</v>
      </c>
      <c r="O790" s="7" t="str">
        <f>VLOOKUP(N790, products, 2, FALSE)</f>
        <v>Office Supplies</v>
      </c>
      <c r="P790" s="7" t="s">
        <v>334</v>
      </c>
      <c r="Q790" s="7">
        <v>6375.0</v>
      </c>
      <c r="R790" s="17">
        <v>651.21</v>
      </c>
      <c r="S790" s="17">
        <v>524.96</v>
      </c>
      <c r="U790" s="18">
        <f t="shared" si="6"/>
        <v>4151463.75</v>
      </c>
      <c r="V790" s="18">
        <f t="shared" si="7"/>
        <v>3346620</v>
      </c>
      <c r="W790" s="19">
        <f t="shared" si="8"/>
        <v>804843.75</v>
      </c>
    </row>
    <row r="791">
      <c r="A791" s="7">
        <v>6.21577537E8</v>
      </c>
      <c r="B791" s="12">
        <v>42256.0</v>
      </c>
      <c r="C791" s="7">
        <f t="shared" si="1"/>
        <v>2015</v>
      </c>
      <c r="D791" s="14" t="str">
        <f t="shared" si="2"/>
        <v>09 - Sep</v>
      </c>
      <c r="E791" s="15" t="str">
        <f t="shared" si="3"/>
        <v>Wed</v>
      </c>
      <c r="F791" s="15">
        <f t="shared" si="4"/>
        <v>3</v>
      </c>
      <c r="G791" s="16">
        <v>42263.0</v>
      </c>
      <c r="H791" s="14">
        <f t="shared" si="5"/>
        <v>7</v>
      </c>
      <c r="I791" s="7" t="s">
        <v>364</v>
      </c>
      <c r="J791" s="7" t="s">
        <v>90</v>
      </c>
      <c r="K791" s="7" t="str">
        <f>VLOOKUP(J791,countries,2,false)</f>
        <v>Armenia</v>
      </c>
      <c r="L791" s="7" t="str">
        <f>VLOOKUP($J791,countries,5,false)</f>
        <v>Asia</v>
      </c>
      <c r="M791" s="7" t="str">
        <f>VLOOKUP($J791,countries,6,false)</f>
        <v>Western Asia</v>
      </c>
      <c r="N791" s="7">
        <v>7940.0</v>
      </c>
      <c r="O791" s="7" t="str">
        <f>VLOOKUP(N791, products, 2, FALSE)</f>
        <v>Household</v>
      </c>
      <c r="P791" s="7" t="s">
        <v>334</v>
      </c>
      <c r="Q791" s="7">
        <v>7461.0</v>
      </c>
      <c r="R791" s="17">
        <v>668.27</v>
      </c>
      <c r="S791" s="17">
        <v>502.54</v>
      </c>
      <c r="U791" s="18">
        <f t="shared" si="6"/>
        <v>4985962.47</v>
      </c>
      <c r="V791" s="18">
        <f t="shared" si="7"/>
        <v>3749450.94</v>
      </c>
      <c r="W791" s="19">
        <f t="shared" si="8"/>
        <v>1236511.53</v>
      </c>
    </row>
    <row r="792">
      <c r="A792" s="7">
        <v>6.22441852E8</v>
      </c>
      <c r="B792" s="12">
        <v>41055.0</v>
      </c>
      <c r="C792" s="7">
        <f t="shared" si="1"/>
        <v>2012</v>
      </c>
      <c r="D792" s="14" t="str">
        <f t="shared" si="2"/>
        <v>05 - May</v>
      </c>
      <c r="E792" s="15" t="str">
        <f t="shared" si="3"/>
        <v>Sat</v>
      </c>
      <c r="F792" s="15">
        <f t="shared" si="4"/>
        <v>6</v>
      </c>
      <c r="G792" s="16">
        <v>41057.0</v>
      </c>
      <c r="H792" s="14">
        <f t="shared" si="5"/>
        <v>2</v>
      </c>
      <c r="I792" s="7" t="s">
        <v>364</v>
      </c>
      <c r="J792" s="7" t="s">
        <v>685</v>
      </c>
      <c r="K792" s="7" t="str">
        <f>VLOOKUP(J792,countries,2,false)</f>
        <v>Slovenia</v>
      </c>
      <c r="L792" s="7" t="str">
        <f>VLOOKUP($J792,countries,5,false)</f>
        <v>Europe</v>
      </c>
      <c r="M792" s="7" t="str">
        <f>VLOOKUP($J792,countries,6,false)</f>
        <v>Southern Europe</v>
      </c>
      <c r="N792" s="7">
        <v>2455.0</v>
      </c>
      <c r="O792" s="7" t="str">
        <f>VLOOKUP(N792, products, 2, FALSE)</f>
        <v>Clothes</v>
      </c>
      <c r="P792" s="7" t="s">
        <v>264</v>
      </c>
      <c r="Q792" s="7">
        <v>3231.0</v>
      </c>
      <c r="R792" s="17">
        <v>109.28</v>
      </c>
      <c r="S792" s="17">
        <v>35.84</v>
      </c>
      <c r="U792" s="18">
        <f t="shared" si="6"/>
        <v>353083.68</v>
      </c>
      <c r="V792" s="18">
        <f t="shared" si="7"/>
        <v>115799.04</v>
      </c>
      <c r="W792" s="19">
        <f t="shared" si="8"/>
        <v>237284.64</v>
      </c>
    </row>
    <row r="793">
      <c r="A793" s="7">
        <v>6.2382158E8</v>
      </c>
      <c r="B793" s="12">
        <v>42658.0</v>
      </c>
      <c r="C793" s="7">
        <f t="shared" si="1"/>
        <v>2016</v>
      </c>
      <c r="D793" s="14" t="str">
        <f t="shared" si="2"/>
        <v>10 - Oct</v>
      </c>
      <c r="E793" s="15" t="str">
        <f t="shared" si="3"/>
        <v>Sat</v>
      </c>
      <c r="F793" s="15">
        <f t="shared" si="4"/>
        <v>6</v>
      </c>
      <c r="G793" s="16">
        <v>42674.0</v>
      </c>
      <c r="H793" s="14">
        <f t="shared" si="5"/>
        <v>16</v>
      </c>
      <c r="I793" s="7" t="s">
        <v>364</v>
      </c>
      <c r="J793" s="7" t="s">
        <v>146</v>
      </c>
      <c r="K793" s="7" t="str">
        <f>VLOOKUP(J793,countries,2,false)</f>
        <v>Bosnia and Herzegovina</v>
      </c>
      <c r="L793" s="7" t="str">
        <f>VLOOKUP($J793,countries,5,false)</f>
        <v>Europe</v>
      </c>
      <c r="M793" s="7" t="str">
        <f>VLOOKUP($J793,countries,6,false)</f>
        <v>Southern Europe</v>
      </c>
      <c r="N793" s="7">
        <v>4594.0</v>
      </c>
      <c r="O793" s="7" t="str">
        <f>VLOOKUP(N793, products, 2, FALSE)</f>
        <v>Fruits</v>
      </c>
      <c r="P793" s="7" t="s">
        <v>334</v>
      </c>
      <c r="Q793" s="7">
        <v>1523.0</v>
      </c>
      <c r="R793" s="17">
        <v>9.33</v>
      </c>
      <c r="S793" s="17">
        <v>6.92</v>
      </c>
      <c r="U793" s="18">
        <f t="shared" si="6"/>
        <v>14209.59</v>
      </c>
      <c r="V793" s="18">
        <f t="shared" si="7"/>
        <v>10539.16</v>
      </c>
      <c r="W793" s="19">
        <f t="shared" si="8"/>
        <v>3670.43</v>
      </c>
    </row>
    <row r="794">
      <c r="A794" s="7">
        <v>6.24348151E8</v>
      </c>
      <c r="B794" s="12">
        <v>41227.0</v>
      </c>
      <c r="C794" s="7">
        <f t="shared" si="1"/>
        <v>2012</v>
      </c>
      <c r="D794" s="14" t="str">
        <f t="shared" si="2"/>
        <v>11 - Nov</v>
      </c>
      <c r="E794" s="15" t="str">
        <f t="shared" si="3"/>
        <v>Wed</v>
      </c>
      <c r="F794" s="15">
        <f t="shared" si="4"/>
        <v>3</v>
      </c>
      <c r="G794" s="16">
        <v>41251.0</v>
      </c>
      <c r="H794" s="14">
        <f t="shared" si="5"/>
        <v>24</v>
      </c>
      <c r="I794" s="7" t="s">
        <v>305</v>
      </c>
      <c r="J794" s="7" t="s">
        <v>771</v>
      </c>
      <c r="K794" s="7" t="str">
        <f>VLOOKUP(J794,countries,2,false)</f>
        <v>Ukraine</v>
      </c>
      <c r="L794" s="7" t="str">
        <f>VLOOKUP($J794,countries,5,false)</f>
        <v>Europe</v>
      </c>
      <c r="M794" s="7" t="str">
        <f>VLOOKUP($J794,countries,6,false)</f>
        <v>Eastern Europe</v>
      </c>
      <c r="N794" s="7">
        <v>8681.0</v>
      </c>
      <c r="O794" s="7" t="str">
        <f>VLOOKUP(N794, products, 2, FALSE)</f>
        <v>Office Supplies</v>
      </c>
      <c r="P794" s="7" t="s">
        <v>264</v>
      </c>
      <c r="Q794" s="7">
        <v>7347.0</v>
      </c>
      <c r="R794" s="17">
        <v>651.21</v>
      </c>
      <c r="S794" s="17">
        <v>524.96</v>
      </c>
      <c r="U794" s="18">
        <f t="shared" si="6"/>
        <v>4784439.87</v>
      </c>
      <c r="V794" s="18">
        <f t="shared" si="7"/>
        <v>3856881.12</v>
      </c>
      <c r="W794" s="19">
        <f t="shared" si="8"/>
        <v>927558.75</v>
      </c>
    </row>
    <row r="795">
      <c r="A795" s="7">
        <v>6.24398362E8</v>
      </c>
      <c r="B795" s="12">
        <v>42916.0</v>
      </c>
      <c r="C795" s="7">
        <f t="shared" si="1"/>
        <v>2017</v>
      </c>
      <c r="D795" s="14" t="str">
        <f t="shared" si="2"/>
        <v>06 - Jun</v>
      </c>
      <c r="E795" s="15" t="str">
        <f t="shared" si="3"/>
        <v>Fri</v>
      </c>
      <c r="F795" s="15">
        <f t="shared" si="4"/>
        <v>5</v>
      </c>
      <c r="G795" s="16">
        <v>42940.0</v>
      </c>
      <c r="H795" s="14">
        <f t="shared" si="5"/>
        <v>24</v>
      </c>
      <c r="I795" s="7" t="s">
        <v>305</v>
      </c>
      <c r="J795" s="7" t="s">
        <v>120</v>
      </c>
      <c r="K795" s="7" t="str">
        <f>VLOOKUP(J795,countries,2,false)</f>
        <v>Belarus</v>
      </c>
      <c r="L795" s="7" t="str">
        <f>VLOOKUP($J795,countries,5,false)</f>
        <v>Europe</v>
      </c>
      <c r="M795" s="7" t="str">
        <f>VLOOKUP($J795,countries,6,false)</f>
        <v>Eastern Europe</v>
      </c>
      <c r="N795" s="7">
        <v>8681.0</v>
      </c>
      <c r="O795" s="7" t="str">
        <f>VLOOKUP(N795, products, 2, FALSE)</f>
        <v>Office Supplies</v>
      </c>
      <c r="P795" s="7" t="s">
        <v>334</v>
      </c>
      <c r="Q795" s="7">
        <v>2206.0</v>
      </c>
      <c r="R795" s="17">
        <v>651.21</v>
      </c>
      <c r="S795" s="17">
        <v>524.96</v>
      </c>
      <c r="U795" s="18">
        <f t="shared" si="6"/>
        <v>1436569.26</v>
      </c>
      <c r="V795" s="18">
        <f t="shared" si="7"/>
        <v>1158061.76</v>
      </c>
      <c r="W795" s="19">
        <f t="shared" si="8"/>
        <v>278507.5</v>
      </c>
    </row>
    <row r="796">
      <c r="A796" s="7">
        <v>6.24940383E8</v>
      </c>
      <c r="B796" s="12">
        <v>42431.0</v>
      </c>
      <c r="C796" s="7">
        <f t="shared" si="1"/>
        <v>2016</v>
      </c>
      <c r="D796" s="14" t="str">
        <f t="shared" si="2"/>
        <v>03 - Mar</v>
      </c>
      <c r="E796" s="15" t="str">
        <f t="shared" si="3"/>
        <v>Wed</v>
      </c>
      <c r="F796" s="15">
        <f t="shared" si="4"/>
        <v>3</v>
      </c>
      <c r="G796" s="16">
        <v>42459.0</v>
      </c>
      <c r="H796" s="14">
        <f t="shared" si="5"/>
        <v>28</v>
      </c>
      <c r="I796" s="7" t="s">
        <v>399</v>
      </c>
      <c r="J796" s="7" t="s">
        <v>681</v>
      </c>
      <c r="K796" s="7" t="str">
        <f>VLOOKUP(J796,countries,2,false)</f>
        <v>United Kingdom</v>
      </c>
      <c r="L796" s="7" t="str">
        <f>VLOOKUP($J796,countries,5,false)</f>
        <v>Europe</v>
      </c>
      <c r="M796" s="7" t="str">
        <f>VLOOKUP($J796,countries,6,false)</f>
        <v>Northern Europe</v>
      </c>
      <c r="N796" s="7">
        <v>8293.0</v>
      </c>
      <c r="O796" s="7" t="str">
        <f>VLOOKUP(N796, products, 2, FALSE)</f>
        <v>Cosmetics</v>
      </c>
      <c r="P796" s="7" t="s">
        <v>334</v>
      </c>
      <c r="Q796" s="7">
        <v>2602.0</v>
      </c>
      <c r="R796" s="17">
        <v>437.2</v>
      </c>
      <c r="S796" s="17">
        <v>263.33</v>
      </c>
      <c r="U796" s="18">
        <f t="shared" si="6"/>
        <v>1137594.4</v>
      </c>
      <c r="V796" s="18">
        <f t="shared" si="7"/>
        <v>685184.66</v>
      </c>
      <c r="W796" s="19">
        <f t="shared" si="8"/>
        <v>452409.74</v>
      </c>
    </row>
    <row r="797">
      <c r="A797" s="7">
        <v>6.25751483E8</v>
      </c>
      <c r="B797" s="12">
        <v>42276.0</v>
      </c>
      <c r="C797" s="7">
        <f t="shared" si="1"/>
        <v>2015</v>
      </c>
      <c r="D797" s="14" t="str">
        <f t="shared" si="2"/>
        <v>09 - Sep</v>
      </c>
      <c r="E797" s="15" t="str">
        <f t="shared" si="3"/>
        <v>Tue</v>
      </c>
      <c r="F797" s="15">
        <f t="shared" si="4"/>
        <v>2</v>
      </c>
      <c r="G797" s="16">
        <v>42278.0</v>
      </c>
      <c r="H797" s="14">
        <f t="shared" si="5"/>
        <v>2</v>
      </c>
      <c r="I797" s="7" t="s">
        <v>399</v>
      </c>
      <c r="J797" s="7" t="s">
        <v>656</v>
      </c>
      <c r="K797" s="7" t="str">
        <f>VLOOKUP(J797,countries,2,false)</f>
        <v>San Marino</v>
      </c>
      <c r="L797" s="7" t="str">
        <f>VLOOKUP($J797,countries,5,false)</f>
        <v>Europe</v>
      </c>
      <c r="M797" s="7" t="str">
        <f>VLOOKUP($J797,countries,6,false)</f>
        <v>Southern Europe</v>
      </c>
      <c r="N797" s="7">
        <v>3127.0</v>
      </c>
      <c r="O797" s="7" t="str">
        <f>VLOOKUP(N797, products, 2, FALSE)</f>
        <v>Personal Care</v>
      </c>
      <c r="P797" s="7" t="s">
        <v>334</v>
      </c>
      <c r="Q797" s="7">
        <v>2624.0</v>
      </c>
      <c r="R797" s="17">
        <v>81.73</v>
      </c>
      <c r="S797" s="17">
        <v>56.67</v>
      </c>
      <c r="U797" s="18">
        <f t="shared" si="6"/>
        <v>214459.52</v>
      </c>
      <c r="V797" s="18">
        <f t="shared" si="7"/>
        <v>148702.08</v>
      </c>
      <c r="W797" s="19">
        <f t="shared" si="8"/>
        <v>65757.44</v>
      </c>
    </row>
    <row r="798">
      <c r="A798" s="7">
        <v>6.26011979E8</v>
      </c>
      <c r="B798" s="12">
        <v>40545.0</v>
      </c>
      <c r="C798" s="7">
        <f t="shared" si="1"/>
        <v>2011</v>
      </c>
      <c r="D798" s="14" t="str">
        <f t="shared" si="2"/>
        <v>01 - Jan</v>
      </c>
      <c r="E798" s="15" t="str">
        <f t="shared" si="3"/>
        <v>Sun</v>
      </c>
      <c r="F798" s="15">
        <f t="shared" si="4"/>
        <v>7</v>
      </c>
      <c r="G798" s="16">
        <v>40554.0</v>
      </c>
      <c r="H798" s="14">
        <f t="shared" si="5"/>
        <v>9</v>
      </c>
      <c r="I798" s="7" t="s">
        <v>364</v>
      </c>
      <c r="J798" s="7" t="s">
        <v>516</v>
      </c>
      <c r="K798" s="7" t="str">
        <f>VLOOKUP(J798,countries,2,false)</f>
        <v>Monaco</v>
      </c>
      <c r="L798" s="7" t="str">
        <f>VLOOKUP($J798,countries,5,false)</f>
        <v>Europe</v>
      </c>
      <c r="M798" s="7" t="str">
        <f>VLOOKUP($J798,countries,6,false)</f>
        <v>Western Europe</v>
      </c>
      <c r="N798" s="7">
        <v>2455.0</v>
      </c>
      <c r="O798" s="7" t="str">
        <f>VLOOKUP(N798, products, 2, FALSE)</f>
        <v>Clothes</v>
      </c>
      <c r="P798" s="7" t="s">
        <v>334</v>
      </c>
      <c r="Q798" s="7">
        <v>9711.0</v>
      </c>
      <c r="R798" s="17">
        <v>109.28</v>
      </c>
      <c r="S798" s="17">
        <v>35.84</v>
      </c>
      <c r="U798" s="18">
        <f t="shared" si="6"/>
        <v>1061218.08</v>
      </c>
      <c r="V798" s="18">
        <f t="shared" si="7"/>
        <v>348042.24</v>
      </c>
      <c r="W798" s="19">
        <f t="shared" si="8"/>
        <v>713175.84</v>
      </c>
    </row>
    <row r="799">
      <c r="A799" s="7">
        <v>6.26109397E8</v>
      </c>
      <c r="B799" s="12">
        <v>41128.0</v>
      </c>
      <c r="C799" s="7">
        <f t="shared" si="1"/>
        <v>2012</v>
      </c>
      <c r="D799" s="14" t="str">
        <f t="shared" si="2"/>
        <v>08 - Aug</v>
      </c>
      <c r="E799" s="15" t="str">
        <f t="shared" si="3"/>
        <v>Tue</v>
      </c>
      <c r="F799" s="15">
        <f t="shared" si="4"/>
        <v>2</v>
      </c>
      <c r="G799" s="16">
        <v>41167.0</v>
      </c>
      <c r="H799" s="14">
        <f t="shared" si="5"/>
        <v>39</v>
      </c>
      <c r="I799" s="7" t="s">
        <v>305</v>
      </c>
      <c r="J799" s="7" t="s">
        <v>771</v>
      </c>
      <c r="K799" s="7" t="str">
        <f>VLOOKUP(J799,countries,2,false)</f>
        <v>Ukraine</v>
      </c>
      <c r="L799" s="7" t="str">
        <f>VLOOKUP($J799,countries,5,false)</f>
        <v>Europe</v>
      </c>
      <c r="M799" s="7" t="str">
        <f>VLOOKUP($J799,countries,6,false)</f>
        <v>Eastern Europe</v>
      </c>
      <c r="N799" s="7">
        <v>2103.0</v>
      </c>
      <c r="O799" s="7" t="str">
        <f>VLOOKUP(N799, products, 2, FALSE)</f>
        <v>Cereal</v>
      </c>
      <c r="P799" s="7" t="s">
        <v>264</v>
      </c>
      <c r="Q799" s="7">
        <v>8539.0</v>
      </c>
      <c r="R799" s="17">
        <v>205.7</v>
      </c>
      <c r="S799" s="17">
        <v>117.11</v>
      </c>
      <c r="U799" s="18">
        <f t="shared" si="6"/>
        <v>1756472.3</v>
      </c>
      <c r="V799" s="18">
        <f t="shared" si="7"/>
        <v>1000002.29</v>
      </c>
      <c r="W799" s="19">
        <f t="shared" si="8"/>
        <v>756470.01</v>
      </c>
    </row>
    <row r="800">
      <c r="A800" s="7">
        <v>6.26322257E8</v>
      </c>
      <c r="B800" s="12">
        <v>42475.0</v>
      </c>
      <c r="C800" s="7">
        <f t="shared" si="1"/>
        <v>2016</v>
      </c>
      <c r="D800" s="14" t="str">
        <f t="shared" si="2"/>
        <v>04 - Apr</v>
      </c>
      <c r="E800" s="15" t="str">
        <f t="shared" si="3"/>
        <v>Fri</v>
      </c>
      <c r="F800" s="15">
        <f t="shared" si="4"/>
        <v>5</v>
      </c>
      <c r="G800" s="16">
        <v>42495.0</v>
      </c>
      <c r="H800" s="14">
        <f t="shared" si="5"/>
        <v>20</v>
      </c>
      <c r="I800" s="7" t="s">
        <v>232</v>
      </c>
      <c r="J800" s="7" t="s">
        <v>348</v>
      </c>
      <c r="K800" s="7" t="s">
        <v>348</v>
      </c>
      <c r="L800" s="7" t="s">
        <v>348</v>
      </c>
      <c r="M800" s="7" t="s">
        <v>348</v>
      </c>
      <c r="N800" s="7">
        <v>3127.0</v>
      </c>
      <c r="O800" s="7" t="str">
        <f>VLOOKUP(N800, products, 2, FALSE)</f>
        <v>Personal Care</v>
      </c>
      <c r="P800" s="7" t="s">
        <v>334</v>
      </c>
      <c r="Q800" s="7">
        <v>1529.0</v>
      </c>
      <c r="R800" s="17">
        <v>81.73</v>
      </c>
      <c r="S800" s="17">
        <v>56.67</v>
      </c>
      <c r="U800" s="18">
        <f t="shared" si="6"/>
        <v>124965.17</v>
      </c>
      <c r="V800" s="18">
        <f t="shared" si="7"/>
        <v>86648.43</v>
      </c>
      <c r="W800" s="19">
        <f t="shared" si="8"/>
        <v>38316.74</v>
      </c>
    </row>
    <row r="801">
      <c r="A801" s="7">
        <v>6.26453149E8</v>
      </c>
      <c r="B801" s="12">
        <v>41418.0</v>
      </c>
      <c r="C801" s="7">
        <f t="shared" si="1"/>
        <v>2013</v>
      </c>
      <c r="D801" s="14" t="str">
        <f t="shared" si="2"/>
        <v>05 - May</v>
      </c>
      <c r="E801" s="15" t="str">
        <f t="shared" si="3"/>
        <v>Fri</v>
      </c>
      <c r="F801" s="15">
        <f t="shared" si="4"/>
        <v>5</v>
      </c>
      <c r="G801" s="16">
        <v>41435.0</v>
      </c>
      <c r="H801" s="14">
        <f t="shared" si="5"/>
        <v>17</v>
      </c>
      <c r="I801" s="7" t="s">
        <v>305</v>
      </c>
      <c r="J801" s="7" t="s">
        <v>611</v>
      </c>
      <c r="K801" s="7" t="str">
        <f>VLOOKUP(J801,countries,2,false)</f>
        <v>Portugal</v>
      </c>
      <c r="L801" s="7" t="str">
        <f>VLOOKUP($J801,countries,5,false)</f>
        <v>Europe</v>
      </c>
      <c r="M801" s="7" t="str">
        <f>VLOOKUP($J801,countries,6,false)</f>
        <v>Southern Europe</v>
      </c>
      <c r="N801" s="7">
        <v>8293.0</v>
      </c>
      <c r="O801" s="7" t="str">
        <f>VLOOKUP(N801, products, 2, FALSE)</f>
        <v>Cosmetics</v>
      </c>
      <c r="P801" s="7" t="s">
        <v>334</v>
      </c>
      <c r="Q801" s="7">
        <v>263.0</v>
      </c>
      <c r="R801" s="17">
        <v>437.2</v>
      </c>
      <c r="S801" s="17">
        <v>263.33</v>
      </c>
      <c r="U801" s="18">
        <f t="shared" si="6"/>
        <v>114983.6</v>
      </c>
      <c r="V801" s="18">
        <f t="shared" si="7"/>
        <v>69255.79</v>
      </c>
      <c r="W801" s="19">
        <f t="shared" si="8"/>
        <v>45727.81</v>
      </c>
    </row>
    <row r="802">
      <c r="A802" s="7">
        <v>6.27003753E8</v>
      </c>
      <c r="B802" s="12">
        <v>40228.0</v>
      </c>
      <c r="C802" s="7">
        <f t="shared" si="1"/>
        <v>2010</v>
      </c>
      <c r="D802" s="14" t="str">
        <f t="shared" si="2"/>
        <v>02 - Feb</v>
      </c>
      <c r="E802" s="15" t="str">
        <f t="shared" si="3"/>
        <v>Fri</v>
      </c>
      <c r="F802" s="15">
        <f t="shared" si="4"/>
        <v>5</v>
      </c>
      <c r="G802" s="16">
        <v>40263.0</v>
      </c>
      <c r="H802" s="14">
        <f t="shared" si="5"/>
        <v>35</v>
      </c>
      <c r="I802" s="7" t="s">
        <v>232</v>
      </c>
      <c r="J802" s="7" t="s">
        <v>623</v>
      </c>
      <c r="K802" s="7" t="str">
        <f>VLOOKUP(J802,countries,2,false)</f>
        <v>Romania</v>
      </c>
      <c r="L802" s="7" t="str">
        <f>VLOOKUP($J802,countries,5,false)</f>
        <v>Europe</v>
      </c>
      <c r="M802" s="7" t="str">
        <f>VLOOKUP($J802,countries,6,false)</f>
        <v>Eastern Europe</v>
      </c>
      <c r="N802" s="7">
        <v>8875.0</v>
      </c>
      <c r="O802" s="7" t="str">
        <f>VLOOKUP(N802, products, 2, FALSE)</f>
        <v>Meat</v>
      </c>
      <c r="P802" s="7" t="s">
        <v>334</v>
      </c>
      <c r="Q802" s="7">
        <v>3199.0</v>
      </c>
      <c r="R802" s="17">
        <v>421.89</v>
      </c>
      <c r="S802" s="17">
        <v>364.69</v>
      </c>
      <c r="U802" s="18">
        <f t="shared" si="6"/>
        <v>1349626.11</v>
      </c>
      <c r="V802" s="18">
        <f t="shared" si="7"/>
        <v>1166643.31</v>
      </c>
      <c r="W802" s="19">
        <f t="shared" si="8"/>
        <v>182982.8</v>
      </c>
    </row>
    <row r="803">
      <c r="A803" s="7">
        <v>6.27432048E8</v>
      </c>
      <c r="B803" s="12">
        <v>42157.0</v>
      </c>
      <c r="C803" s="7">
        <f t="shared" si="1"/>
        <v>2015</v>
      </c>
      <c r="D803" s="14" t="str">
        <f t="shared" si="2"/>
        <v>06 - Jun</v>
      </c>
      <c r="E803" s="15" t="str">
        <f t="shared" si="3"/>
        <v>Tue</v>
      </c>
      <c r="F803" s="15">
        <f t="shared" si="4"/>
        <v>2</v>
      </c>
      <c r="G803" s="16">
        <v>42178.0</v>
      </c>
      <c r="H803" s="14">
        <f t="shared" si="5"/>
        <v>21</v>
      </c>
      <c r="I803" s="7" t="s">
        <v>305</v>
      </c>
      <c r="J803" s="7" t="s">
        <v>240</v>
      </c>
      <c r="K803" s="7" t="str">
        <f>VLOOKUP(J803,countries,2,false)</f>
        <v>Cyprus</v>
      </c>
      <c r="L803" s="7" t="str">
        <f>VLOOKUP($J803,countries,5,false)</f>
        <v>Asia</v>
      </c>
      <c r="M803" s="7" t="str">
        <f>VLOOKUP($J803,countries,6,false)</f>
        <v>Western Asia</v>
      </c>
      <c r="N803" s="7">
        <v>3127.0</v>
      </c>
      <c r="O803" s="7" t="str">
        <f>VLOOKUP(N803, products, 2, FALSE)</f>
        <v>Personal Care</v>
      </c>
      <c r="P803" s="7" t="s">
        <v>264</v>
      </c>
      <c r="Q803" s="7">
        <v>9941.0</v>
      </c>
      <c r="R803" s="17">
        <v>81.73</v>
      </c>
      <c r="S803" s="17">
        <v>56.67</v>
      </c>
      <c r="U803" s="18">
        <f t="shared" si="6"/>
        <v>812477.93</v>
      </c>
      <c r="V803" s="18">
        <f t="shared" si="7"/>
        <v>563356.47</v>
      </c>
      <c r="W803" s="19">
        <f t="shared" si="8"/>
        <v>249121.46</v>
      </c>
    </row>
    <row r="804">
      <c r="A804" s="7">
        <v>6.28055179E8</v>
      </c>
      <c r="B804" s="12">
        <v>42486.0</v>
      </c>
      <c r="C804" s="7">
        <f t="shared" si="1"/>
        <v>2016</v>
      </c>
      <c r="D804" s="14" t="str">
        <f t="shared" si="2"/>
        <v>04 - Apr</v>
      </c>
      <c r="E804" s="15" t="str">
        <f t="shared" si="3"/>
        <v>Tue</v>
      </c>
      <c r="F804" s="15">
        <f t="shared" si="4"/>
        <v>2</v>
      </c>
      <c r="G804" s="16">
        <v>42503.0</v>
      </c>
      <c r="H804" s="14">
        <f t="shared" si="5"/>
        <v>17</v>
      </c>
      <c r="I804" s="7" t="s">
        <v>232</v>
      </c>
      <c r="J804" s="7" t="s">
        <v>274</v>
      </c>
      <c r="K804" s="7" t="str">
        <f>VLOOKUP(J804,countries,2,false)</f>
        <v>Estonia</v>
      </c>
      <c r="L804" s="7" t="str">
        <f>VLOOKUP($J804,countries,5,false)</f>
        <v>Europe</v>
      </c>
      <c r="M804" s="7" t="str">
        <f>VLOOKUP($J804,countries,6,false)</f>
        <v>Northern Europe</v>
      </c>
      <c r="N804" s="7">
        <v>8681.0</v>
      </c>
      <c r="O804" s="7" t="str">
        <f>VLOOKUP(N804, products, 2, FALSE)</f>
        <v>Office Supplies</v>
      </c>
      <c r="P804" s="7" t="s">
        <v>334</v>
      </c>
      <c r="Q804" s="7">
        <v>4339.0</v>
      </c>
      <c r="R804" s="17">
        <v>651.21</v>
      </c>
      <c r="S804" s="17">
        <v>524.96</v>
      </c>
      <c r="U804" s="18">
        <f t="shared" si="6"/>
        <v>2825600.19</v>
      </c>
      <c r="V804" s="18">
        <f t="shared" si="7"/>
        <v>2277801.44</v>
      </c>
      <c r="W804" s="19">
        <f t="shared" si="8"/>
        <v>547798.75</v>
      </c>
    </row>
    <row r="805">
      <c r="A805" s="7">
        <v>6.28515231E8</v>
      </c>
      <c r="B805" s="12">
        <v>42363.0</v>
      </c>
      <c r="C805" s="7">
        <f t="shared" si="1"/>
        <v>2015</v>
      </c>
      <c r="D805" s="14" t="str">
        <f t="shared" si="2"/>
        <v>12 - Dec</v>
      </c>
      <c r="E805" s="15" t="str">
        <f t="shared" si="3"/>
        <v>Fri</v>
      </c>
      <c r="F805" s="15">
        <f t="shared" si="4"/>
        <v>5</v>
      </c>
      <c r="G805" s="16">
        <v>42401.0</v>
      </c>
      <c r="H805" s="14">
        <f t="shared" si="5"/>
        <v>38</v>
      </c>
      <c r="I805" s="7" t="s">
        <v>364</v>
      </c>
      <c r="J805" s="7" t="s">
        <v>435</v>
      </c>
      <c r="K805" s="7" t="str">
        <f>VLOOKUP(J805,countries,2,false)</f>
        <v>Slovakia</v>
      </c>
      <c r="L805" s="7" t="str">
        <f>VLOOKUP($J805,countries,5,false)</f>
        <v>Europe</v>
      </c>
      <c r="M805" s="7" t="str">
        <f>VLOOKUP($J805,countries,6,false)</f>
        <v>Eastern Europe</v>
      </c>
      <c r="N805" s="7">
        <v>5988.0</v>
      </c>
      <c r="O805" s="7" t="str">
        <f>VLOOKUP(N805, products, 2, FALSE)</f>
        <v>Vegetables</v>
      </c>
      <c r="P805" s="7" t="s">
        <v>264</v>
      </c>
      <c r="Q805" s="7">
        <v>479.0</v>
      </c>
      <c r="R805" s="17">
        <v>154.06</v>
      </c>
      <c r="S805" s="17">
        <v>90.93</v>
      </c>
      <c r="U805" s="18">
        <f t="shared" si="6"/>
        <v>73794.74</v>
      </c>
      <c r="V805" s="18">
        <f t="shared" si="7"/>
        <v>43555.47</v>
      </c>
      <c r="W805" s="19">
        <f t="shared" si="8"/>
        <v>30239.27</v>
      </c>
    </row>
    <row r="806">
      <c r="A806" s="7">
        <v>6.28595054E8</v>
      </c>
      <c r="B806" s="12">
        <v>40794.0</v>
      </c>
      <c r="C806" s="7">
        <f t="shared" si="1"/>
        <v>2011</v>
      </c>
      <c r="D806" s="14" t="str">
        <f t="shared" si="2"/>
        <v>09 - Sep</v>
      </c>
      <c r="E806" s="15" t="str">
        <f t="shared" si="3"/>
        <v>Thu</v>
      </c>
      <c r="F806" s="15">
        <f t="shared" si="4"/>
        <v>4</v>
      </c>
      <c r="G806" s="16">
        <v>40837.0</v>
      </c>
      <c r="H806" s="14">
        <f t="shared" si="5"/>
        <v>43</v>
      </c>
      <c r="I806" s="7" t="s">
        <v>232</v>
      </c>
      <c r="J806" s="7" t="s">
        <v>378</v>
      </c>
      <c r="K806" s="7" t="str">
        <f>VLOOKUP(J806,countries,2,false)</f>
        <v>Hungary</v>
      </c>
      <c r="L806" s="7" t="str">
        <f>VLOOKUP($J806,countries,5,false)</f>
        <v>Europe</v>
      </c>
      <c r="M806" s="7" t="str">
        <f>VLOOKUP($J806,countries,6,false)</f>
        <v>Eastern Europe</v>
      </c>
      <c r="N806" s="7">
        <v>4594.0</v>
      </c>
      <c r="O806" s="7" t="str">
        <f>VLOOKUP(N806, products, 2, FALSE)</f>
        <v>Fruits</v>
      </c>
      <c r="P806" s="7" t="s">
        <v>334</v>
      </c>
      <c r="Q806" s="7">
        <v>4100.0</v>
      </c>
      <c r="R806" s="17">
        <v>9.33</v>
      </c>
      <c r="S806" s="17">
        <v>6.92</v>
      </c>
      <c r="U806" s="18">
        <f t="shared" si="6"/>
        <v>38253</v>
      </c>
      <c r="V806" s="18">
        <f t="shared" si="7"/>
        <v>28372</v>
      </c>
      <c r="W806" s="19">
        <f t="shared" si="8"/>
        <v>9881</v>
      </c>
    </row>
    <row r="807">
      <c r="A807" s="7">
        <v>6.2930144E8</v>
      </c>
      <c r="B807" s="12">
        <v>40378.0</v>
      </c>
      <c r="C807" s="7">
        <f t="shared" si="1"/>
        <v>2010</v>
      </c>
      <c r="D807" s="14" t="str">
        <f t="shared" si="2"/>
        <v>07 - Jul</v>
      </c>
      <c r="E807" s="15" t="str">
        <f t="shared" si="3"/>
        <v>Mon</v>
      </c>
      <c r="F807" s="15">
        <f t="shared" si="4"/>
        <v>1</v>
      </c>
      <c r="G807" s="16">
        <v>40388.0</v>
      </c>
      <c r="H807" s="14">
        <f t="shared" si="5"/>
        <v>10</v>
      </c>
      <c r="I807" s="7" t="s">
        <v>364</v>
      </c>
      <c r="J807" s="7" t="s">
        <v>396</v>
      </c>
      <c r="K807" s="7" t="str">
        <f>VLOOKUP(J807,countries,2,false)</f>
        <v>Ireland</v>
      </c>
      <c r="L807" s="7" t="str">
        <f>VLOOKUP($J807,countries,5,false)</f>
        <v>Europe</v>
      </c>
      <c r="M807" s="7" t="str">
        <f>VLOOKUP($J807,countries,6,false)</f>
        <v>Northern Europe</v>
      </c>
      <c r="N807" s="7">
        <v>7331.0</v>
      </c>
      <c r="O807" s="7" t="str">
        <f>VLOOKUP(N807, products, 2, FALSE)</f>
        <v>Baby Food</v>
      </c>
      <c r="P807" s="7" t="s">
        <v>334</v>
      </c>
      <c r="Q807" s="7">
        <v>3135.0</v>
      </c>
      <c r="R807" s="17">
        <v>255.28</v>
      </c>
      <c r="S807" s="17">
        <v>159.42</v>
      </c>
      <c r="U807" s="18">
        <f t="shared" si="6"/>
        <v>800302.8</v>
      </c>
      <c r="V807" s="18">
        <f t="shared" si="7"/>
        <v>499781.7</v>
      </c>
      <c r="W807" s="19">
        <f t="shared" si="8"/>
        <v>300521.1</v>
      </c>
    </row>
    <row r="808">
      <c r="A808" s="7">
        <v>6.30219399E8</v>
      </c>
      <c r="B808" s="12">
        <v>41691.0</v>
      </c>
      <c r="C808" s="7">
        <f t="shared" si="1"/>
        <v>2014</v>
      </c>
      <c r="D808" s="14" t="str">
        <f t="shared" si="2"/>
        <v>02 - Feb</v>
      </c>
      <c r="E808" s="15" t="str">
        <f t="shared" si="3"/>
        <v>Fri</v>
      </c>
      <c r="F808" s="15">
        <f t="shared" si="4"/>
        <v>5</v>
      </c>
      <c r="G808" s="16">
        <v>41712.0</v>
      </c>
      <c r="H808" s="14">
        <f t="shared" si="5"/>
        <v>21</v>
      </c>
      <c r="I808" s="7" t="s">
        <v>364</v>
      </c>
      <c r="J808" s="7" t="s">
        <v>306</v>
      </c>
      <c r="K808" s="7" t="str">
        <f>VLOOKUP(J808,countries,2,false)</f>
        <v>Serbia</v>
      </c>
      <c r="L808" s="7" t="str">
        <f>VLOOKUP($J808,countries,5,false)</f>
        <v>Europe</v>
      </c>
      <c r="M808" s="7" t="str">
        <f>VLOOKUP($J808,countries,6,false)</f>
        <v>Southern Europe</v>
      </c>
      <c r="N808" s="7">
        <v>7331.0</v>
      </c>
      <c r="O808" s="7" t="str">
        <f>VLOOKUP(N808, products, 2, FALSE)</f>
        <v>Baby Food</v>
      </c>
      <c r="P808" s="7" t="s">
        <v>334</v>
      </c>
      <c r="Q808" s="7">
        <v>4780.0</v>
      </c>
      <c r="R808" s="17">
        <v>255.28</v>
      </c>
      <c r="S808" s="17">
        <v>159.42</v>
      </c>
      <c r="U808" s="18">
        <f t="shared" si="6"/>
        <v>1220238.4</v>
      </c>
      <c r="V808" s="18">
        <f t="shared" si="7"/>
        <v>762027.6</v>
      </c>
      <c r="W808" s="19">
        <f t="shared" si="8"/>
        <v>458210.8</v>
      </c>
    </row>
    <row r="809">
      <c r="A809" s="7">
        <v>6.30931794E8</v>
      </c>
      <c r="B809" s="12">
        <v>41336.0</v>
      </c>
      <c r="C809" s="7">
        <f t="shared" si="1"/>
        <v>2013</v>
      </c>
      <c r="D809" s="14" t="str">
        <f t="shared" si="2"/>
        <v>03 - Mar</v>
      </c>
      <c r="E809" s="15" t="str">
        <f t="shared" si="3"/>
        <v>Sun</v>
      </c>
      <c r="F809" s="15">
        <f t="shared" si="4"/>
        <v>7</v>
      </c>
      <c r="G809" s="16">
        <v>41365.0</v>
      </c>
      <c r="H809" s="14">
        <f t="shared" si="5"/>
        <v>29</v>
      </c>
      <c r="I809" s="7" t="s">
        <v>399</v>
      </c>
      <c r="J809" s="7" t="s">
        <v>365</v>
      </c>
      <c r="K809" s="7" t="str">
        <f>VLOOKUP(J809,countries,2,false)</f>
        <v>Montenegro</v>
      </c>
      <c r="L809" s="7" t="str">
        <f>VLOOKUP($J809,countries,5,false)</f>
        <v>Europe</v>
      </c>
      <c r="M809" s="7" t="str">
        <f>VLOOKUP($J809,countries,6,false)</f>
        <v>Southern Europe</v>
      </c>
      <c r="N809" s="7">
        <v>7331.0</v>
      </c>
      <c r="O809" s="7" t="str">
        <f>VLOOKUP(N809, products, 2, FALSE)</f>
        <v>Baby Food</v>
      </c>
      <c r="P809" s="7" t="s">
        <v>334</v>
      </c>
      <c r="Q809" s="7">
        <v>5593.0</v>
      </c>
      <c r="R809" s="17">
        <v>255.28</v>
      </c>
      <c r="S809" s="17">
        <v>159.42</v>
      </c>
      <c r="U809" s="18">
        <f t="shared" si="6"/>
        <v>1427781.04</v>
      </c>
      <c r="V809" s="18">
        <f t="shared" si="7"/>
        <v>891636.06</v>
      </c>
      <c r="W809" s="19">
        <f t="shared" si="8"/>
        <v>536144.98</v>
      </c>
    </row>
    <row r="810">
      <c r="A810" s="7">
        <v>6.3117212E8</v>
      </c>
      <c r="B810" s="12">
        <v>40983.0</v>
      </c>
      <c r="C810" s="7">
        <f t="shared" si="1"/>
        <v>2012</v>
      </c>
      <c r="D810" s="14" t="str">
        <f t="shared" si="2"/>
        <v>03 - Mar</v>
      </c>
      <c r="E810" s="15" t="str">
        <f t="shared" si="3"/>
        <v>Thu</v>
      </c>
      <c r="F810" s="15">
        <f t="shared" si="4"/>
        <v>4</v>
      </c>
      <c r="G810" s="16">
        <v>41019.0</v>
      </c>
      <c r="H810" s="14">
        <f t="shared" si="5"/>
        <v>36</v>
      </c>
      <c r="I810" s="7" t="s">
        <v>305</v>
      </c>
      <c r="J810" s="7" t="s">
        <v>316</v>
      </c>
      <c r="K810" s="7" t="str">
        <f>VLOOKUP(J810,countries,2,false)</f>
        <v>Georgia</v>
      </c>
      <c r="L810" s="7" t="str">
        <f>VLOOKUP($J810,countries,5,false)</f>
        <v>Asia</v>
      </c>
      <c r="M810" s="7" t="str">
        <f>VLOOKUP($J810,countries,6,false)</f>
        <v>Western Asia</v>
      </c>
      <c r="N810" s="7">
        <v>8875.0</v>
      </c>
      <c r="O810" s="7" t="str">
        <f>VLOOKUP(N810, products, 2, FALSE)</f>
        <v>Meat</v>
      </c>
      <c r="P810" s="7" t="s">
        <v>334</v>
      </c>
      <c r="Q810" s="7">
        <v>6711.0</v>
      </c>
      <c r="R810" s="17">
        <v>421.89</v>
      </c>
      <c r="S810" s="17">
        <v>364.69</v>
      </c>
      <c r="U810" s="18">
        <f t="shared" si="6"/>
        <v>2831303.79</v>
      </c>
      <c r="V810" s="18">
        <f t="shared" si="7"/>
        <v>2447434.59</v>
      </c>
      <c r="W810" s="19">
        <f t="shared" si="8"/>
        <v>383869.2</v>
      </c>
    </row>
    <row r="811">
      <c r="A811" s="7">
        <v>6.3146094E8</v>
      </c>
      <c r="B811" s="12">
        <v>41907.0</v>
      </c>
      <c r="C811" s="7">
        <f t="shared" si="1"/>
        <v>2014</v>
      </c>
      <c r="D811" s="14" t="str">
        <f t="shared" si="2"/>
        <v>09 - Sep</v>
      </c>
      <c r="E811" s="15" t="str">
        <f t="shared" si="3"/>
        <v>Thu</v>
      </c>
      <c r="F811" s="15">
        <f t="shared" si="4"/>
        <v>4</v>
      </c>
      <c r="G811" s="16">
        <v>41917.0</v>
      </c>
      <c r="H811" s="14">
        <f t="shared" si="5"/>
        <v>10</v>
      </c>
      <c r="I811" s="7" t="s">
        <v>232</v>
      </c>
      <c r="J811" s="7" t="s">
        <v>685</v>
      </c>
      <c r="K811" s="7" t="str">
        <f>VLOOKUP(J811,countries,2,false)</f>
        <v>Slovenia</v>
      </c>
      <c r="L811" s="7" t="str">
        <f>VLOOKUP($J811,countries,5,false)</f>
        <v>Europe</v>
      </c>
      <c r="M811" s="7" t="str">
        <f>VLOOKUP($J811,countries,6,false)</f>
        <v>Southern Europe</v>
      </c>
      <c r="N811" s="7">
        <v>8875.0</v>
      </c>
      <c r="O811" s="7" t="str">
        <f>VLOOKUP(N811, products, 2, FALSE)</f>
        <v>Meat</v>
      </c>
      <c r="P811" s="7" t="s">
        <v>334</v>
      </c>
      <c r="Q811" s="7">
        <v>2180.0</v>
      </c>
      <c r="R811" s="17">
        <v>421.89</v>
      </c>
      <c r="S811" s="17">
        <v>364.69</v>
      </c>
      <c r="U811" s="18">
        <f t="shared" si="6"/>
        <v>919720.2</v>
      </c>
      <c r="V811" s="18">
        <f t="shared" si="7"/>
        <v>795024.2</v>
      </c>
      <c r="W811" s="19">
        <f t="shared" si="8"/>
        <v>124696</v>
      </c>
    </row>
    <row r="812">
      <c r="A812" s="7">
        <v>6.31463515E8</v>
      </c>
      <c r="B812" s="12">
        <v>41142.0</v>
      </c>
      <c r="C812" s="7">
        <f t="shared" si="1"/>
        <v>2012</v>
      </c>
      <c r="D812" s="14" t="str">
        <f t="shared" si="2"/>
        <v>08 - Aug</v>
      </c>
      <c r="E812" s="15" t="str">
        <f t="shared" si="3"/>
        <v>Tue</v>
      </c>
      <c r="F812" s="15">
        <f t="shared" si="4"/>
        <v>2</v>
      </c>
      <c r="G812" s="16">
        <v>41177.0</v>
      </c>
      <c r="H812" s="14">
        <f t="shared" si="5"/>
        <v>35</v>
      </c>
      <c r="I812" s="7" t="s">
        <v>364</v>
      </c>
      <c r="J812" s="7" t="s">
        <v>243</v>
      </c>
      <c r="K812" s="7" t="str">
        <f>VLOOKUP(J812,countries,2,false)</f>
        <v>Czech Republic</v>
      </c>
      <c r="L812" s="7" t="str">
        <f>VLOOKUP($J812,countries,5,false)</f>
        <v>Europe</v>
      </c>
      <c r="M812" s="7" t="str">
        <f>VLOOKUP($J812,countries,6,false)</f>
        <v>Eastern Europe</v>
      </c>
      <c r="N812" s="7">
        <v>2455.0</v>
      </c>
      <c r="O812" s="7" t="str">
        <f>VLOOKUP(N812, products, 2, FALSE)</f>
        <v>Clothes</v>
      </c>
      <c r="P812" s="7" t="s">
        <v>334</v>
      </c>
      <c r="Q812" s="7">
        <v>2942.0</v>
      </c>
      <c r="R812" s="17">
        <v>109.28</v>
      </c>
      <c r="S812" s="17">
        <v>35.84</v>
      </c>
      <c r="U812" s="18">
        <f t="shared" si="6"/>
        <v>321501.76</v>
      </c>
      <c r="V812" s="18">
        <f t="shared" si="7"/>
        <v>105441.28</v>
      </c>
      <c r="W812" s="19">
        <f t="shared" si="8"/>
        <v>216060.48</v>
      </c>
    </row>
    <row r="813">
      <c r="A813" s="7">
        <v>6.33312737E8</v>
      </c>
      <c r="B813" s="12">
        <v>40741.0</v>
      </c>
      <c r="C813" s="7">
        <f t="shared" si="1"/>
        <v>2011</v>
      </c>
      <c r="D813" s="14" t="str">
        <f t="shared" si="2"/>
        <v>07 - Jul</v>
      </c>
      <c r="E813" s="15" t="str">
        <f t="shared" si="3"/>
        <v>Sun</v>
      </c>
      <c r="F813" s="15">
        <f t="shared" si="4"/>
        <v>7</v>
      </c>
      <c r="G813" s="16">
        <v>40766.0</v>
      </c>
      <c r="H813" s="14">
        <f t="shared" si="5"/>
        <v>25</v>
      </c>
      <c r="I813" s="7" t="s">
        <v>364</v>
      </c>
      <c r="J813" s="7" t="s">
        <v>296</v>
      </c>
      <c r="K813" s="7" t="str">
        <f>VLOOKUP(J813,countries,2,false)</f>
        <v>France</v>
      </c>
      <c r="L813" s="7" t="str">
        <f>VLOOKUP($J813,countries,5,false)</f>
        <v>Europe</v>
      </c>
      <c r="M813" s="7" t="str">
        <f>VLOOKUP($J813,countries,6,false)</f>
        <v>Western Europe</v>
      </c>
      <c r="N813" s="7">
        <v>8875.0</v>
      </c>
      <c r="O813" s="7" t="str">
        <f>VLOOKUP(N813, products, 2, FALSE)</f>
        <v>Meat</v>
      </c>
      <c r="P813" s="7" t="s">
        <v>334</v>
      </c>
      <c r="Q813" s="7">
        <v>167.0</v>
      </c>
      <c r="R813" s="17">
        <v>421.89</v>
      </c>
      <c r="S813" s="17">
        <v>364.69</v>
      </c>
      <c r="U813" s="18">
        <f t="shared" si="6"/>
        <v>70455.63</v>
      </c>
      <c r="V813" s="18">
        <f t="shared" si="7"/>
        <v>60903.23</v>
      </c>
      <c r="W813" s="19">
        <f t="shared" si="8"/>
        <v>9552.4</v>
      </c>
    </row>
    <row r="814">
      <c r="A814" s="7">
        <v>6.33806264E8</v>
      </c>
      <c r="B814" s="12">
        <v>41744.0</v>
      </c>
      <c r="C814" s="7">
        <f t="shared" si="1"/>
        <v>2014</v>
      </c>
      <c r="D814" s="14" t="str">
        <f t="shared" si="2"/>
        <v>04 - Apr</v>
      </c>
      <c r="E814" s="15" t="str">
        <f t="shared" si="3"/>
        <v>Tue</v>
      </c>
      <c r="F814" s="15">
        <f t="shared" si="4"/>
        <v>2</v>
      </c>
      <c r="G814" s="16">
        <v>41755.0</v>
      </c>
      <c r="H814" s="14">
        <f t="shared" si="5"/>
        <v>11</v>
      </c>
      <c r="I814" s="7" t="s">
        <v>232</v>
      </c>
      <c r="J814" s="7" t="s">
        <v>296</v>
      </c>
      <c r="K814" s="7" t="str">
        <f>VLOOKUP(J814,countries,2,false)</f>
        <v>France</v>
      </c>
      <c r="L814" s="7" t="str">
        <f>VLOOKUP($J814,countries,5,false)</f>
        <v>Europe</v>
      </c>
      <c r="M814" s="7" t="str">
        <f>VLOOKUP($J814,countries,6,false)</f>
        <v>Western Europe</v>
      </c>
      <c r="N814" s="7">
        <v>2455.0</v>
      </c>
      <c r="O814" s="7" t="str">
        <f>VLOOKUP(N814, products, 2, FALSE)</f>
        <v>Clothes</v>
      </c>
      <c r="P814" s="7" t="s">
        <v>264</v>
      </c>
      <c r="Q814" s="7">
        <v>6213.0</v>
      </c>
      <c r="R814" s="17">
        <v>109.28</v>
      </c>
      <c r="S814" s="17">
        <v>35.84</v>
      </c>
      <c r="U814" s="18">
        <f t="shared" si="6"/>
        <v>678956.64</v>
      </c>
      <c r="V814" s="18">
        <f t="shared" si="7"/>
        <v>222673.92</v>
      </c>
      <c r="W814" s="19">
        <f t="shared" si="8"/>
        <v>456282.72</v>
      </c>
    </row>
    <row r="815">
      <c r="A815" s="7">
        <v>6.33992946E8</v>
      </c>
      <c r="B815" s="12">
        <v>41643.0</v>
      </c>
      <c r="C815" s="7">
        <f t="shared" si="1"/>
        <v>2014</v>
      </c>
      <c r="D815" s="14" t="str">
        <f t="shared" si="2"/>
        <v>01 - Jan</v>
      </c>
      <c r="E815" s="15" t="str">
        <f t="shared" si="3"/>
        <v>Sat</v>
      </c>
      <c r="F815" s="15">
        <f t="shared" si="4"/>
        <v>6</v>
      </c>
      <c r="G815" s="16">
        <v>41645.0</v>
      </c>
      <c r="H815" s="14">
        <f t="shared" si="5"/>
        <v>2</v>
      </c>
      <c r="I815" s="7" t="s">
        <v>399</v>
      </c>
      <c r="J815" s="7" t="s">
        <v>378</v>
      </c>
      <c r="K815" s="7" t="str">
        <f>VLOOKUP(J815,countries,2,false)</f>
        <v>Hungary</v>
      </c>
      <c r="L815" s="7" t="str">
        <f>VLOOKUP($J815,countries,5,false)</f>
        <v>Europe</v>
      </c>
      <c r="M815" s="7" t="str">
        <f>VLOOKUP($J815,countries,6,false)</f>
        <v>Eastern Europe</v>
      </c>
      <c r="N815" s="7">
        <v>4594.0</v>
      </c>
      <c r="O815" s="7" t="str">
        <f>VLOOKUP(N815, products, 2, FALSE)</f>
        <v>Fruits</v>
      </c>
      <c r="P815" s="7" t="s">
        <v>334</v>
      </c>
      <c r="Q815" s="7">
        <v>1456.0</v>
      </c>
      <c r="R815" s="17">
        <v>9.33</v>
      </c>
      <c r="S815" s="17">
        <v>6.92</v>
      </c>
      <c r="U815" s="18">
        <f t="shared" si="6"/>
        <v>13584.48</v>
      </c>
      <c r="V815" s="18">
        <f t="shared" si="7"/>
        <v>10075.52</v>
      </c>
      <c r="W815" s="19">
        <f t="shared" si="8"/>
        <v>3508.96</v>
      </c>
    </row>
    <row r="816">
      <c r="A816" s="7">
        <v>6.34033286E8</v>
      </c>
      <c r="B816" s="12">
        <v>41653.0</v>
      </c>
      <c r="C816" s="7">
        <f t="shared" si="1"/>
        <v>2014</v>
      </c>
      <c r="D816" s="14" t="str">
        <f t="shared" si="2"/>
        <v>01 - Jan</v>
      </c>
      <c r="E816" s="15" t="str">
        <f t="shared" si="3"/>
        <v>Tue</v>
      </c>
      <c r="F816" s="15">
        <f t="shared" si="4"/>
        <v>2</v>
      </c>
      <c r="G816" s="16">
        <v>41654.0</v>
      </c>
      <c r="H816" s="14">
        <f t="shared" si="5"/>
        <v>1</v>
      </c>
      <c r="I816" s="7" t="s">
        <v>232</v>
      </c>
      <c r="J816" s="7" t="s">
        <v>233</v>
      </c>
      <c r="K816" s="7" t="str">
        <f>VLOOKUP(J816,countries,2,false)</f>
        <v>Norway</v>
      </c>
      <c r="L816" s="7" t="str">
        <f>VLOOKUP($J816,countries,5,false)</f>
        <v>Europe</v>
      </c>
      <c r="M816" s="7" t="str">
        <f>VLOOKUP($J816,countries,6,false)</f>
        <v>Northern Europe</v>
      </c>
      <c r="N816" s="7">
        <v>3127.0</v>
      </c>
      <c r="O816" s="7" t="str">
        <f>VLOOKUP(N816, products, 2, FALSE)</f>
        <v>Personal Care</v>
      </c>
      <c r="P816" s="7" t="s">
        <v>334</v>
      </c>
      <c r="Q816" s="7">
        <v>3394.0</v>
      </c>
      <c r="R816" s="17">
        <v>81.73</v>
      </c>
      <c r="S816" s="17">
        <v>56.67</v>
      </c>
      <c r="U816" s="18">
        <f t="shared" si="6"/>
        <v>277391.62</v>
      </c>
      <c r="V816" s="18">
        <f t="shared" si="7"/>
        <v>192337.98</v>
      </c>
      <c r="W816" s="19">
        <f t="shared" si="8"/>
        <v>85053.64</v>
      </c>
    </row>
    <row r="817">
      <c r="A817" s="7">
        <v>6.36278617E8</v>
      </c>
      <c r="B817" s="12">
        <v>41672.0</v>
      </c>
      <c r="C817" s="7">
        <f t="shared" si="1"/>
        <v>2014</v>
      </c>
      <c r="D817" s="14" t="str">
        <f t="shared" si="2"/>
        <v>02 - Feb</v>
      </c>
      <c r="E817" s="15" t="str">
        <f t="shared" si="3"/>
        <v>Sun</v>
      </c>
      <c r="F817" s="15">
        <f t="shared" si="4"/>
        <v>7</v>
      </c>
      <c r="G817" s="16">
        <v>41720.0</v>
      </c>
      <c r="H817" s="14">
        <f t="shared" si="5"/>
        <v>48</v>
      </c>
      <c r="I817" s="7" t="s">
        <v>399</v>
      </c>
      <c r="J817" s="7" t="s">
        <v>406</v>
      </c>
      <c r="K817" s="7" t="str">
        <f>VLOOKUP(J817,countries,2,false)</f>
        <v>Italy</v>
      </c>
      <c r="L817" s="7" t="str">
        <f>VLOOKUP($J817,countries,5,false)</f>
        <v>Europe</v>
      </c>
      <c r="M817" s="7" t="str">
        <f>VLOOKUP($J817,countries,6,false)</f>
        <v>Southern Europe</v>
      </c>
      <c r="N817" s="7">
        <v>4594.0</v>
      </c>
      <c r="O817" s="7" t="str">
        <f>VLOOKUP(N817, products, 2, FALSE)</f>
        <v>Fruits</v>
      </c>
      <c r="P817" s="7" t="s">
        <v>264</v>
      </c>
      <c r="Q817" s="7">
        <v>7837.0</v>
      </c>
      <c r="R817" s="17">
        <v>9.33</v>
      </c>
      <c r="S817" s="17">
        <v>6.92</v>
      </c>
      <c r="U817" s="18">
        <f t="shared" si="6"/>
        <v>73119.21</v>
      </c>
      <c r="V817" s="18">
        <f t="shared" si="7"/>
        <v>54232.04</v>
      </c>
      <c r="W817" s="19">
        <f t="shared" si="8"/>
        <v>18887.17</v>
      </c>
    </row>
    <row r="818">
      <c r="A818" s="7">
        <v>6.36360585E8</v>
      </c>
      <c r="B818" s="12">
        <v>41310.0</v>
      </c>
      <c r="C818" s="7">
        <f t="shared" si="1"/>
        <v>2013</v>
      </c>
      <c r="D818" s="14" t="str">
        <f t="shared" si="2"/>
        <v>02 - Feb</v>
      </c>
      <c r="E818" s="15" t="str">
        <f t="shared" si="3"/>
        <v>Tue</v>
      </c>
      <c r="F818" s="15">
        <f t="shared" si="4"/>
        <v>2</v>
      </c>
      <c r="G818" s="16">
        <v>41341.0</v>
      </c>
      <c r="H818" s="14">
        <f t="shared" si="5"/>
        <v>31</v>
      </c>
      <c r="I818" s="7" t="s">
        <v>399</v>
      </c>
      <c r="J818" s="7" t="s">
        <v>611</v>
      </c>
      <c r="K818" s="7" t="str">
        <f>VLOOKUP(J818,countries,2,false)</f>
        <v>Portugal</v>
      </c>
      <c r="L818" s="7" t="str">
        <f>VLOOKUP($J818,countries,5,false)</f>
        <v>Europe</v>
      </c>
      <c r="M818" s="7" t="str">
        <f>VLOOKUP($J818,countries,6,false)</f>
        <v>Southern Europe</v>
      </c>
      <c r="N818" s="7">
        <v>2103.0</v>
      </c>
      <c r="O818" s="7" t="str">
        <f>VLOOKUP(N818, products, 2, FALSE)</f>
        <v>Cereal</v>
      </c>
      <c r="P818" s="7" t="s">
        <v>334</v>
      </c>
      <c r="Q818" s="7">
        <v>2093.0</v>
      </c>
      <c r="R818" s="17">
        <v>205.7</v>
      </c>
      <c r="S818" s="17">
        <v>117.11</v>
      </c>
      <c r="U818" s="18">
        <f t="shared" si="6"/>
        <v>430530.1</v>
      </c>
      <c r="V818" s="18">
        <f t="shared" si="7"/>
        <v>245111.23</v>
      </c>
      <c r="W818" s="19">
        <f t="shared" si="8"/>
        <v>185418.87</v>
      </c>
    </row>
    <row r="819">
      <c r="A819" s="7">
        <v>6.36907756E8</v>
      </c>
      <c r="B819" s="12">
        <v>42061.0</v>
      </c>
      <c r="C819" s="7">
        <f t="shared" si="1"/>
        <v>2015</v>
      </c>
      <c r="D819" s="14" t="str">
        <f t="shared" si="2"/>
        <v>02 - Feb</v>
      </c>
      <c r="E819" s="15" t="str">
        <f t="shared" si="3"/>
        <v>Thu</v>
      </c>
      <c r="F819" s="15">
        <f t="shared" si="4"/>
        <v>4</v>
      </c>
      <c r="G819" s="16">
        <v>42095.0</v>
      </c>
      <c r="H819" s="14">
        <f t="shared" si="5"/>
        <v>34</v>
      </c>
      <c r="I819" s="7" t="s">
        <v>305</v>
      </c>
      <c r="J819" s="7" t="s">
        <v>316</v>
      </c>
      <c r="K819" s="7" t="str">
        <f>VLOOKUP(J819,countries,2,false)</f>
        <v>Georgia</v>
      </c>
      <c r="L819" s="7" t="str">
        <f>VLOOKUP($J819,countries,5,false)</f>
        <v>Asia</v>
      </c>
      <c r="M819" s="7" t="str">
        <f>VLOOKUP($J819,countries,6,false)</f>
        <v>Western Asia</v>
      </c>
      <c r="N819" s="7">
        <v>5988.0</v>
      </c>
      <c r="O819" s="7" t="str">
        <f>VLOOKUP(N819, products, 2, FALSE)</f>
        <v>Vegetables</v>
      </c>
      <c r="P819" s="7" t="s">
        <v>264</v>
      </c>
      <c r="Q819" s="7">
        <v>4013.0</v>
      </c>
      <c r="R819" s="17">
        <v>154.06</v>
      </c>
      <c r="S819" s="17">
        <v>90.93</v>
      </c>
      <c r="U819" s="18">
        <f t="shared" si="6"/>
        <v>618242.78</v>
      </c>
      <c r="V819" s="18">
        <f t="shared" si="7"/>
        <v>364902.09</v>
      </c>
      <c r="W819" s="19">
        <f t="shared" si="8"/>
        <v>253340.69</v>
      </c>
    </row>
    <row r="820">
      <c r="A820" s="7">
        <v>6.37040793E8</v>
      </c>
      <c r="B820" s="12">
        <v>42211.0</v>
      </c>
      <c r="C820" s="7">
        <f t="shared" si="1"/>
        <v>2015</v>
      </c>
      <c r="D820" s="14" t="str">
        <f t="shared" si="2"/>
        <v>07 - Jul</v>
      </c>
      <c r="E820" s="15" t="str">
        <f t="shared" si="3"/>
        <v>Sun</v>
      </c>
      <c r="F820" s="15">
        <f t="shared" si="4"/>
        <v>7</v>
      </c>
      <c r="G820" s="16">
        <v>42220.0</v>
      </c>
      <c r="H820" s="14">
        <f t="shared" si="5"/>
        <v>9</v>
      </c>
      <c r="I820" s="7" t="s">
        <v>364</v>
      </c>
      <c r="J820" s="7" t="s">
        <v>435</v>
      </c>
      <c r="K820" s="7" t="str">
        <f>VLOOKUP(J820,countries,2,false)</f>
        <v>Slovakia</v>
      </c>
      <c r="L820" s="7" t="str">
        <f>VLOOKUP($J820,countries,5,false)</f>
        <v>Europe</v>
      </c>
      <c r="M820" s="7" t="str">
        <f>VLOOKUP($J820,countries,6,false)</f>
        <v>Eastern Europe</v>
      </c>
      <c r="N820" s="7">
        <v>8969.0</v>
      </c>
      <c r="O820" s="7" t="str">
        <f>VLOOKUP(N820, products, 2, FALSE)</f>
        <v>Snacks</v>
      </c>
      <c r="P820" s="7" t="s">
        <v>264</v>
      </c>
      <c r="Q820" s="7">
        <v>3382.0</v>
      </c>
      <c r="R820" s="17">
        <v>152.58</v>
      </c>
      <c r="S820" s="17">
        <v>97.44</v>
      </c>
      <c r="U820" s="18">
        <f t="shared" si="6"/>
        <v>516025.56</v>
      </c>
      <c r="V820" s="18">
        <f t="shared" si="7"/>
        <v>329542.08</v>
      </c>
      <c r="W820" s="19">
        <f t="shared" si="8"/>
        <v>186483.48</v>
      </c>
    </row>
    <row r="821">
      <c r="A821" s="7">
        <v>6.37188422E8</v>
      </c>
      <c r="B821" s="12">
        <v>41718.0</v>
      </c>
      <c r="C821" s="7">
        <f t="shared" si="1"/>
        <v>2014</v>
      </c>
      <c r="D821" s="14" t="str">
        <f t="shared" si="2"/>
        <v>03 - Mar</v>
      </c>
      <c r="E821" s="15" t="str">
        <f t="shared" si="3"/>
        <v>Thu</v>
      </c>
      <c r="F821" s="15">
        <f t="shared" si="4"/>
        <v>4</v>
      </c>
      <c r="G821" s="16">
        <v>41758.0</v>
      </c>
      <c r="H821" s="14">
        <f t="shared" si="5"/>
        <v>40</v>
      </c>
      <c r="I821" s="7" t="s">
        <v>305</v>
      </c>
      <c r="J821" s="7" t="s">
        <v>296</v>
      </c>
      <c r="K821" s="7" t="str">
        <f>VLOOKUP(J821,countries,2,false)</f>
        <v>France</v>
      </c>
      <c r="L821" s="7" t="str">
        <f>VLOOKUP($J821,countries,5,false)</f>
        <v>Europe</v>
      </c>
      <c r="M821" s="7" t="str">
        <f>VLOOKUP($J821,countries,6,false)</f>
        <v>Western Europe</v>
      </c>
      <c r="N821" s="7">
        <v>8293.0</v>
      </c>
      <c r="O821" s="7" t="str">
        <f>VLOOKUP(N821, products, 2, FALSE)</f>
        <v>Cosmetics</v>
      </c>
      <c r="P821" s="7" t="s">
        <v>264</v>
      </c>
      <c r="Q821" s="7">
        <v>7069.0</v>
      </c>
      <c r="R821" s="17">
        <v>437.2</v>
      </c>
      <c r="S821" s="17">
        <v>263.33</v>
      </c>
      <c r="U821" s="18">
        <f t="shared" si="6"/>
        <v>3090566.8</v>
      </c>
      <c r="V821" s="18">
        <f t="shared" si="7"/>
        <v>1861479.77</v>
      </c>
      <c r="W821" s="19">
        <f t="shared" si="8"/>
        <v>1229087.03</v>
      </c>
    </row>
    <row r="822">
      <c r="A822" s="7">
        <v>6.3804115E8</v>
      </c>
      <c r="B822" s="12">
        <v>41191.0</v>
      </c>
      <c r="C822" s="7">
        <f t="shared" si="1"/>
        <v>2012</v>
      </c>
      <c r="D822" s="14" t="str">
        <f t="shared" si="2"/>
        <v>10 - Oct</v>
      </c>
      <c r="E822" s="15" t="str">
        <f t="shared" si="3"/>
        <v>Tue</v>
      </c>
      <c r="F822" s="15">
        <f t="shared" si="4"/>
        <v>2</v>
      </c>
      <c r="G822" s="16">
        <v>41241.0</v>
      </c>
      <c r="H822" s="14">
        <f t="shared" si="5"/>
        <v>50</v>
      </c>
      <c r="I822" s="7" t="s">
        <v>364</v>
      </c>
      <c r="J822" s="7" t="s">
        <v>146</v>
      </c>
      <c r="K822" s="7" t="str">
        <f>VLOOKUP(J822,countries,2,false)</f>
        <v>Bosnia and Herzegovina</v>
      </c>
      <c r="L822" s="7" t="str">
        <f>VLOOKUP($J822,countries,5,false)</f>
        <v>Europe</v>
      </c>
      <c r="M822" s="7" t="str">
        <f>VLOOKUP($J822,countries,6,false)</f>
        <v>Southern Europe</v>
      </c>
      <c r="N822" s="7">
        <v>7331.0</v>
      </c>
      <c r="O822" s="7" t="str">
        <f>VLOOKUP(N822, products, 2, FALSE)</f>
        <v>Baby Food</v>
      </c>
      <c r="P822" s="7" t="s">
        <v>264</v>
      </c>
      <c r="Q822" s="7">
        <v>9410.0</v>
      </c>
      <c r="R822" s="17">
        <v>255.28</v>
      </c>
      <c r="S822" s="17">
        <v>159.42</v>
      </c>
      <c r="U822" s="18">
        <f t="shared" si="6"/>
        <v>2402184.8</v>
      </c>
      <c r="V822" s="18">
        <f t="shared" si="7"/>
        <v>1500142.2</v>
      </c>
      <c r="W822" s="19">
        <f t="shared" si="8"/>
        <v>902042.6</v>
      </c>
    </row>
    <row r="823">
      <c r="A823" s="7">
        <v>6.38314521E8</v>
      </c>
      <c r="B823" s="12">
        <v>41169.0</v>
      </c>
      <c r="C823" s="7">
        <f t="shared" si="1"/>
        <v>2012</v>
      </c>
      <c r="D823" s="14" t="str">
        <f t="shared" si="2"/>
        <v>09 - Sep</v>
      </c>
      <c r="E823" s="15" t="str">
        <f t="shared" si="3"/>
        <v>Mon</v>
      </c>
      <c r="F823" s="15">
        <f t="shared" si="4"/>
        <v>1</v>
      </c>
      <c r="G823" s="16">
        <v>41197.0</v>
      </c>
      <c r="H823" s="14">
        <f t="shared" si="5"/>
        <v>28</v>
      </c>
      <c r="I823" s="7" t="s">
        <v>399</v>
      </c>
      <c r="J823" s="7" t="s">
        <v>348</v>
      </c>
      <c r="K823" s="7" t="s">
        <v>348</v>
      </c>
      <c r="L823" s="7" t="s">
        <v>348</v>
      </c>
      <c r="M823" s="7" t="s">
        <v>348</v>
      </c>
      <c r="N823" s="7">
        <v>8875.0</v>
      </c>
      <c r="O823" s="7" t="str">
        <f>VLOOKUP(N823, products, 2, FALSE)</f>
        <v>Meat</v>
      </c>
      <c r="P823" s="7" t="s">
        <v>264</v>
      </c>
      <c r="Q823" s="7">
        <v>306.0</v>
      </c>
      <c r="R823" s="17">
        <v>421.89</v>
      </c>
      <c r="S823" s="17">
        <v>364.69</v>
      </c>
      <c r="U823" s="18">
        <f t="shared" si="6"/>
        <v>129098.34</v>
      </c>
      <c r="V823" s="18">
        <f t="shared" si="7"/>
        <v>111595.14</v>
      </c>
      <c r="W823" s="19">
        <f t="shared" si="8"/>
        <v>17503.2</v>
      </c>
    </row>
    <row r="824">
      <c r="A824" s="7">
        <v>6.385939E8</v>
      </c>
      <c r="B824" s="12">
        <v>41208.0</v>
      </c>
      <c r="C824" s="7">
        <f t="shared" si="1"/>
        <v>2012</v>
      </c>
      <c r="D824" s="14" t="str">
        <f t="shared" si="2"/>
        <v>10 - Oct</v>
      </c>
      <c r="E824" s="15" t="str">
        <f t="shared" si="3"/>
        <v>Fri</v>
      </c>
      <c r="F824" s="15">
        <f t="shared" si="4"/>
        <v>5</v>
      </c>
      <c r="G824" s="16">
        <v>41255.0</v>
      </c>
      <c r="H824" s="14">
        <f t="shared" si="5"/>
        <v>47</v>
      </c>
      <c r="I824" s="7" t="s">
        <v>364</v>
      </c>
      <c r="J824" s="7" t="s">
        <v>717</v>
      </c>
      <c r="K824" s="7" t="str">
        <f>VLOOKUP(J824,countries,2,false)</f>
        <v>Sweden</v>
      </c>
      <c r="L824" s="7" t="str">
        <f>VLOOKUP($J824,countries,5,false)</f>
        <v>Europe</v>
      </c>
      <c r="M824" s="7" t="str">
        <f>VLOOKUP($J824,countries,6,false)</f>
        <v>Northern Europe</v>
      </c>
      <c r="N824" s="7">
        <v>8293.0</v>
      </c>
      <c r="O824" s="7" t="str">
        <f>VLOOKUP(N824, products, 2, FALSE)</f>
        <v>Cosmetics</v>
      </c>
      <c r="P824" s="7" t="s">
        <v>264</v>
      </c>
      <c r="Q824" s="7">
        <v>2981.0</v>
      </c>
      <c r="R824" s="17">
        <v>437.2</v>
      </c>
      <c r="S824" s="17">
        <v>263.33</v>
      </c>
      <c r="U824" s="18">
        <f t="shared" si="6"/>
        <v>1303293.2</v>
      </c>
      <c r="V824" s="18">
        <f t="shared" si="7"/>
        <v>784986.73</v>
      </c>
      <c r="W824" s="19">
        <f t="shared" si="8"/>
        <v>518306.47</v>
      </c>
    </row>
    <row r="825">
      <c r="A825" s="7">
        <v>6.38856971E8</v>
      </c>
      <c r="B825" s="12">
        <v>41479.0</v>
      </c>
      <c r="C825" s="7">
        <f t="shared" si="1"/>
        <v>2013</v>
      </c>
      <c r="D825" s="14" t="str">
        <f t="shared" si="2"/>
        <v>07 - Jul</v>
      </c>
      <c r="E825" s="15" t="str">
        <f t="shared" si="3"/>
        <v>Wed</v>
      </c>
      <c r="F825" s="15">
        <f t="shared" si="4"/>
        <v>3</v>
      </c>
      <c r="G825" s="16">
        <v>41507.0</v>
      </c>
      <c r="H825" s="14">
        <f t="shared" si="5"/>
        <v>28</v>
      </c>
      <c r="I825" s="7" t="s">
        <v>232</v>
      </c>
      <c r="J825" s="7" t="s">
        <v>120</v>
      </c>
      <c r="K825" s="7" t="str">
        <f>VLOOKUP(J825,countries,2,false)</f>
        <v>Belarus</v>
      </c>
      <c r="L825" s="7" t="str">
        <f>VLOOKUP($J825,countries,5,false)</f>
        <v>Europe</v>
      </c>
      <c r="M825" s="7" t="str">
        <f>VLOOKUP($J825,countries,6,false)</f>
        <v>Eastern Europe</v>
      </c>
      <c r="N825" s="7">
        <v>3127.0</v>
      </c>
      <c r="O825" s="7" t="str">
        <f>VLOOKUP(N825, products, 2, FALSE)</f>
        <v>Personal Care</v>
      </c>
      <c r="P825" s="7" t="s">
        <v>264</v>
      </c>
      <c r="Q825" s="7">
        <v>829.0</v>
      </c>
      <c r="R825" s="17">
        <v>81.73</v>
      </c>
      <c r="S825" s="17">
        <v>56.67</v>
      </c>
      <c r="U825" s="18">
        <f t="shared" si="6"/>
        <v>67754.17</v>
      </c>
      <c r="V825" s="18">
        <f t="shared" si="7"/>
        <v>46979.43</v>
      </c>
      <c r="W825" s="19">
        <f t="shared" si="8"/>
        <v>20774.74</v>
      </c>
    </row>
    <row r="826">
      <c r="A826" s="7">
        <v>6.38937652E8</v>
      </c>
      <c r="B826" s="12">
        <v>41498.0</v>
      </c>
      <c r="C826" s="7">
        <f t="shared" si="1"/>
        <v>2013</v>
      </c>
      <c r="D826" s="14" t="str">
        <f t="shared" si="2"/>
        <v>08 - Aug</v>
      </c>
      <c r="E826" s="15" t="str">
        <f t="shared" si="3"/>
        <v>Mon</v>
      </c>
      <c r="F826" s="15">
        <f t="shared" si="4"/>
        <v>1</v>
      </c>
      <c r="G826" s="16">
        <v>41523.0</v>
      </c>
      <c r="H826" s="14">
        <f t="shared" si="5"/>
        <v>25</v>
      </c>
      <c r="I826" s="7" t="s">
        <v>364</v>
      </c>
      <c r="J826" s="7" t="s">
        <v>233</v>
      </c>
      <c r="K826" s="7" t="str">
        <f>VLOOKUP(J826,countries,2,false)</f>
        <v>Norway</v>
      </c>
      <c r="L826" s="7" t="str">
        <f>VLOOKUP($J826,countries,5,false)</f>
        <v>Europe</v>
      </c>
      <c r="M826" s="7" t="str">
        <f>VLOOKUP($J826,countries,6,false)</f>
        <v>Northern Europe</v>
      </c>
      <c r="N826" s="7">
        <v>4594.0</v>
      </c>
      <c r="O826" s="7" t="str">
        <f>VLOOKUP(N826, products, 2, FALSE)</f>
        <v>Fruits</v>
      </c>
      <c r="P826" s="7" t="s">
        <v>334</v>
      </c>
      <c r="Q826" s="7">
        <v>4705.0</v>
      </c>
      <c r="R826" s="17">
        <v>9.33</v>
      </c>
      <c r="S826" s="17">
        <v>6.92</v>
      </c>
      <c r="U826" s="18">
        <f t="shared" si="6"/>
        <v>43897.65</v>
      </c>
      <c r="V826" s="18">
        <f t="shared" si="7"/>
        <v>32558.6</v>
      </c>
      <c r="W826" s="19">
        <f t="shared" si="8"/>
        <v>11339.05</v>
      </c>
    </row>
    <row r="827">
      <c r="A827" s="7">
        <v>6.38957822E8</v>
      </c>
      <c r="B827" s="12">
        <v>42886.0</v>
      </c>
      <c r="C827" s="7">
        <f t="shared" si="1"/>
        <v>2017</v>
      </c>
      <c r="D827" s="14" t="str">
        <f t="shared" si="2"/>
        <v>05 - May</v>
      </c>
      <c r="E827" s="15" t="str">
        <f t="shared" si="3"/>
        <v>Wed</v>
      </c>
      <c r="F827" s="15">
        <f t="shared" si="4"/>
        <v>3</v>
      </c>
      <c r="G827" s="16">
        <v>42910.0</v>
      </c>
      <c r="H827" s="14">
        <f t="shared" si="5"/>
        <v>24</v>
      </c>
      <c r="I827" s="7" t="s">
        <v>232</v>
      </c>
      <c r="J827" s="7" t="s">
        <v>435</v>
      </c>
      <c r="K827" s="7" t="str">
        <f>VLOOKUP(J827,countries,2,false)</f>
        <v>Slovakia</v>
      </c>
      <c r="L827" s="7" t="str">
        <f>VLOOKUP($J827,countries,5,false)</f>
        <v>Europe</v>
      </c>
      <c r="M827" s="7" t="str">
        <f>VLOOKUP($J827,countries,6,false)</f>
        <v>Eastern Europe</v>
      </c>
      <c r="N827" s="7">
        <v>1270.0</v>
      </c>
      <c r="O827" s="7" t="str">
        <f>VLOOKUP(N827, products, 2, FALSE)</f>
        <v>Beverages</v>
      </c>
      <c r="P827" s="7" t="s">
        <v>264</v>
      </c>
      <c r="Q827" s="7">
        <v>673.0</v>
      </c>
      <c r="R827" s="17">
        <v>47.45</v>
      </c>
      <c r="S827" s="17">
        <v>31.79</v>
      </c>
      <c r="U827" s="18">
        <f t="shared" si="6"/>
        <v>31933.85</v>
      </c>
      <c r="V827" s="18">
        <f t="shared" si="7"/>
        <v>21394.67</v>
      </c>
      <c r="W827" s="19">
        <f t="shared" si="8"/>
        <v>10539.18</v>
      </c>
    </row>
    <row r="828">
      <c r="A828" s="7">
        <v>6.39126908E8</v>
      </c>
      <c r="B828" s="12">
        <v>40632.0</v>
      </c>
      <c r="C828" s="7">
        <f t="shared" si="1"/>
        <v>2011</v>
      </c>
      <c r="D828" s="14" t="str">
        <f t="shared" si="2"/>
        <v>03 - Mar</v>
      </c>
      <c r="E828" s="15" t="str">
        <f t="shared" si="3"/>
        <v>Wed</v>
      </c>
      <c r="F828" s="15">
        <f t="shared" si="4"/>
        <v>3</v>
      </c>
      <c r="G828" s="16">
        <v>40673.0</v>
      </c>
      <c r="H828" s="14">
        <f t="shared" si="5"/>
        <v>41</v>
      </c>
      <c r="I828" s="7" t="s">
        <v>305</v>
      </c>
      <c r="J828" s="7" t="s">
        <v>146</v>
      </c>
      <c r="K828" s="7" t="str">
        <f>VLOOKUP(J828,countries,2,false)</f>
        <v>Bosnia and Herzegovina</v>
      </c>
      <c r="L828" s="7" t="str">
        <f>VLOOKUP($J828,countries,5,false)</f>
        <v>Europe</v>
      </c>
      <c r="M828" s="7" t="str">
        <f>VLOOKUP($J828,countries,6,false)</f>
        <v>Southern Europe</v>
      </c>
      <c r="N828" s="7">
        <v>2103.0</v>
      </c>
      <c r="O828" s="7" t="str">
        <f>VLOOKUP(N828, products, 2, FALSE)</f>
        <v>Cereal</v>
      </c>
      <c r="P828" s="7" t="s">
        <v>264</v>
      </c>
      <c r="Q828" s="7">
        <v>710.0</v>
      </c>
      <c r="R828" s="17">
        <v>205.7</v>
      </c>
      <c r="S828" s="17">
        <v>117.11</v>
      </c>
      <c r="U828" s="18">
        <f t="shared" si="6"/>
        <v>146047</v>
      </c>
      <c r="V828" s="18">
        <f t="shared" si="7"/>
        <v>83148.1</v>
      </c>
      <c r="W828" s="19">
        <f t="shared" si="8"/>
        <v>62898.9</v>
      </c>
    </row>
    <row r="829">
      <c r="A829" s="7">
        <v>6.40295922E8</v>
      </c>
      <c r="B829" s="12">
        <v>42095.0</v>
      </c>
      <c r="C829" s="7">
        <f t="shared" si="1"/>
        <v>2015</v>
      </c>
      <c r="D829" s="14" t="str">
        <f t="shared" si="2"/>
        <v>04 - Apr</v>
      </c>
      <c r="E829" s="15" t="str">
        <f t="shared" si="3"/>
        <v>Wed</v>
      </c>
      <c r="F829" s="15">
        <f t="shared" si="4"/>
        <v>3</v>
      </c>
      <c r="G829" s="16">
        <v>42097.0</v>
      </c>
      <c r="H829" s="14">
        <f t="shared" si="5"/>
        <v>2</v>
      </c>
      <c r="I829" s="7" t="s">
        <v>232</v>
      </c>
      <c r="J829" s="7" t="s">
        <v>146</v>
      </c>
      <c r="K829" s="7" t="str">
        <f>VLOOKUP(J829,countries,2,false)</f>
        <v>Bosnia and Herzegovina</v>
      </c>
      <c r="L829" s="7" t="str">
        <f>VLOOKUP($J829,countries,5,false)</f>
        <v>Europe</v>
      </c>
      <c r="M829" s="7" t="str">
        <f>VLOOKUP($J829,countries,6,false)</f>
        <v>Southern Europe</v>
      </c>
      <c r="N829" s="7">
        <v>7331.0</v>
      </c>
      <c r="O829" s="7" t="str">
        <f>VLOOKUP(N829, products, 2, FALSE)</f>
        <v>Baby Food</v>
      </c>
      <c r="P829" s="7" t="s">
        <v>264</v>
      </c>
      <c r="Q829" s="7">
        <v>6647.0</v>
      </c>
      <c r="R829" s="17">
        <v>255.28</v>
      </c>
      <c r="S829" s="17">
        <v>159.42</v>
      </c>
      <c r="U829" s="18">
        <f t="shared" si="6"/>
        <v>1696846.16</v>
      </c>
      <c r="V829" s="18">
        <f t="shared" si="7"/>
        <v>1059664.74</v>
      </c>
      <c r="W829" s="19">
        <f t="shared" si="8"/>
        <v>637181.42</v>
      </c>
    </row>
    <row r="830">
      <c r="A830" s="7">
        <v>6.40394628E8</v>
      </c>
      <c r="B830" s="12">
        <v>42296.0</v>
      </c>
      <c r="C830" s="7">
        <f t="shared" si="1"/>
        <v>2015</v>
      </c>
      <c r="D830" s="14" t="str">
        <f t="shared" si="2"/>
        <v>10 - Oct</v>
      </c>
      <c r="E830" s="15" t="str">
        <f t="shared" si="3"/>
        <v>Mon</v>
      </c>
      <c r="F830" s="15">
        <f t="shared" si="4"/>
        <v>1</v>
      </c>
      <c r="G830" s="16">
        <v>42315.0</v>
      </c>
      <c r="H830" s="14">
        <f t="shared" si="5"/>
        <v>19</v>
      </c>
      <c r="I830" s="7" t="s">
        <v>399</v>
      </c>
      <c r="J830" s="7" t="s">
        <v>146</v>
      </c>
      <c r="K830" s="7" t="str">
        <f>VLOOKUP(J830,countries,2,false)</f>
        <v>Bosnia and Herzegovina</v>
      </c>
      <c r="L830" s="7" t="str">
        <f>VLOOKUP($J830,countries,5,false)</f>
        <v>Europe</v>
      </c>
      <c r="M830" s="7" t="str">
        <f>VLOOKUP($J830,countries,6,false)</f>
        <v>Southern Europe</v>
      </c>
      <c r="N830" s="7">
        <v>8681.0</v>
      </c>
      <c r="O830" s="7" t="str">
        <f>VLOOKUP(N830, products, 2, FALSE)</f>
        <v>Office Supplies</v>
      </c>
      <c r="P830" s="7" t="s">
        <v>334</v>
      </c>
      <c r="Q830" s="7">
        <v>5856.0</v>
      </c>
      <c r="R830" s="17">
        <v>651.21</v>
      </c>
      <c r="S830" s="17">
        <v>524.96</v>
      </c>
      <c r="U830" s="18">
        <f t="shared" si="6"/>
        <v>3813485.76</v>
      </c>
      <c r="V830" s="18">
        <f t="shared" si="7"/>
        <v>3074165.76</v>
      </c>
      <c r="W830" s="19">
        <f t="shared" si="8"/>
        <v>739320</v>
      </c>
    </row>
    <row r="831">
      <c r="A831" s="7">
        <v>6.40476596E8</v>
      </c>
      <c r="B831" s="12">
        <v>41933.0</v>
      </c>
      <c r="C831" s="7">
        <f t="shared" si="1"/>
        <v>2014</v>
      </c>
      <c r="D831" s="14" t="str">
        <f t="shared" si="2"/>
        <v>10 - Oct</v>
      </c>
      <c r="E831" s="15" t="str">
        <f t="shared" si="3"/>
        <v>Tue</v>
      </c>
      <c r="F831" s="15">
        <f t="shared" si="4"/>
        <v>2</v>
      </c>
      <c r="G831" s="16">
        <v>41936.0</v>
      </c>
      <c r="H831" s="14">
        <f t="shared" si="5"/>
        <v>3</v>
      </c>
      <c r="I831" s="7" t="s">
        <v>399</v>
      </c>
      <c r="J831" s="7" t="s">
        <v>381</v>
      </c>
      <c r="K831" s="7" t="str">
        <f>VLOOKUP(J831,countries,2,false)</f>
        <v>Iceland</v>
      </c>
      <c r="L831" s="7" t="str">
        <f>VLOOKUP($J831,countries,5,false)</f>
        <v>Europe</v>
      </c>
      <c r="M831" s="7" t="str">
        <f>VLOOKUP($J831,countries,6,false)</f>
        <v>Northern Europe</v>
      </c>
      <c r="N831" s="7">
        <v>4594.0</v>
      </c>
      <c r="O831" s="7" t="str">
        <f>VLOOKUP(N831, products, 2, FALSE)</f>
        <v>Fruits</v>
      </c>
      <c r="P831" s="7" t="s">
        <v>264</v>
      </c>
      <c r="Q831" s="7">
        <v>112.0</v>
      </c>
      <c r="R831" s="17">
        <v>9.33</v>
      </c>
      <c r="S831" s="17">
        <v>6.92</v>
      </c>
      <c r="U831" s="18">
        <f t="shared" si="6"/>
        <v>1044.96</v>
      </c>
      <c r="V831" s="18">
        <f t="shared" si="7"/>
        <v>775.04</v>
      </c>
      <c r="W831" s="19">
        <f t="shared" si="8"/>
        <v>269.92</v>
      </c>
    </row>
    <row r="832">
      <c r="A832" s="7">
        <v>6.41537463E8</v>
      </c>
      <c r="B832" s="12">
        <v>42310.0</v>
      </c>
      <c r="C832" s="7">
        <f t="shared" si="1"/>
        <v>2015</v>
      </c>
      <c r="D832" s="14" t="str">
        <f t="shared" si="2"/>
        <v>11 - Nov</v>
      </c>
      <c r="E832" s="15" t="str">
        <f t="shared" si="3"/>
        <v>Mon</v>
      </c>
      <c r="F832" s="15">
        <f t="shared" si="4"/>
        <v>1</v>
      </c>
      <c r="G832" s="16">
        <v>42352.0</v>
      </c>
      <c r="H832" s="14">
        <f t="shared" si="5"/>
        <v>42</v>
      </c>
      <c r="I832" s="7" t="s">
        <v>399</v>
      </c>
      <c r="J832" s="7" t="s">
        <v>165</v>
      </c>
      <c r="K832" s="7" t="str">
        <f>VLOOKUP(J832,countries,2,false)</f>
        <v>Bulgaria</v>
      </c>
      <c r="L832" s="7" t="str">
        <f>VLOOKUP($J832,countries,5,false)</f>
        <v>Europe</v>
      </c>
      <c r="M832" s="7" t="str">
        <f>VLOOKUP($J832,countries,6,false)</f>
        <v>Eastern Europe</v>
      </c>
      <c r="N832" s="7">
        <v>8681.0</v>
      </c>
      <c r="O832" s="7" t="str">
        <f>VLOOKUP(N832, products, 2, FALSE)</f>
        <v>Office Supplies</v>
      </c>
      <c r="P832" s="7" t="s">
        <v>264</v>
      </c>
      <c r="Q832" s="7">
        <v>4047.0</v>
      </c>
      <c r="R832" s="17">
        <v>651.21</v>
      </c>
      <c r="S832" s="17">
        <v>524.96</v>
      </c>
      <c r="U832" s="18">
        <f t="shared" si="6"/>
        <v>2635446.87</v>
      </c>
      <c r="V832" s="18">
        <f t="shared" si="7"/>
        <v>2124513.12</v>
      </c>
      <c r="W832" s="19">
        <f t="shared" si="8"/>
        <v>510933.75</v>
      </c>
    </row>
    <row r="833">
      <c r="A833" s="7">
        <v>6.42123687E8</v>
      </c>
      <c r="B833" s="12">
        <v>40688.0</v>
      </c>
      <c r="C833" s="7">
        <f t="shared" si="1"/>
        <v>2011</v>
      </c>
      <c r="D833" s="14" t="str">
        <f t="shared" si="2"/>
        <v>05 - May</v>
      </c>
      <c r="E833" s="15" t="str">
        <f t="shared" si="3"/>
        <v>Wed</v>
      </c>
      <c r="F833" s="15">
        <f t="shared" si="4"/>
        <v>3</v>
      </c>
      <c r="G833" s="16">
        <v>40693.0</v>
      </c>
      <c r="H833" s="14">
        <f t="shared" si="5"/>
        <v>5</v>
      </c>
      <c r="I833" s="7" t="s">
        <v>232</v>
      </c>
      <c r="J833" s="7" t="s">
        <v>328</v>
      </c>
      <c r="K833" s="7" t="str">
        <f>VLOOKUP(J833,countries,2,false)</f>
        <v>Greece</v>
      </c>
      <c r="L833" s="7" t="str">
        <f>VLOOKUP($J833,countries,5,false)</f>
        <v>Europe</v>
      </c>
      <c r="M833" s="7" t="str">
        <f>VLOOKUP($J833,countries,6,false)</f>
        <v>Southern Europe</v>
      </c>
      <c r="N833" s="7">
        <v>1270.0</v>
      </c>
      <c r="O833" s="7" t="str">
        <f>VLOOKUP(N833, products, 2, FALSE)</f>
        <v>Beverages</v>
      </c>
      <c r="P833" s="7" t="s">
        <v>264</v>
      </c>
      <c r="Q833" s="7">
        <v>7523.0</v>
      </c>
      <c r="R833" s="17">
        <v>47.45</v>
      </c>
      <c r="S833" s="17">
        <v>31.79</v>
      </c>
      <c r="U833" s="18">
        <f t="shared" si="6"/>
        <v>356966.35</v>
      </c>
      <c r="V833" s="18">
        <f t="shared" si="7"/>
        <v>239156.17</v>
      </c>
      <c r="W833" s="19">
        <f t="shared" si="8"/>
        <v>117810.18</v>
      </c>
    </row>
    <row r="834">
      <c r="A834" s="7">
        <v>6.4295367E8</v>
      </c>
      <c r="B834" s="12">
        <v>42304.0</v>
      </c>
      <c r="C834" s="7">
        <f t="shared" si="1"/>
        <v>2015</v>
      </c>
      <c r="D834" s="14" t="str">
        <f t="shared" si="2"/>
        <v>10 - Oct</v>
      </c>
      <c r="E834" s="15" t="str">
        <f t="shared" si="3"/>
        <v>Tue</v>
      </c>
      <c r="F834" s="15">
        <f t="shared" si="4"/>
        <v>2</v>
      </c>
      <c r="G834" s="16">
        <v>42347.0</v>
      </c>
      <c r="H834" s="14">
        <f t="shared" si="5"/>
        <v>43</v>
      </c>
      <c r="I834" s="7" t="s">
        <v>232</v>
      </c>
      <c r="J834" s="7" t="s">
        <v>546</v>
      </c>
      <c r="K834" s="7" t="str">
        <f>VLOOKUP(J834,countries,2,false)</f>
        <v>Netherlands</v>
      </c>
      <c r="L834" s="7" t="str">
        <f>VLOOKUP($J834,countries,5,false)</f>
        <v>Europe</v>
      </c>
      <c r="M834" s="7" t="str">
        <f>VLOOKUP($J834,countries,6,false)</f>
        <v>Western Europe</v>
      </c>
      <c r="N834" s="7">
        <v>1270.0</v>
      </c>
      <c r="O834" s="7" t="str">
        <f>VLOOKUP(N834, products, 2, FALSE)</f>
        <v>Beverages</v>
      </c>
      <c r="P834" s="7" t="s">
        <v>334</v>
      </c>
      <c r="Q834" s="7">
        <v>3134.0</v>
      </c>
      <c r="R834" s="17">
        <v>47.45</v>
      </c>
      <c r="S834" s="17">
        <v>31.79</v>
      </c>
      <c r="U834" s="18">
        <f t="shared" si="6"/>
        <v>148708.3</v>
      </c>
      <c r="V834" s="18">
        <f t="shared" si="7"/>
        <v>99629.86</v>
      </c>
      <c r="W834" s="19">
        <f t="shared" si="8"/>
        <v>49078.44</v>
      </c>
    </row>
    <row r="835">
      <c r="A835" s="7">
        <v>6.43027484E8</v>
      </c>
      <c r="B835" s="12">
        <v>40674.0</v>
      </c>
      <c r="C835" s="7">
        <f t="shared" si="1"/>
        <v>2011</v>
      </c>
      <c r="D835" s="14" t="str">
        <f t="shared" si="2"/>
        <v>05 - May</v>
      </c>
      <c r="E835" s="15" t="str">
        <f t="shared" si="3"/>
        <v>Wed</v>
      </c>
      <c r="F835" s="15">
        <f t="shared" si="4"/>
        <v>3</v>
      </c>
      <c r="G835" s="16">
        <v>40681.0</v>
      </c>
      <c r="H835" s="14">
        <f t="shared" si="5"/>
        <v>7</v>
      </c>
      <c r="I835" s="7" t="s">
        <v>399</v>
      </c>
      <c r="J835" s="7" t="s">
        <v>381</v>
      </c>
      <c r="K835" s="7" t="str">
        <f>VLOOKUP(J835,countries,2,false)</f>
        <v>Iceland</v>
      </c>
      <c r="L835" s="7" t="str">
        <f>VLOOKUP($J835,countries,5,false)</f>
        <v>Europe</v>
      </c>
      <c r="M835" s="7" t="str">
        <f>VLOOKUP($J835,countries,6,false)</f>
        <v>Northern Europe</v>
      </c>
      <c r="N835" s="7">
        <v>8875.0</v>
      </c>
      <c r="O835" s="7" t="str">
        <f>VLOOKUP(N835, products, 2, FALSE)</f>
        <v>Meat</v>
      </c>
      <c r="P835" s="7" t="s">
        <v>264</v>
      </c>
      <c r="Q835" s="7">
        <v>4977.0</v>
      </c>
      <c r="R835" s="17">
        <v>421.89</v>
      </c>
      <c r="S835" s="17">
        <v>364.69</v>
      </c>
      <c r="U835" s="18">
        <f t="shared" si="6"/>
        <v>2099746.53</v>
      </c>
      <c r="V835" s="18">
        <f t="shared" si="7"/>
        <v>1815062.13</v>
      </c>
      <c r="W835" s="19">
        <f t="shared" si="8"/>
        <v>284684.4</v>
      </c>
    </row>
    <row r="836">
      <c r="A836" s="7">
        <v>6.43259227E8</v>
      </c>
      <c r="B836" s="12">
        <v>41025.0</v>
      </c>
      <c r="C836" s="7">
        <f t="shared" si="1"/>
        <v>2012</v>
      </c>
      <c r="D836" s="14" t="str">
        <f t="shared" si="2"/>
        <v>04 - Apr</v>
      </c>
      <c r="E836" s="15" t="str">
        <f t="shared" si="3"/>
        <v>Thu</v>
      </c>
      <c r="F836" s="15">
        <f t="shared" si="4"/>
        <v>4</v>
      </c>
      <c r="G836" s="16">
        <v>41025.0</v>
      </c>
      <c r="H836" s="14">
        <f t="shared" si="5"/>
        <v>0</v>
      </c>
      <c r="I836" s="7" t="s">
        <v>364</v>
      </c>
      <c r="J836" s="7" t="s">
        <v>720</v>
      </c>
      <c r="K836" s="7" t="str">
        <f>VLOOKUP(J836,countries,2,false)</f>
        <v>Switzerland</v>
      </c>
      <c r="L836" s="7" t="str">
        <f>VLOOKUP($J836,countries,5,false)</f>
        <v>Europe</v>
      </c>
      <c r="M836" s="7" t="str">
        <f>VLOOKUP($J836,countries,6,false)</f>
        <v>Western Europe</v>
      </c>
      <c r="N836" s="7">
        <v>8875.0</v>
      </c>
      <c r="O836" s="7" t="str">
        <f>VLOOKUP(N836, products, 2, FALSE)</f>
        <v>Meat</v>
      </c>
      <c r="P836" s="7" t="s">
        <v>334</v>
      </c>
      <c r="Q836" s="7">
        <v>3555.0</v>
      </c>
      <c r="R836" s="17">
        <v>421.89</v>
      </c>
      <c r="S836" s="17">
        <v>364.69</v>
      </c>
      <c r="U836" s="18">
        <f t="shared" si="6"/>
        <v>1499818.95</v>
      </c>
      <c r="V836" s="18">
        <f t="shared" si="7"/>
        <v>1296472.95</v>
      </c>
      <c r="W836" s="19">
        <f t="shared" si="8"/>
        <v>203346</v>
      </c>
    </row>
    <row r="837">
      <c r="A837" s="7">
        <v>6.43448483E8</v>
      </c>
      <c r="B837" s="12">
        <v>42925.0</v>
      </c>
      <c r="C837" s="7">
        <f t="shared" si="1"/>
        <v>2017</v>
      </c>
      <c r="D837" s="14" t="str">
        <f t="shared" si="2"/>
        <v>07 - Jul</v>
      </c>
      <c r="E837" s="15" t="str">
        <f t="shared" si="3"/>
        <v>Sun</v>
      </c>
      <c r="F837" s="15">
        <f t="shared" si="4"/>
        <v>7</v>
      </c>
      <c r="G837" s="16">
        <v>42941.0</v>
      </c>
      <c r="H837" s="14">
        <f t="shared" si="5"/>
        <v>16</v>
      </c>
      <c r="I837" s="7" t="s">
        <v>364</v>
      </c>
      <c r="J837" s="7" t="s">
        <v>328</v>
      </c>
      <c r="K837" s="7" t="str">
        <f>VLOOKUP(J837,countries,2,false)</f>
        <v>Greece</v>
      </c>
      <c r="L837" s="7" t="str">
        <f>VLOOKUP($J837,countries,5,false)</f>
        <v>Europe</v>
      </c>
      <c r="M837" s="7" t="str">
        <f>VLOOKUP($J837,countries,6,false)</f>
        <v>Southern Europe</v>
      </c>
      <c r="N837" s="7">
        <v>4594.0</v>
      </c>
      <c r="O837" s="7" t="str">
        <f>VLOOKUP(N837, products, 2, FALSE)</f>
        <v>Fruits</v>
      </c>
      <c r="P837" s="7" t="s">
        <v>264</v>
      </c>
      <c r="Q837" s="7">
        <v>9560.0</v>
      </c>
      <c r="R837" s="17">
        <v>9.33</v>
      </c>
      <c r="S837" s="17">
        <v>6.92</v>
      </c>
      <c r="U837" s="18">
        <f t="shared" si="6"/>
        <v>89194.8</v>
      </c>
      <c r="V837" s="18">
        <f t="shared" si="7"/>
        <v>66155.2</v>
      </c>
      <c r="W837" s="19">
        <f t="shared" si="8"/>
        <v>23039.6</v>
      </c>
    </row>
    <row r="838">
      <c r="A838" s="7">
        <v>6.43770778E8</v>
      </c>
      <c r="B838" s="12">
        <v>42209.0</v>
      </c>
      <c r="C838" s="7">
        <f t="shared" si="1"/>
        <v>2015</v>
      </c>
      <c r="D838" s="14" t="str">
        <f t="shared" si="2"/>
        <v>07 - Jul</v>
      </c>
      <c r="E838" s="15" t="str">
        <f t="shared" si="3"/>
        <v>Fri</v>
      </c>
      <c r="F838" s="15">
        <f t="shared" si="4"/>
        <v>5</v>
      </c>
      <c r="G838" s="16">
        <v>42216.0</v>
      </c>
      <c r="H838" s="14">
        <f t="shared" si="5"/>
        <v>7</v>
      </c>
      <c r="I838" s="7" t="s">
        <v>364</v>
      </c>
      <c r="J838" s="7" t="s">
        <v>316</v>
      </c>
      <c r="K838" s="7" t="str">
        <f>VLOOKUP(J838,countries,2,false)</f>
        <v>Georgia</v>
      </c>
      <c r="L838" s="7" t="str">
        <f>VLOOKUP($J838,countries,5,false)</f>
        <v>Asia</v>
      </c>
      <c r="M838" s="7" t="str">
        <f>VLOOKUP($J838,countries,6,false)</f>
        <v>Western Asia</v>
      </c>
      <c r="N838" s="7">
        <v>3127.0</v>
      </c>
      <c r="O838" s="7" t="str">
        <f>VLOOKUP(N838, products, 2, FALSE)</f>
        <v>Personal Care</v>
      </c>
      <c r="P838" s="7" t="s">
        <v>334</v>
      </c>
      <c r="Q838" s="7">
        <v>4934.0</v>
      </c>
      <c r="R838" s="17">
        <v>81.73</v>
      </c>
      <c r="S838" s="17">
        <v>56.67</v>
      </c>
      <c r="U838" s="18">
        <f t="shared" si="6"/>
        <v>403255.82</v>
      </c>
      <c r="V838" s="18">
        <f t="shared" si="7"/>
        <v>279609.78</v>
      </c>
      <c r="W838" s="19">
        <f t="shared" si="8"/>
        <v>123646.04</v>
      </c>
    </row>
    <row r="839">
      <c r="A839" s="7">
        <v>6.44592607E8</v>
      </c>
      <c r="B839" s="12">
        <v>42557.0</v>
      </c>
      <c r="C839" s="7">
        <f t="shared" si="1"/>
        <v>2016</v>
      </c>
      <c r="D839" s="14" t="str">
        <f t="shared" si="2"/>
        <v>07 - Jul</v>
      </c>
      <c r="E839" s="15" t="str">
        <f t="shared" si="3"/>
        <v>Wed</v>
      </c>
      <c r="F839" s="15">
        <f t="shared" si="4"/>
        <v>3</v>
      </c>
      <c r="G839" s="16">
        <v>42582.0</v>
      </c>
      <c r="H839" s="14">
        <f t="shared" si="5"/>
        <v>25</v>
      </c>
      <c r="I839" s="7" t="s">
        <v>399</v>
      </c>
      <c r="J839" s="7" t="s">
        <v>120</v>
      </c>
      <c r="K839" s="7" t="str">
        <f>VLOOKUP(J839,countries,2,false)</f>
        <v>Belarus</v>
      </c>
      <c r="L839" s="7" t="str">
        <f>VLOOKUP($J839,countries,5,false)</f>
        <v>Europe</v>
      </c>
      <c r="M839" s="7" t="str">
        <f>VLOOKUP($J839,countries,6,false)</f>
        <v>Eastern Europe</v>
      </c>
      <c r="N839" s="7">
        <v>8681.0</v>
      </c>
      <c r="O839" s="7" t="str">
        <f>VLOOKUP(N839, products, 2, FALSE)</f>
        <v>Office Supplies</v>
      </c>
      <c r="P839" s="7" t="s">
        <v>334</v>
      </c>
      <c r="Q839" s="7">
        <v>8131.0</v>
      </c>
      <c r="R839" s="17">
        <v>651.21</v>
      </c>
      <c r="S839" s="17">
        <v>524.96</v>
      </c>
      <c r="U839" s="18">
        <f t="shared" si="6"/>
        <v>5294988.51</v>
      </c>
      <c r="V839" s="18">
        <f t="shared" si="7"/>
        <v>4268449.76</v>
      </c>
      <c r="W839" s="19">
        <f t="shared" si="8"/>
        <v>1026538.75</v>
      </c>
    </row>
    <row r="840">
      <c r="A840" s="7">
        <v>6.45111024E8</v>
      </c>
      <c r="B840" s="12">
        <v>42625.0</v>
      </c>
      <c r="C840" s="7">
        <f t="shared" si="1"/>
        <v>2016</v>
      </c>
      <c r="D840" s="14" t="str">
        <f t="shared" si="2"/>
        <v>09 - Sep</v>
      </c>
      <c r="E840" s="15" t="str">
        <f t="shared" si="3"/>
        <v>Mon</v>
      </c>
      <c r="F840" s="15">
        <f t="shared" si="4"/>
        <v>1</v>
      </c>
      <c r="G840" s="16">
        <v>42639.0</v>
      </c>
      <c r="H840" s="14">
        <f t="shared" si="5"/>
        <v>14</v>
      </c>
      <c r="I840" s="7" t="s">
        <v>305</v>
      </c>
      <c r="J840" s="7" t="s">
        <v>328</v>
      </c>
      <c r="K840" s="7" t="str">
        <f>VLOOKUP(J840,countries,2,false)</f>
        <v>Greece</v>
      </c>
      <c r="L840" s="7" t="str">
        <f>VLOOKUP($J840,countries,5,false)</f>
        <v>Europe</v>
      </c>
      <c r="M840" s="7" t="str">
        <f>VLOOKUP($J840,countries,6,false)</f>
        <v>Southern Europe</v>
      </c>
      <c r="N840" s="7">
        <v>8875.0</v>
      </c>
      <c r="O840" s="7" t="str">
        <f>VLOOKUP(N840, products, 2, FALSE)</f>
        <v>Meat</v>
      </c>
      <c r="P840" s="7" t="s">
        <v>334</v>
      </c>
      <c r="Q840" s="7">
        <v>1543.0</v>
      </c>
      <c r="R840" s="17">
        <v>421.89</v>
      </c>
      <c r="S840" s="17">
        <v>364.69</v>
      </c>
      <c r="U840" s="18">
        <f t="shared" si="6"/>
        <v>650976.27</v>
      </c>
      <c r="V840" s="18">
        <f t="shared" si="7"/>
        <v>562716.67</v>
      </c>
      <c r="W840" s="19">
        <f t="shared" si="8"/>
        <v>88259.6</v>
      </c>
    </row>
    <row r="841">
      <c r="A841" s="7">
        <v>6.45309722E8</v>
      </c>
      <c r="B841" s="12">
        <v>42644.0</v>
      </c>
      <c r="C841" s="7">
        <f t="shared" si="1"/>
        <v>2016</v>
      </c>
      <c r="D841" s="14" t="str">
        <f t="shared" si="2"/>
        <v>10 - Oct</v>
      </c>
      <c r="E841" s="15" t="str">
        <f t="shared" si="3"/>
        <v>Sat</v>
      </c>
      <c r="F841" s="15">
        <f t="shared" si="4"/>
        <v>6</v>
      </c>
      <c r="G841" s="16">
        <v>42680.0</v>
      </c>
      <c r="H841" s="14">
        <f t="shared" si="5"/>
        <v>36</v>
      </c>
      <c r="I841" s="7" t="s">
        <v>305</v>
      </c>
      <c r="J841" s="7" t="s">
        <v>90</v>
      </c>
      <c r="K841" s="7" t="str">
        <f>VLOOKUP(J841,countries,2,false)</f>
        <v>Armenia</v>
      </c>
      <c r="L841" s="7" t="str">
        <f>VLOOKUP($J841,countries,5,false)</f>
        <v>Asia</v>
      </c>
      <c r="M841" s="7" t="str">
        <f>VLOOKUP($J841,countries,6,false)</f>
        <v>Western Asia</v>
      </c>
      <c r="N841" s="7">
        <v>8875.0</v>
      </c>
      <c r="O841" s="7" t="str">
        <f>VLOOKUP(N841, products, 2, FALSE)</f>
        <v>Meat</v>
      </c>
      <c r="P841" s="7" t="s">
        <v>334</v>
      </c>
      <c r="Q841" s="7">
        <v>342.0</v>
      </c>
      <c r="R841" s="17">
        <v>421.89</v>
      </c>
      <c r="S841" s="17">
        <v>364.69</v>
      </c>
      <c r="U841" s="18">
        <f t="shared" si="6"/>
        <v>144286.38</v>
      </c>
      <c r="V841" s="18">
        <f t="shared" si="7"/>
        <v>124723.98</v>
      </c>
      <c r="W841" s="19">
        <f t="shared" si="8"/>
        <v>19562.4</v>
      </c>
    </row>
    <row r="842">
      <c r="A842" s="7">
        <v>6.45701968E8</v>
      </c>
      <c r="B842" s="12">
        <v>41445.0</v>
      </c>
      <c r="C842" s="7">
        <f t="shared" si="1"/>
        <v>2013</v>
      </c>
      <c r="D842" s="14" t="str">
        <f t="shared" si="2"/>
        <v>06 - Jun</v>
      </c>
      <c r="E842" s="15" t="str">
        <f t="shared" si="3"/>
        <v>Thu</v>
      </c>
      <c r="F842" s="15">
        <f t="shared" si="4"/>
        <v>4</v>
      </c>
      <c r="G842" s="16">
        <v>41476.0</v>
      </c>
      <c r="H842" s="14">
        <f t="shared" si="5"/>
        <v>31</v>
      </c>
      <c r="I842" s="7" t="s">
        <v>364</v>
      </c>
      <c r="J842" s="7" t="s">
        <v>233</v>
      </c>
      <c r="K842" s="7" t="str">
        <f>VLOOKUP(J842,countries,2,false)</f>
        <v>Norway</v>
      </c>
      <c r="L842" s="7" t="str">
        <f>VLOOKUP($J842,countries,5,false)</f>
        <v>Europe</v>
      </c>
      <c r="M842" s="7" t="str">
        <f>VLOOKUP($J842,countries,6,false)</f>
        <v>Northern Europe</v>
      </c>
      <c r="N842" s="7">
        <v>2103.0</v>
      </c>
      <c r="O842" s="7" t="str">
        <f>VLOOKUP(N842, products, 2, FALSE)</f>
        <v>Cereal</v>
      </c>
      <c r="P842" s="7" t="s">
        <v>334</v>
      </c>
      <c r="Q842" s="7">
        <v>6416.0</v>
      </c>
      <c r="R842" s="17">
        <v>205.7</v>
      </c>
      <c r="S842" s="17">
        <v>117.11</v>
      </c>
      <c r="U842" s="18">
        <f t="shared" si="6"/>
        <v>1319771.2</v>
      </c>
      <c r="V842" s="18">
        <f t="shared" si="7"/>
        <v>751377.76</v>
      </c>
      <c r="W842" s="19">
        <f t="shared" si="8"/>
        <v>568393.44</v>
      </c>
    </row>
    <row r="843">
      <c r="A843" s="7">
        <v>6.45956456E8</v>
      </c>
      <c r="B843" s="12">
        <v>42420.0</v>
      </c>
      <c r="C843" s="7">
        <f t="shared" si="1"/>
        <v>2016</v>
      </c>
      <c r="D843" s="14" t="str">
        <f t="shared" si="2"/>
        <v>02 - Feb</v>
      </c>
      <c r="E843" s="15" t="str">
        <f t="shared" si="3"/>
        <v>Sat</v>
      </c>
      <c r="F843" s="15">
        <f t="shared" si="4"/>
        <v>6</v>
      </c>
      <c r="G843" s="16">
        <v>42468.0</v>
      </c>
      <c r="H843" s="14">
        <f t="shared" si="5"/>
        <v>48</v>
      </c>
      <c r="I843" s="7" t="s">
        <v>399</v>
      </c>
      <c r="J843" s="7" t="s">
        <v>608</v>
      </c>
      <c r="K843" s="7" t="str">
        <f>VLOOKUP(J843,countries,2,false)</f>
        <v>Poland</v>
      </c>
      <c r="L843" s="7" t="str">
        <f>VLOOKUP($J843,countries,5,false)</f>
        <v>Europe</v>
      </c>
      <c r="M843" s="7" t="str">
        <f>VLOOKUP($J843,countries,6,false)</f>
        <v>Eastern Europe</v>
      </c>
      <c r="N843" s="7">
        <v>7331.0</v>
      </c>
      <c r="O843" s="7" t="str">
        <f>VLOOKUP(N843, products, 2, FALSE)</f>
        <v>Baby Food</v>
      </c>
      <c r="P843" s="7" t="s">
        <v>334</v>
      </c>
      <c r="Q843" s="7">
        <v>1725.0</v>
      </c>
      <c r="R843" s="17">
        <v>255.28</v>
      </c>
      <c r="S843" s="17">
        <v>159.42</v>
      </c>
      <c r="U843" s="18">
        <f t="shared" si="6"/>
        <v>440358</v>
      </c>
      <c r="V843" s="18">
        <f t="shared" si="7"/>
        <v>274999.5</v>
      </c>
      <c r="W843" s="19">
        <f t="shared" si="8"/>
        <v>165358.5</v>
      </c>
    </row>
    <row r="844">
      <c r="A844" s="7">
        <v>6.46691596E8</v>
      </c>
      <c r="B844" s="12">
        <v>42688.0</v>
      </c>
      <c r="C844" s="7">
        <f t="shared" si="1"/>
        <v>2016</v>
      </c>
      <c r="D844" s="14" t="str">
        <f t="shared" si="2"/>
        <v>11 - Nov</v>
      </c>
      <c r="E844" s="15" t="str">
        <f t="shared" si="3"/>
        <v>Mon</v>
      </c>
      <c r="F844" s="15">
        <f t="shared" si="4"/>
        <v>1</v>
      </c>
      <c r="G844" s="16">
        <v>42717.0</v>
      </c>
      <c r="H844" s="14">
        <f t="shared" si="5"/>
        <v>29</v>
      </c>
      <c r="I844" s="7" t="s">
        <v>399</v>
      </c>
      <c r="J844" s="7" t="s">
        <v>101</v>
      </c>
      <c r="K844" s="7" t="str">
        <f>VLOOKUP(J844,countries,2,false)</f>
        <v>Austria</v>
      </c>
      <c r="L844" s="7" t="str">
        <f>VLOOKUP($J844,countries,5,false)</f>
        <v>Europe</v>
      </c>
      <c r="M844" s="7" t="str">
        <f>VLOOKUP($J844,countries,6,false)</f>
        <v>Western Europe</v>
      </c>
      <c r="N844" s="7">
        <v>1270.0</v>
      </c>
      <c r="O844" s="7" t="str">
        <f>VLOOKUP(N844, products, 2, FALSE)</f>
        <v>Beverages</v>
      </c>
      <c r="P844" s="7" t="s">
        <v>264</v>
      </c>
      <c r="Q844" s="7">
        <v>9269.0</v>
      </c>
      <c r="R844" s="17">
        <v>47.45</v>
      </c>
      <c r="S844" s="17">
        <v>31.79</v>
      </c>
      <c r="U844" s="18">
        <f t="shared" si="6"/>
        <v>439814.05</v>
      </c>
      <c r="V844" s="18">
        <f t="shared" si="7"/>
        <v>294661.51</v>
      </c>
      <c r="W844" s="19">
        <f t="shared" si="8"/>
        <v>145152.54</v>
      </c>
    </row>
    <row r="845">
      <c r="A845" s="7">
        <v>6.46981704E8</v>
      </c>
      <c r="B845" s="12">
        <v>40464.0</v>
      </c>
      <c r="C845" s="7">
        <f t="shared" si="1"/>
        <v>2010</v>
      </c>
      <c r="D845" s="14" t="str">
        <f t="shared" si="2"/>
        <v>10 - Oct</v>
      </c>
      <c r="E845" s="15" t="str">
        <f t="shared" si="3"/>
        <v>Wed</v>
      </c>
      <c r="F845" s="15">
        <f t="shared" si="4"/>
        <v>3</v>
      </c>
      <c r="G845" s="16">
        <v>40505.0</v>
      </c>
      <c r="H845" s="14">
        <f t="shared" si="5"/>
        <v>41</v>
      </c>
      <c r="I845" s="7" t="s">
        <v>232</v>
      </c>
      <c r="J845" s="7" t="s">
        <v>293</v>
      </c>
      <c r="K845" s="7" t="str">
        <f>VLOOKUP(J845,countries,2,false)</f>
        <v>Finland</v>
      </c>
      <c r="L845" s="7" t="str">
        <f>VLOOKUP($J845,countries,5,false)</f>
        <v>Europe</v>
      </c>
      <c r="M845" s="7" t="str">
        <f>VLOOKUP($J845,countries,6,false)</f>
        <v>Northern Europe</v>
      </c>
      <c r="N845" s="7">
        <v>7331.0</v>
      </c>
      <c r="O845" s="7" t="str">
        <f>VLOOKUP(N845, products, 2, FALSE)</f>
        <v>Baby Food</v>
      </c>
      <c r="P845" s="7" t="s">
        <v>264</v>
      </c>
      <c r="Q845" s="7">
        <v>5118.0</v>
      </c>
      <c r="R845" s="17">
        <v>255.28</v>
      </c>
      <c r="S845" s="17">
        <v>159.42</v>
      </c>
      <c r="U845" s="18">
        <f t="shared" si="6"/>
        <v>1306523.04</v>
      </c>
      <c r="V845" s="18">
        <f t="shared" si="7"/>
        <v>815911.56</v>
      </c>
      <c r="W845" s="19">
        <f t="shared" si="8"/>
        <v>490611.48</v>
      </c>
    </row>
    <row r="846">
      <c r="A846" s="7">
        <v>6.47943866E8</v>
      </c>
      <c r="B846" s="12">
        <v>40640.0</v>
      </c>
      <c r="C846" s="7">
        <f t="shared" si="1"/>
        <v>2011</v>
      </c>
      <c r="D846" s="14" t="str">
        <f t="shared" si="2"/>
        <v>04 - Apr</v>
      </c>
      <c r="E846" s="15" t="str">
        <f t="shared" si="3"/>
        <v>Thu</v>
      </c>
      <c r="F846" s="15">
        <f t="shared" si="4"/>
        <v>4</v>
      </c>
      <c r="G846" s="16">
        <v>40651.0</v>
      </c>
      <c r="H846" s="14">
        <f t="shared" si="5"/>
        <v>11</v>
      </c>
      <c r="I846" s="7" t="s">
        <v>232</v>
      </c>
      <c r="J846" s="7" t="s">
        <v>41</v>
      </c>
      <c r="K846" s="7" t="str">
        <f>VLOOKUP(J846,countries,2,false)</f>
        <v>Albania</v>
      </c>
      <c r="L846" s="7" t="str">
        <f>VLOOKUP($J846,countries,5,false)</f>
        <v>Europe</v>
      </c>
      <c r="M846" s="7" t="str">
        <f>VLOOKUP($J846,countries,6,false)</f>
        <v>Southern Europe</v>
      </c>
      <c r="N846" s="7">
        <v>2455.0</v>
      </c>
      <c r="O846" s="7" t="str">
        <f>VLOOKUP(N846, products, 2, FALSE)</f>
        <v>Clothes</v>
      </c>
      <c r="P846" s="7" t="s">
        <v>264</v>
      </c>
      <c r="Q846" s="7">
        <v>9843.0</v>
      </c>
      <c r="R846" s="17">
        <v>109.28</v>
      </c>
      <c r="S846" s="17">
        <v>35.84</v>
      </c>
      <c r="U846" s="18">
        <f t="shared" si="6"/>
        <v>1075643.04</v>
      </c>
      <c r="V846" s="18">
        <f t="shared" si="7"/>
        <v>352773.12</v>
      </c>
      <c r="W846" s="19">
        <f t="shared" si="8"/>
        <v>722869.92</v>
      </c>
    </row>
    <row r="847">
      <c r="A847" s="7">
        <v>6.50078475E8</v>
      </c>
      <c r="B847" s="12">
        <v>40338.0</v>
      </c>
      <c r="C847" s="7">
        <f t="shared" si="1"/>
        <v>2010</v>
      </c>
      <c r="D847" s="14" t="str">
        <f t="shared" si="2"/>
        <v>06 - Jun</v>
      </c>
      <c r="E847" s="15" t="str">
        <f t="shared" si="3"/>
        <v>Wed</v>
      </c>
      <c r="F847" s="15">
        <f t="shared" si="4"/>
        <v>3</v>
      </c>
      <c r="G847" s="16">
        <v>40347.0</v>
      </c>
      <c r="H847" s="14">
        <f t="shared" si="5"/>
        <v>9</v>
      </c>
      <c r="I847" s="7" t="s">
        <v>399</v>
      </c>
      <c r="J847" s="7" t="s">
        <v>229</v>
      </c>
      <c r="K847" s="7" t="str">
        <f>VLOOKUP(J847,countries,2,false)</f>
        <v>Croatia</v>
      </c>
      <c r="L847" s="7" t="str">
        <f>VLOOKUP($J847,countries,5,false)</f>
        <v>Europe</v>
      </c>
      <c r="M847" s="7" t="str">
        <f>VLOOKUP($J847,countries,6,false)</f>
        <v>Southern Europe</v>
      </c>
      <c r="N847" s="7">
        <v>8681.0</v>
      </c>
      <c r="O847" s="7" t="str">
        <f>VLOOKUP(N847, products, 2, FALSE)</f>
        <v>Office Supplies</v>
      </c>
      <c r="P847" s="7" t="s">
        <v>264</v>
      </c>
      <c r="Q847" s="7">
        <v>1522.0</v>
      </c>
      <c r="R847" s="17">
        <v>651.21</v>
      </c>
      <c r="S847" s="17">
        <v>524.96</v>
      </c>
      <c r="U847" s="18">
        <f t="shared" si="6"/>
        <v>991141.62</v>
      </c>
      <c r="V847" s="18">
        <f t="shared" si="7"/>
        <v>798989.12</v>
      </c>
      <c r="W847" s="19">
        <f t="shared" si="8"/>
        <v>192152.5</v>
      </c>
    </row>
    <row r="848">
      <c r="A848" s="7">
        <v>6.50208079E8</v>
      </c>
      <c r="B848" s="12">
        <v>42429.0</v>
      </c>
      <c r="C848" s="7">
        <f t="shared" si="1"/>
        <v>2016</v>
      </c>
      <c r="D848" s="14" t="str">
        <f t="shared" si="2"/>
        <v>02 - Feb</v>
      </c>
      <c r="E848" s="15" t="str">
        <f t="shared" si="3"/>
        <v>Mon</v>
      </c>
      <c r="F848" s="15">
        <f t="shared" si="4"/>
        <v>1</v>
      </c>
      <c r="G848" s="16">
        <v>42448.0</v>
      </c>
      <c r="H848" s="14">
        <f t="shared" si="5"/>
        <v>19</v>
      </c>
      <c r="I848" s="7" t="s">
        <v>399</v>
      </c>
      <c r="J848" s="7" t="s">
        <v>274</v>
      </c>
      <c r="K848" s="7" t="str">
        <f>VLOOKUP(J848,countries,2,false)</f>
        <v>Estonia</v>
      </c>
      <c r="L848" s="7" t="str">
        <f>VLOOKUP($J848,countries,5,false)</f>
        <v>Europe</v>
      </c>
      <c r="M848" s="7" t="str">
        <f>VLOOKUP($J848,countries,6,false)</f>
        <v>Northern Europe</v>
      </c>
      <c r="N848" s="7">
        <v>1270.0</v>
      </c>
      <c r="O848" s="7" t="str">
        <f>VLOOKUP(N848, products, 2, FALSE)</f>
        <v>Beverages</v>
      </c>
      <c r="P848" s="7" t="s">
        <v>264</v>
      </c>
      <c r="Q848" s="7">
        <v>9875.0</v>
      </c>
      <c r="R848" s="17">
        <v>47.45</v>
      </c>
      <c r="S848" s="17">
        <v>31.79</v>
      </c>
      <c r="U848" s="18">
        <f t="shared" si="6"/>
        <v>468568.75</v>
      </c>
      <c r="V848" s="18">
        <f t="shared" si="7"/>
        <v>313926.25</v>
      </c>
      <c r="W848" s="19">
        <f t="shared" si="8"/>
        <v>154642.5</v>
      </c>
    </row>
    <row r="849">
      <c r="A849" s="7">
        <v>6.51247489E8</v>
      </c>
      <c r="B849" s="12">
        <v>41801.0</v>
      </c>
      <c r="C849" s="7">
        <f t="shared" si="1"/>
        <v>2014</v>
      </c>
      <c r="D849" s="14" t="str">
        <f t="shared" si="2"/>
        <v>06 - Jun</v>
      </c>
      <c r="E849" s="15" t="str">
        <f t="shared" si="3"/>
        <v>Wed</v>
      </c>
      <c r="F849" s="15">
        <f t="shared" si="4"/>
        <v>3</v>
      </c>
      <c r="G849" s="16">
        <v>41822.0</v>
      </c>
      <c r="H849" s="14">
        <f t="shared" si="5"/>
        <v>21</v>
      </c>
      <c r="I849" s="7" t="s">
        <v>305</v>
      </c>
      <c r="J849" s="7" t="s">
        <v>165</v>
      </c>
      <c r="K849" s="7" t="str">
        <f>VLOOKUP(J849,countries,2,false)</f>
        <v>Bulgaria</v>
      </c>
      <c r="L849" s="7" t="str">
        <f>VLOOKUP($J849,countries,5,false)</f>
        <v>Europe</v>
      </c>
      <c r="M849" s="7" t="str">
        <f>VLOOKUP($J849,countries,6,false)</f>
        <v>Eastern Europe</v>
      </c>
      <c r="N849" s="7">
        <v>5988.0</v>
      </c>
      <c r="O849" s="7" t="str">
        <f>VLOOKUP(N849, products, 2, FALSE)</f>
        <v>Vegetables</v>
      </c>
      <c r="P849" s="7" t="s">
        <v>334</v>
      </c>
      <c r="Q849" s="7">
        <v>7459.0</v>
      </c>
      <c r="R849" s="17">
        <v>154.06</v>
      </c>
      <c r="S849" s="17">
        <v>90.93</v>
      </c>
      <c r="U849" s="18">
        <f t="shared" si="6"/>
        <v>1149133.54</v>
      </c>
      <c r="V849" s="18">
        <f t="shared" si="7"/>
        <v>678246.87</v>
      </c>
      <c r="W849" s="19">
        <f t="shared" si="8"/>
        <v>470886.67</v>
      </c>
    </row>
    <row r="850">
      <c r="A850" s="7">
        <v>6.51895511E8</v>
      </c>
      <c r="B850" s="12">
        <v>41194.0</v>
      </c>
      <c r="C850" s="7">
        <f t="shared" si="1"/>
        <v>2012</v>
      </c>
      <c r="D850" s="14" t="str">
        <f t="shared" si="2"/>
        <v>10 - Oct</v>
      </c>
      <c r="E850" s="15" t="str">
        <f t="shared" si="3"/>
        <v>Fri</v>
      </c>
      <c r="F850" s="15">
        <f t="shared" si="4"/>
        <v>5</v>
      </c>
      <c r="G850" s="16">
        <v>41214.0</v>
      </c>
      <c r="H850" s="14">
        <f t="shared" si="5"/>
        <v>20</v>
      </c>
      <c r="I850" s="7" t="s">
        <v>364</v>
      </c>
      <c r="J850" s="7" t="s">
        <v>462</v>
      </c>
      <c r="K850" s="7" t="str">
        <f>VLOOKUP(J850,countries,2,false)</f>
        <v>Liechtenstein</v>
      </c>
      <c r="L850" s="7" t="str">
        <f>VLOOKUP($J850,countries,5,false)</f>
        <v>Europe</v>
      </c>
      <c r="M850" s="7" t="str">
        <f>VLOOKUP($J850,countries,6,false)</f>
        <v>Western Europe</v>
      </c>
      <c r="N850" s="7">
        <v>7331.0</v>
      </c>
      <c r="O850" s="7" t="str">
        <f>VLOOKUP(N850, products, 2, FALSE)</f>
        <v>Baby Food</v>
      </c>
      <c r="P850" s="7" t="s">
        <v>334</v>
      </c>
      <c r="Q850" s="7">
        <v>9223.0</v>
      </c>
      <c r="R850" s="17">
        <v>255.28</v>
      </c>
      <c r="S850" s="17">
        <v>159.42</v>
      </c>
      <c r="U850" s="18">
        <f t="shared" si="6"/>
        <v>2354447.44</v>
      </c>
      <c r="V850" s="18">
        <f t="shared" si="7"/>
        <v>1470330.66</v>
      </c>
      <c r="W850" s="19">
        <f t="shared" si="8"/>
        <v>884116.78</v>
      </c>
    </row>
    <row r="851">
      <c r="A851" s="7">
        <v>6.52252137E8</v>
      </c>
      <c r="B851" s="12">
        <v>40428.0</v>
      </c>
      <c r="C851" s="7">
        <f t="shared" si="1"/>
        <v>2010</v>
      </c>
      <c r="D851" s="14" t="str">
        <f t="shared" si="2"/>
        <v>09 - Sep</v>
      </c>
      <c r="E851" s="15" t="str">
        <f t="shared" si="3"/>
        <v>Tue</v>
      </c>
      <c r="F851" s="15">
        <f t="shared" si="4"/>
        <v>2</v>
      </c>
      <c r="G851" s="16">
        <v>40447.0</v>
      </c>
      <c r="H851" s="14">
        <f t="shared" si="5"/>
        <v>19</v>
      </c>
      <c r="I851" s="7" t="s">
        <v>364</v>
      </c>
      <c r="J851" s="7" t="s">
        <v>681</v>
      </c>
      <c r="K851" s="7" t="str">
        <f>VLOOKUP(J851,countries,2,false)</f>
        <v>United Kingdom</v>
      </c>
      <c r="L851" s="7" t="str">
        <f>VLOOKUP($J851,countries,5,false)</f>
        <v>Europe</v>
      </c>
      <c r="M851" s="7" t="str">
        <f>VLOOKUP($J851,countries,6,false)</f>
        <v>Northern Europe</v>
      </c>
      <c r="N851" s="7">
        <v>5988.0</v>
      </c>
      <c r="O851" s="7" t="str">
        <f>VLOOKUP(N851, products, 2, FALSE)</f>
        <v>Vegetables</v>
      </c>
      <c r="P851" s="7" t="s">
        <v>264</v>
      </c>
      <c r="Q851" s="7">
        <v>4757.0</v>
      </c>
      <c r="R851" s="17">
        <v>154.06</v>
      </c>
      <c r="S851" s="17">
        <v>90.93</v>
      </c>
      <c r="U851" s="18">
        <f t="shared" si="6"/>
        <v>732863.42</v>
      </c>
      <c r="V851" s="18">
        <f t="shared" si="7"/>
        <v>432554.01</v>
      </c>
      <c r="W851" s="19">
        <f t="shared" si="8"/>
        <v>300309.41</v>
      </c>
    </row>
    <row r="852">
      <c r="A852" s="7">
        <v>6.52501904E8</v>
      </c>
      <c r="B852" s="12">
        <v>40960.0</v>
      </c>
      <c r="C852" s="7">
        <f t="shared" si="1"/>
        <v>2012</v>
      </c>
      <c r="D852" s="14" t="str">
        <f t="shared" si="2"/>
        <v>02 - Feb</v>
      </c>
      <c r="E852" s="15" t="str">
        <f t="shared" si="3"/>
        <v>Tue</v>
      </c>
      <c r="F852" s="15">
        <f t="shared" si="4"/>
        <v>2</v>
      </c>
      <c r="G852" s="16">
        <v>40993.0</v>
      </c>
      <c r="H852" s="14">
        <f t="shared" si="5"/>
        <v>33</v>
      </c>
      <c r="I852" s="7" t="s">
        <v>232</v>
      </c>
      <c r="J852" s="7" t="s">
        <v>685</v>
      </c>
      <c r="K852" s="7" t="str">
        <f>VLOOKUP(J852,countries,2,false)</f>
        <v>Slovenia</v>
      </c>
      <c r="L852" s="7" t="str">
        <f>VLOOKUP($J852,countries,5,false)</f>
        <v>Europe</v>
      </c>
      <c r="M852" s="7" t="str">
        <f>VLOOKUP($J852,countries,6,false)</f>
        <v>Southern Europe</v>
      </c>
      <c r="N852" s="7">
        <v>2103.0</v>
      </c>
      <c r="O852" s="7" t="str">
        <f>VLOOKUP(N852, products, 2, FALSE)</f>
        <v>Cereal</v>
      </c>
      <c r="P852" s="7" t="s">
        <v>264</v>
      </c>
      <c r="Q852" s="7">
        <v>8668.0</v>
      </c>
      <c r="R852" s="17">
        <v>205.7</v>
      </c>
      <c r="S852" s="17">
        <v>117.11</v>
      </c>
      <c r="U852" s="18">
        <f t="shared" si="6"/>
        <v>1783007.6</v>
      </c>
      <c r="V852" s="18">
        <f t="shared" si="7"/>
        <v>1015109.48</v>
      </c>
      <c r="W852" s="19">
        <f t="shared" si="8"/>
        <v>767898.12</v>
      </c>
    </row>
    <row r="853">
      <c r="A853" s="7">
        <v>6.5308727E8</v>
      </c>
      <c r="B853" s="12">
        <v>40514.0</v>
      </c>
      <c r="C853" s="7">
        <f t="shared" si="1"/>
        <v>2010</v>
      </c>
      <c r="D853" s="14" t="str">
        <f t="shared" si="2"/>
        <v>12 - Dec</v>
      </c>
      <c r="E853" s="15" t="str">
        <f t="shared" si="3"/>
        <v>Thu</v>
      </c>
      <c r="F853" s="15">
        <f t="shared" si="4"/>
        <v>4</v>
      </c>
      <c r="G853" s="16">
        <v>40519.0</v>
      </c>
      <c r="H853" s="14">
        <f t="shared" si="5"/>
        <v>5</v>
      </c>
      <c r="I853" s="7" t="s">
        <v>399</v>
      </c>
      <c r="J853" s="7" t="s">
        <v>41</v>
      </c>
      <c r="K853" s="7" t="str">
        <f>VLOOKUP(J853,countries,2,false)</f>
        <v>Albania</v>
      </c>
      <c r="L853" s="7" t="str">
        <f>VLOOKUP($J853,countries,5,false)</f>
        <v>Europe</v>
      </c>
      <c r="M853" s="7" t="str">
        <f>VLOOKUP($J853,countries,6,false)</f>
        <v>Southern Europe</v>
      </c>
      <c r="N853" s="7">
        <v>8969.0</v>
      </c>
      <c r="O853" s="7" t="str">
        <f>VLOOKUP(N853, products, 2, FALSE)</f>
        <v>Snacks</v>
      </c>
      <c r="P853" s="7" t="s">
        <v>264</v>
      </c>
      <c r="Q853" s="7">
        <v>1891.0</v>
      </c>
      <c r="R853" s="17">
        <v>152.58</v>
      </c>
      <c r="S853" s="17">
        <v>97.44</v>
      </c>
      <c r="U853" s="18">
        <f t="shared" si="6"/>
        <v>288528.78</v>
      </c>
      <c r="V853" s="18">
        <f t="shared" si="7"/>
        <v>184259.04</v>
      </c>
      <c r="W853" s="19">
        <f t="shared" si="8"/>
        <v>104269.74</v>
      </c>
    </row>
    <row r="854">
      <c r="A854" s="7">
        <v>6.53152501E8</v>
      </c>
      <c r="B854" s="12">
        <v>42355.0</v>
      </c>
      <c r="C854" s="7">
        <f t="shared" si="1"/>
        <v>2015</v>
      </c>
      <c r="D854" s="14" t="str">
        <f t="shared" si="2"/>
        <v>12 - Dec</v>
      </c>
      <c r="E854" s="15" t="str">
        <f t="shared" si="3"/>
        <v>Thu</v>
      </c>
      <c r="F854" s="15">
        <f t="shared" si="4"/>
        <v>4</v>
      </c>
      <c r="G854" s="16">
        <v>42360.0</v>
      </c>
      <c r="H854" s="14">
        <f t="shared" si="5"/>
        <v>5</v>
      </c>
      <c r="I854" s="7" t="s">
        <v>232</v>
      </c>
      <c r="J854" s="7" t="s">
        <v>570</v>
      </c>
      <c r="K854" s="7" t="str">
        <f>VLOOKUP(J854,countries,2,false)</f>
        <v>Macedonia</v>
      </c>
      <c r="L854" s="7" t="str">
        <f>VLOOKUP($J854,countries,5,false)</f>
        <v>Europe</v>
      </c>
      <c r="M854" s="7" t="str">
        <f>VLOOKUP($J854,countries,6,false)</f>
        <v>Southern Europe</v>
      </c>
      <c r="N854" s="7">
        <v>1270.0</v>
      </c>
      <c r="O854" s="7" t="str">
        <f>VLOOKUP(N854, products, 2, FALSE)</f>
        <v>Beverages</v>
      </c>
      <c r="P854" s="7" t="s">
        <v>334</v>
      </c>
      <c r="Q854" s="7">
        <v>1194.0</v>
      </c>
      <c r="R854" s="17">
        <v>47.45</v>
      </c>
      <c r="S854" s="17">
        <v>31.79</v>
      </c>
      <c r="U854" s="18">
        <f t="shared" si="6"/>
        <v>56655.3</v>
      </c>
      <c r="V854" s="18">
        <f t="shared" si="7"/>
        <v>37957.26</v>
      </c>
      <c r="W854" s="19">
        <f t="shared" si="8"/>
        <v>18698.04</v>
      </c>
    </row>
    <row r="855">
      <c r="A855" s="7">
        <v>6.5354861E8</v>
      </c>
      <c r="B855" s="12">
        <v>42775.0</v>
      </c>
      <c r="C855" s="7">
        <f t="shared" si="1"/>
        <v>2017</v>
      </c>
      <c r="D855" s="14" t="str">
        <f t="shared" si="2"/>
        <v>02 - Feb</v>
      </c>
      <c r="E855" s="15" t="str">
        <f t="shared" si="3"/>
        <v>Thu</v>
      </c>
      <c r="F855" s="15">
        <f t="shared" si="4"/>
        <v>4</v>
      </c>
      <c r="G855" s="16">
        <v>42787.0</v>
      </c>
      <c r="H855" s="14">
        <f t="shared" si="5"/>
        <v>12</v>
      </c>
      <c r="I855" s="7" t="s">
        <v>305</v>
      </c>
      <c r="J855" s="7" t="s">
        <v>274</v>
      </c>
      <c r="K855" s="7" t="str">
        <f>VLOOKUP(J855,countries,2,false)</f>
        <v>Estonia</v>
      </c>
      <c r="L855" s="7" t="str">
        <f>VLOOKUP($J855,countries,5,false)</f>
        <v>Europe</v>
      </c>
      <c r="M855" s="7" t="str">
        <f>VLOOKUP($J855,countries,6,false)</f>
        <v>Northern Europe</v>
      </c>
      <c r="N855" s="7">
        <v>1270.0</v>
      </c>
      <c r="O855" s="7" t="str">
        <f>VLOOKUP(N855, products, 2, FALSE)</f>
        <v>Beverages</v>
      </c>
      <c r="P855" s="7" t="s">
        <v>334</v>
      </c>
      <c r="Q855" s="7">
        <v>8412.0</v>
      </c>
      <c r="R855" s="17">
        <v>47.45</v>
      </c>
      <c r="S855" s="17">
        <v>31.79</v>
      </c>
      <c r="U855" s="18">
        <f t="shared" si="6"/>
        <v>399149.4</v>
      </c>
      <c r="V855" s="18">
        <f t="shared" si="7"/>
        <v>267417.48</v>
      </c>
      <c r="W855" s="19">
        <f t="shared" si="8"/>
        <v>131731.92</v>
      </c>
    </row>
    <row r="856">
      <c r="A856" s="7">
        <v>6.53800523E8</v>
      </c>
      <c r="B856" s="12">
        <v>41748.0</v>
      </c>
      <c r="C856" s="7">
        <f t="shared" si="1"/>
        <v>2014</v>
      </c>
      <c r="D856" s="14" t="str">
        <f t="shared" si="2"/>
        <v>04 - Apr</v>
      </c>
      <c r="E856" s="15" t="str">
        <f t="shared" si="3"/>
        <v>Sat</v>
      </c>
      <c r="F856" s="15">
        <f t="shared" si="4"/>
        <v>6</v>
      </c>
      <c r="G856" s="16">
        <v>41752.0</v>
      </c>
      <c r="H856" s="14">
        <f t="shared" si="5"/>
        <v>4</v>
      </c>
      <c r="I856" s="7" t="s">
        <v>399</v>
      </c>
      <c r="J856" s="7" t="s">
        <v>720</v>
      </c>
      <c r="K856" s="7" t="str">
        <f>VLOOKUP(J856,countries,2,false)</f>
        <v>Switzerland</v>
      </c>
      <c r="L856" s="7" t="str">
        <f>VLOOKUP($J856,countries,5,false)</f>
        <v>Europe</v>
      </c>
      <c r="M856" s="7" t="str">
        <f>VLOOKUP($J856,countries,6,false)</f>
        <v>Western Europe</v>
      </c>
      <c r="N856" s="7">
        <v>3127.0</v>
      </c>
      <c r="O856" s="7" t="str">
        <f>VLOOKUP(N856, products, 2, FALSE)</f>
        <v>Personal Care</v>
      </c>
      <c r="P856" s="7" t="s">
        <v>334</v>
      </c>
      <c r="Q856" s="7">
        <v>2958.0</v>
      </c>
      <c r="R856" s="17">
        <v>81.73</v>
      </c>
      <c r="S856" s="17">
        <v>56.67</v>
      </c>
      <c r="U856" s="18">
        <f t="shared" si="6"/>
        <v>241757.34</v>
      </c>
      <c r="V856" s="18">
        <f t="shared" si="7"/>
        <v>167629.86</v>
      </c>
      <c r="W856" s="19">
        <f t="shared" si="8"/>
        <v>74127.48</v>
      </c>
    </row>
    <row r="857">
      <c r="A857" s="7">
        <v>6.53909957E8</v>
      </c>
      <c r="B857" s="12">
        <v>42452.0</v>
      </c>
      <c r="C857" s="7">
        <f t="shared" si="1"/>
        <v>2016</v>
      </c>
      <c r="D857" s="14" t="str">
        <f t="shared" si="2"/>
        <v>03 - Mar</v>
      </c>
      <c r="E857" s="15" t="str">
        <f t="shared" si="3"/>
        <v>Wed</v>
      </c>
      <c r="F857" s="15">
        <f t="shared" si="4"/>
        <v>3</v>
      </c>
      <c r="G857" s="16">
        <v>42466.0</v>
      </c>
      <c r="H857" s="14">
        <f t="shared" si="5"/>
        <v>14</v>
      </c>
      <c r="I857" s="7" t="s">
        <v>232</v>
      </c>
      <c r="J857" s="7" t="s">
        <v>435</v>
      </c>
      <c r="K857" s="7" t="str">
        <f>VLOOKUP(J857,countries,2,false)</f>
        <v>Slovakia</v>
      </c>
      <c r="L857" s="7" t="str">
        <f>VLOOKUP($J857,countries,5,false)</f>
        <v>Europe</v>
      </c>
      <c r="M857" s="7" t="str">
        <f>VLOOKUP($J857,countries,6,false)</f>
        <v>Eastern Europe</v>
      </c>
      <c r="N857" s="7">
        <v>8681.0</v>
      </c>
      <c r="O857" s="7" t="str">
        <f>VLOOKUP(N857, products, 2, FALSE)</f>
        <v>Office Supplies</v>
      </c>
      <c r="P857" s="7" t="s">
        <v>264</v>
      </c>
      <c r="Q857" s="7">
        <v>5342.0</v>
      </c>
      <c r="R857" s="17">
        <v>651.21</v>
      </c>
      <c r="S857" s="17">
        <v>524.96</v>
      </c>
      <c r="U857" s="18">
        <f t="shared" si="6"/>
        <v>3478763.82</v>
      </c>
      <c r="V857" s="18">
        <f t="shared" si="7"/>
        <v>2804336.32</v>
      </c>
      <c r="W857" s="19">
        <f t="shared" si="8"/>
        <v>674427.5</v>
      </c>
    </row>
    <row r="858">
      <c r="A858" s="7">
        <v>6.53920686E8</v>
      </c>
      <c r="B858" s="12">
        <v>40189.0</v>
      </c>
      <c r="C858" s="7">
        <f t="shared" si="1"/>
        <v>2010</v>
      </c>
      <c r="D858" s="14" t="str">
        <f t="shared" si="2"/>
        <v>01 - Jan</v>
      </c>
      <c r="E858" s="15" t="str">
        <f t="shared" si="3"/>
        <v>Mon</v>
      </c>
      <c r="F858" s="15">
        <f t="shared" si="4"/>
        <v>1</v>
      </c>
      <c r="G858" s="16">
        <v>40196.0</v>
      </c>
      <c r="H858" s="14">
        <f t="shared" si="5"/>
        <v>7</v>
      </c>
      <c r="I858" s="7" t="s">
        <v>305</v>
      </c>
      <c r="J858" s="7" t="s">
        <v>623</v>
      </c>
      <c r="K858" s="7" t="str">
        <f>VLOOKUP(J858,countries,2,false)</f>
        <v>Romania</v>
      </c>
      <c r="L858" s="7" t="str">
        <f>VLOOKUP($J858,countries,5,false)</f>
        <v>Europe</v>
      </c>
      <c r="M858" s="7" t="str">
        <f>VLOOKUP($J858,countries,6,false)</f>
        <v>Eastern Europe</v>
      </c>
      <c r="N858" s="7">
        <v>8969.0</v>
      </c>
      <c r="O858" s="7" t="str">
        <f>VLOOKUP(N858, products, 2, FALSE)</f>
        <v>Snacks</v>
      </c>
      <c r="P858" s="7" t="s">
        <v>264</v>
      </c>
      <c r="Q858" s="7">
        <v>8517.0</v>
      </c>
      <c r="R858" s="17">
        <v>152.58</v>
      </c>
      <c r="S858" s="17">
        <v>97.44</v>
      </c>
      <c r="U858" s="18">
        <f t="shared" si="6"/>
        <v>1299523.86</v>
      </c>
      <c r="V858" s="18">
        <f t="shared" si="7"/>
        <v>829896.48</v>
      </c>
      <c r="W858" s="19">
        <f t="shared" si="8"/>
        <v>469627.38</v>
      </c>
    </row>
    <row r="859">
      <c r="A859" s="7">
        <v>6.5528711E8</v>
      </c>
      <c r="B859" s="12">
        <v>42053.0</v>
      </c>
      <c r="C859" s="7">
        <f t="shared" si="1"/>
        <v>2015</v>
      </c>
      <c r="D859" s="14" t="str">
        <f t="shared" si="2"/>
        <v>02 - Feb</v>
      </c>
      <c r="E859" s="15" t="str">
        <f t="shared" si="3"/>
        <v>Wed</v>
      </c>
      <c r="F859" s="15">
        <f t="shared" si="4"/>
        <v>3</v>
      </c>
      <c r="G859" s="16">
        <v>42057.0</v>
      </c>
      <c r="H859" s="14">
        <f t="shared" si="5"/>
        <v>4</v>
      </c>
      <c r="I859" s="7" t="s">
        <v>399</v>
      </c>
      <c r="J859" s="7" t="s">
        <v>611</v>
      </c>
      <c r="K859" s="7" t="str">
        <f>VLOOKUP(J859,countries,2,false)</f>
        <v>Portugal</v>
      </c>
      <c r="L859" s="7" t="str">
        <f>VLOOKUP($J859,countries,5,false)</f>
        <v>Europe</v>
      </c>
      <c r="M859" s="7" t="str">
        <f>VLOOKUP($J859,countries,6,false)</f>
        <v>Southern Europe</v>
      </c>
      <c r="N859" s="7">
        <v>7940.0</v>
      </c>
      <c r="O859" s="7" t="str">
        <f>VLOOKUP(N859, products, 2, FALSE)</f>
        <v>Household</v>
      </c>
      <c r="P859" s="7" t="s">
        <v>334</v>
      </c>
      <c r="Q859" s="7">
        <v>2873.0</v>
      </c>
      <c r="R859" s="17">
        <v>668.27</v>
      </c>
      <c r="S859" s="17">
        <v>502.54</v>
      </c>
      <c r="U859" s="18">
        <f t="shared" si="6"/>
        <v>1919939.71</v>
      </c>
      <c r="V859" s="18">
        <f t="shared" si="7"/>
        <v>1443797.42</v>
      </c>
      <c r="W859" s="19">
        <f t="shared" si="8"/>
        <v>476142.29</v>
      </c>
    </row>
    <row r="860">
      <c r="A860" s="7">
        <v>6.55328738E8</v>
      </c>
      <c r="B860" s="12">
        <v>41680.0</v>
      </c>
      <c r="C860" s="7">
        <f t="shared" si="1"/>
        <v>2014</v>
      </c>
      <c r="D860" s="14" t="str">
        <f t="shared" si="2"/>
        <v>02 - Feb</v>
      </c>
      <c r="E860" s="15" t="str">
        <f t="shared" si="3"/>
        <v>Mon</v>
      </c>
      <c r="F860" s="15">
        <f t="shared" si="4"/>
        <v>1</v>
      </c>
      <c r="G860" s="16">
        <v>41720.0</v>
      </c>
      <c r="H860" s="14">
        <f t="shared" si="5"/>
        <v>40</v>
      </c>
      <c r="I860" s="7" t="s">
        <v>305</v>
      </c>
      <c r="J860" s="7" t="s">
        <v>608</v>
      </c>
      <c r="K860" s="7" t="str">
        <f>VLOOKUP(J860,countries,2,false)</f>
        <v>Poland</v>
      </c>
      <c r="L860" s="7" t="str">
        <f>VLOOKUP($J860,countries,5,false)</f>
        <v>Europe</v>
      </c>
      <c r="M860" s="7" t="str">
        <f>VLOOKUP($J860,countries,6,false)</f>
        <v>Eastern Europe</v>
      </c>
      <c r="N860" s="7">
        <v>2103.0</v>
      </c>
      <c r="O860" s="7" t="str">
        <f>VLOOKUP(N860, products, 2, FALSE)</f>
        <v>Cereal</v>
      </c>
      <c r="P860" s="7" t="s">
        <v>334</v>
      </c>
      <c r="Q860" s="7">
        <v>5191.0</v>
      </c>
      <c r="R860" s="17">
        <v>205.7</v>
      </c>
      <c r="S860" s="17">
        <v>117.11</v>
      </c>
      <c r="U860" s="18">
        <f t="shared" si="6"/>
        <v>1067788.7</v>
      </c>
      <c r="V860" s="18">
        <f t="shared" si="7"/>
        <v>607918.01</v>
      </c>
      <c r="W860" s="19">
        <f t="shared" si="8"/>
        <v>459870.69</v>
      </c>
    </row>
    <row r="861">
      <c r="A861" s="7">
        <v>6.56244552E8</v>
      </c>
      <c r="B861" s="12">
        <v>41787.0</v>
      </c>
      <c r="C861" s="7">
        <f t="shared" si="1"/>
        <v>2014</v>
      </c>
      <c r="D861" s="14" t="str">
        <f t="shared" si="2"/>
        <v>05 - May</v>
      </c>
      <c r="E861" s="15" t="str">
        <f t="shared" si="3"/>
        <v>Wed</v>
      </c>
      <c r="F861" s="15">
        <f t="shared" si="4"/>
        <v>3</v>
      </c>
      <c r="G861" s="16">
        <v>41809.0</v>
      </c>
      <c r="H861" s="14">
        <f t="shared" si="5"/>
        <v>22</v>
      </c>
      <c r="I861" s="7" t="s">
        <v>305</v>
      </c>
      <c r="J861" s="7" t="s">
        <v>328</v>
      </c>
      <c r="K861" s="7" t="str">
        <f>VLOOKUP(J861,countries,2,false)</f>
        <v>Greece</v>
      </c>
      <c r="L861" s="7" t="str">
        <f>VLOOKUP($J861,countries,5,false)</f>
        <v>Europe</v>
      </c>
      <c r="M861" s="7" t="str">
        <f>VLOOKUP($J861,countries,6,false)</f>
        <v>Southern Europe</v>
      </c>
      <c r="N861" s="7">
        <v>4594.0</v>
      </c>
      <c r="O861" s="7" t="str">
        <f>VLOOKUP(N861, products, 2, FALSE)</f>
        <v>Fruits</v>
      </c>
      <c r="P861" s="7" t="s">
        <v>334</v>
      </c>
      <c r="Q861" s="7">
        <v>6201.0</v>
      </c>
      <c r="R861" s="17">
        <v>9.33</v>
      </c>
      <c r="S861" s="17">
        <v>6.92</v>
      </c>
      <c r="U861" s="18">
        <f t="shared" si="6"/>
        <v>57855.33</v>
      </c>
      <c r="V861" s="18">
        <f t="shared" si="7"/>
        <v>42910.92</v>
      </c>
      <c r="W861" s="19">
        <f t="shared" si="8"/>
        <v>14944.41</v>
      </c>
    </row>
    <row r="862">
      <c r="A862" s="7">
        <v>6.56689155E8</v>
      </c>
      <c r="B862" s="12">
        <v>40718.0</v>
      </c>
      <c r="C862" s="7">
        <f t="shared" si="1"/>
        <v>2011</v>
      </c>
      <c r="D862" s="14" t="str">
        <f t="shared" si="2"/>
        <v>06 - Jun</v>
      </c>
      <c r="E862" s="15" t="str">
        <f t="shared" si="3"/>
        <v>Fri</v>
      </c>
      <c r="F862" s="15">
        <f t="shared" si="4"/>
        <v>5</v>
      </c>
      <c r="G862" s="16">
        <v>40764.0</v>
      </c>
      <c r="H862" s="14">
        <f t="shared" si="5"/>
        <v>46</v>
      </c>
      <c r="I862" s="7" t="s">
        <v>305</v>
      </c>
      <c r="J862" s="7" t="s">
        <v>717</v>
      </c>
      <c r="K862" s="7" t="str">
        <f>VLOOKUP(J862,countries,2,false)</f>
        <v>Sweden</v>
      </c>
      <c r="L862" s="7" t="str">
        <f>VLOOKUP($J862,countries,5,false)</f>
        <v>Europe</v>
      </c>
      <c r="M862" s="7" t="str">
        <f>VLOOKUP($J862,countries,6,false)</f>
        <v>Northern Europe</v>
      </c>
      <c r="N862" s="7">
        <v>7940.0</v>
      </c>
      <c r="O862" s="7" t="str">
        <f>VLOOKUP(N862, products, 2, FALSE)</f>
        <v>Household</v>
      </c>
      <c r="P862" s="7" t="s">
        <v>334</v>
      </c>
      <c r="Q862" s="7">
        <v>7769.0</v>
      </c>
      <c r="R862" s="17">
        <v>668.27</v>
      </c>
      <c r="S862" s="17">
        <v>502.54</v>
      </c>
      <c r="U862" s="18">
        <f t="shared" si="6"/>
        <v>5191789.63</v>
      </c>
      <c r="V862" s="18">
        <f t="shared" si="7"/>
        <v>3904233.26</v>
      </c>
      <c r="W862" s="19">
        <f t="shared" si="8"/>
        <v>1287556.37</v>
      </c>
    </row>
    <row r="863">
      <c r="A863" s="7">
        <v>6.59193694E8</v>
      </c>
      <c r="B863" s="12">
        <v>42155.0</v>
      </c>
      <c r="C863" s="7">
        <f t="shared" si="1"/>
        <v>2015</v>
      </c>
      <c r="D863" s="14" t="str">
        <f t="shared" si="2"/>
        <v>05 - May</v>
      </c>
      <c r="E863" s="15" t="str">
        <f t="shared" si="3"/>
        <v>Sun</v>
      </c>
      <c r="F863" s="15">
        <f t="shared" si="4"/>
        <v>7</v>
      </c>
      <c r="G863" s="16">
        <v>42166.0</v>
      </c>
      <c r="H863" s="14">
        <f t="shared" si="5"/>
        <v>11</v>
      </c>
      <c r="I863" s="7" t="s">
        <v>232</v>
      </c>
      <c r="J863" s="7" t="s">
        <v>306</v>
      </c>
      <c r="K863" s="7" t="str">
        <f>VLOOKUP(J863,countries,2,false)</f>
        <v>Serbia</v>
      </c>
      <c r="L863" s="7" t="str">
        <f>VLOOKUP($J863,countries,5,false)</f>
        <v>Europe</v>
      </c>
      <c r="M863" s="7" t="str">
        <f>VLOOKUP($J863,countries,6,false)</f>
        <v>Southern Europe</v>
      </c>
      <c r="N863" s="7">
        <v>8681.0</v>
      </c>
      <c r="O863" s="7" t="str">
        <f>VLOOKUP(N863, products, 2, FALSE)</f>
        <v>Office Supplies</v>
      </c>
      <c r="P863" s="7" t="s">
        <v>264</v>
      </c>
      <c r="Q863" s="7">
        <v>8918.0</v>
      </c>
      <c r="R863" s="17">
        <v>651.21</v>
      </c>
      <c r="S863" s="17">
        <v>524.96</v>
      </c>
      <c r="U863" s="18">
        <f t="shared" si="6"/>
        <v>5807490.78</v>
      </c>
      <c r="V863" s="18">
        <f t="shared" si="7"/>
        <v>4681593.28</v>
      </c>
      <c r="W863" s="19">
        <f t="shared" si="8"/>
        <v>1125897.5</v>
      </c>
    </row>
    <row r="864">
      <c r="A864" s="7">
        <v>6.59196269E8</v>
      </c>
      <c r="B864" s="12">
        <v>41390.0</v>
      </c>
      <c r="C864" s="7">
        <f t="shared" si="1"/>
        <v>2013</v>
      </c>
      <c r="D864" s="14" t="str">
        <f t="shared" si="2"/>
        <v>04 - Apr</v>
      </c>
      <c r="E864" s="15" t="str">
        <f t="shared" si="3"/>
        <v>Fri</v>
      </c>
      <c r="F864" s="15">
        <f t="shared" si="4"/>
        <v>5</v>
      </c>
      <c r="G864" s="16">
        <v>41426.0</v>
      </c>
      <c r="H864" s="14">
        <f t="shared" si="5"/>
        <v>36</v>
      </c>
      <c r="I864" s="7" t="s">
        <v>364</v>
      </c>
      <c r="J864" s="7" t="s">
        <v>229</v>
      </c>
      <c r="K864" s="7" t="str">
        <f>VLOOKUP(J864,countries,2,false)</f>
        <v>Croatia</v>
      </c>
      <c r="L864" s="7" t="str">
        <f>VLOOKUP($J864,countries,5,false)</f>
        <v>Europe</v>
      </c>
      <c r="M864" s="7" t="str">
        <f>VLOOKUP($J864,countries,6,false)</f>
        <v>Southern Europe</v>
      </c>
      <c r="N864" s="7">
        <v>7940.0</v>
      </c>
      <c r="O864" s="7" t="str">
        <f>VLOOKUP(N864, products, 2, FALSE)</f>
        <v>Household</v>
      </c>
      <c r="P864" s="7" t="s">
        <v>264</v>
      </c>
      <c r="Q864" s="7">
        <v>9680.0</v>
      </c>
      <c r="R864" s="17">
        <v>668.27</v>
      </c>
      <c r="S864" s="17">
        <v>502.54</v>
      </c>
      <c r="U864" s="18">
        <f t="shared" si="6"/>
        <v>6468853.6</v>
      </c>
      <c r="V864" s="18">
        <f t="shared" si="7"/>
        <v>4864587.2</v>
      </c>
      <c r="W864" s="19">
        <f t="shared" si="8"/>
        <v>1604266.4</v>
      </c>
    </row>
    <row r="865">
      <c r="A865" s="7">
        <v>6.59671771E8</v>
      </c>
      <c r="B865" s="12">
        <v>42213.0</v>
      </c>
      <c r="C865" s="7">
        <f t="shared" si="1"/>
        <v>2015</v>
      </c>
      <c r="D865" s="14" t="str">
        <f t="shared" si="2"/>
        <v>07 - Jul</v>
      </c>
      <c r="E865" s="15" t="str">
        <f t="shared" si="3"/>
        <v>Tue</v>
      </c>
      <c r="F865" s="15">
        <f t="shared" si="4"/>
        <v>2</v>
      </c>
      <c r="G865" s="16">
        <v>42214.0</v>
      </c>
      <c r="H865" s="14">
        <f t="shared" si="5"/>
        <v>1</v>
      </c>
      <c r="I865" s="7" t="s">
        <v>305</v>
      </c>
      <c r="J865" s="7" t="s">
        <v>626</v>
      </c>
      <c r="K865" s="7" t="str">
        <f>VLOOKUP(J865,countries,2,false)</f>
        <v>Russia</v>
      </c>
      <c r="L865" s="7" t="str">
        <f>VLOOKUP($J865,countries,5,false)</f>
        <v>Europe</v>
      </c>
      <c r="M865" s="7" t="str">
        <f>VLOOKUP($J865,countries,6,false)</f>
        <v>Eastern Europe</v>
      </c>
      <c r="N865" s="7">
        <v>8293.0</v>
      </c>
      <c r="O865" s="7" t="str">
        <f>VLOOKUP(N865, products, 2, FALSE)</f>
        <v>Cosmetics</v>
      </c>
      <c r="P865" s="7" t="s">
        <v>334</v>
      </c>
      <c r="Q865" s="7">
        <v>391.0</v>
      </c>
      <c r="R865" s="17">
        <v>437.2</v>
      </c>
      <c r="S865" s="17">
        <v>263.33</v>
      </c>
      <c r="U865" s="18">
        <f t="shared" si="6"/>
        <v>170945.2</v>
      </c>
      <c r="V865" s="18">
        <f t="shared" si="7"/>
        <v>102962.03</v>
      </c>
      <c r="W865" s="19">
        <f t="shared" si="8"/>
        <v>67983.17</v>
      </c>
    </row>
    <row r="866">
      <c r="A866" s="7">
        <v>6.60312926E8</v>
      </c>
      <c r="B866" s="12">
        <v>42722.0</v>
      </c>
      <c r="C866" s="7">
        <f t="shared" si="1"/>
        <v>2016</v>
      </c>
      <c r="D866" s="14" t="str">
        <f t="shared" si="2"/>
        <v>12 - Dec</v>
      </c>
      <c r="E866" s="15" t="str">
        <f t="shared" si="3"/>
        <v>Sun</v>
      </c>
      <c r="F866" s="15">
        <f t="shared" si="4"/>
        <v>7</v>
      </c>
      <c r="G866" s="16">
        <v>42740.0</v>
      </c>
      <c r="H866" s="14">
        <f t="shared" si="5"/>
        <v>18</v>
      </c>
      <c r="I866" s="7" t="s">
        <v>305</v>
      </c>
      <c r="J866" s="7" t="s">
        <v>274</v>
      </c>
      <c r="K866" s="7" t="str">
        <f>VLOOKUP(J866,countries,2,false)</f>
        <v>Estonia</v>
      </c>
      <c r="L866" s="7" t="str">
        <f>VLOOKUP($J866,countries,5,false)</f>
        <v>Europe</v>
      </c>
      <c r="M866" s="7" t="str">
        <f>VLOOKUP($J866,countries,6,false)</f>
        <v>Northern Europe</v>
      </c>
      <c r="N866" s="7">
        <v>2455.0</v>
      </c>
      <c r="O866" s="7" t="str">
        <f>VLOOKUP(N866, products, 2, FALSE)</f>
        <v>Clothes</v>
      </c>
      <c r="P866" s="7" t="s">
        <v>334</v>
      </c>
      <c r="Q866" s="7">
        <v>123.0</v>
      </c>
      <c r="R866" s="17">
        <v>109.28</v>
      </c>
      <c r="S866" s="17">
        <v>35.84</v>
      </c>
      <c r="U866" s="18">
        <f t="shared" si="6"/>
        <v>13441.44</v>
      </c>
      <c r="V866" s="18">
        <f t="shared" si="7"/>
        <v>4408.32</v>
      </c>
      <c r="W866" s="19">
        <f t="shared" si="8"/>
        <v>9033.12</v>
      </c>
    </row>
    <row r="867">
      <c r="A867" s="7">
        <v>6.60481584E8</v>
      </c>
      <c r="B867" s="12">
        <v>42440.0</v>
      </c>
      <c r="C867" s="7">
        <f t="shared" si="1"/>
        <v>2016</v>
      </c>
      <c r="D867" s="14" t="str">
        <f t="shared" si="2"/>
        <v>03 - Mar</v>
      </c>
      <c r="E867" s="15" t="str">
        <f t="shared" si="3"/>
        <v>Fri</v>
      </c>
      <c r="F867" s="15">
        <f t="shared" si="4"/>
        <v>5</v>
      </c>
      <c r="G867" s="16">
        <v>42480.0</v>
      </c>
      <c r="H867" s="14">
        <f t="shared" si="5"/>
        <v>40</v>
      </c>
      <c r="I867" s="7" t="s">
        <v>232</v>
      </c>
      <c r="J867" s="7" t="s">
        <v>771</v>
      </c>
      <c r="K867" s="7" t="str">
        <f>VLOOKUP(J867,countries,2,false)</f>
        <v>Ukraine</v>
      </c>
      <c r="L867" s="7" t="str">
        <f>VLOOKUP($J867,countries,5,false)</f>
        <v>Europe</v>
      </c>
      <c r="M867" s="7" t="str">
        <f>VLOOKUP($J867,countries,6,false)</f>
        <v>Eastern Europe</v>
      </c>
      <c r="N867" s="7">
        <v>8681.0</v>
      </c>
      <c r="O867" s="7" t="str">
        <f>VLOOKUP(N867, products, 2, FALSE)</f>
        <v>Office Supplies</v>
      </c>
      <c r="P867" s="7" t="s">
        <v>334</v>
      </c>
      <c r="Q867" s="7">
        <v>33.0</v>
      </c>
      <c r="R867" s="17">
        <v>651.21</v>
      </c>
      <c r="S867" s="17">
        <v>524.96</v>
      </c>
      <c r="U867" s="18">
        <f t="shared" si="6"/>
        <v>21489.93</v>
      </c>
      <c r="V867" s="18">
        <f t="shared" si="7"/>
        <v>17323.68</v>
      </c>
      <c r="W867" s="19">
        <f t="shared" si="8"/>
        <v>4166.25</v>
      </c>
    </row>
    <row r="868">
      <c r="A868" s="7">
        <v>6.62623488E8</v>
      </c>
      <c r="B868" s="12">
        <v>41816.0</v>
      </c>
      <c r="C868" s="7">
        <f t="shared" si="1"/>
        <v>2014</v>
      </c>
      <c r="D868" s="14" t="str">
        <f t="shared" si="2"/>
        <v>06 - Jun</v>
      </c>
      <c r="E868" s="15" t="str">
        <f t="shared" si="3"/>
        <v>Thu</v>
      </c>
      <c r="F868" s="15">
        <f t="shared" si="4"/>
        <v>4</v>
      </c>
      <c r="G868" s="16">
        <v>41831.0</v>
      </c>
      <c r="H868" s="14">
        <f t="shared" si="5"/>
        <v>15</v>
      </c>
      <c r="I868" s="7" t="s">
        <v>305</v>
      </c>
      <c r="J868" s="7" t="s">
        <v>489</v>
      </c>
      <c r="K868" s="7" t="str">
        <f>VLOOKUP(J868,countries,2,false)</f>
        <v>Malta</v>
      </c>
      <c r="L868" s="7" t="str">
        <f>VLOOKUP($J868,countries,5,false)</f>
        <v>Europe</v>
      </c>
      <c r="M868" s="7" t="str">
        <f>VLOOKUP($J868,countries,6,false)</f>
        <v>Southern Europe</v>
      </c>
      <c r="N868" s="7">
        <v>8875.0</v>
      </c>
      <c r="O868" s="7" t="str">
        <f>VLOOKUP(N868, products, 2, FALSE)</f>
        <v>Meat</v>
      </c>
      <c r="P868" s="7" t="s">
        <v>334</v>
      </c>
      <c r="Q868" s="7">
        <v>3870.0</v>
      </c>
      <c r="R868" s="17">
        <v>421.89</v>
      </c>
      <c r="S868" s="17">
        <v>364.69</v>
      </c>
      <c r="U868" s="18">
        <f t="shared" si="6"/>
        <v>1632714.3</v>
      </c>
      <c r="V868" s="18">
        <f t="shared" si="7"/>
        <v>1411350.3</v>
      </c>
      <c r="W868" s="19">
        <f t="shared" si="8"/>
        <v>221364</v>
      </c>
    </row>
    <row r="869">
      <c r="A869" s="7">
        <v>6.63080108E8</v>
      </c>
      <c r="B869" s="12">
        <v>40868.0</v>
      </c>
      <c r="C869" s="7">
        <f t="shared" si="1"/>
        <v>2011</v>
      </c>
      <c r="D869" s="14" t="str">
        <f t="shared" si="2"/>
        <v>11 - Nov</v>
      </c>
      <c r="E869" s="15" t="str">
        <f t="shared" si="3"/>
        <v>Mon</v>
      </c>
      <c r="F869" s="15">
        <f t="shared" si="4"/>
        <v>1</v>
      </c>
      <c r="G869" s="16">
        <v>40887.0</v>
      </c>
      <c r="H869" s="14">
        <f t="shared" si="5"/>
        <v>19</v>
      </c>
      <c r="I869" s="7" t="s">
        <v>399</v>
      </c>
      <c r="J869" s="7" t="s">
        <v>611</v>
      </c>
      <c r="K869" s="7" t="str">
        <f>VLOOKUP(J869,countries,2,false)</f>
        <v>Portugal</v>
      </c>
      <c r="L869" s="7" t="str">
        <f>VLOOKUP($J869,countries,5,false)</f>
        <v>Europe</v>
      </c>
      <c r="M869" s="7" t="str">
        <f>VLOOKUP($J869,countries,6,false)</f>
        <v>Southern Europe</v>
      </c>
      <c r="N869" s="7">
        <v>8875.0</v>
      </c>
      <c r="O869" s="7" t="str">
        <f>VLOOKUP(N869, products, 2, FALSE)</f>
        <v>Meat</v>
      </c>
      <c r="P869" s="7" t="s">
        <v>264</v>
      </c>
      <c r="Q869" s="7">
        <v>8994.0</v>
      </c>
      <c r="R869" s="17">
        <v>421.89</v>
      </c>
      <c r="S869" s="17">
        <v>364.69</v>
      </c>
      <c r="U869" s="18">
        <f t="shared" si="6"/>
        <v>3794478.66</v>
      </c>
      <c r="V869" s="18">
        <f t="shared" si="7"/>
        <v>3280021.86</v>
      </c>
      <c r="W869" s="19">
        <f t="shared" si="8"/>
        <v>514456.8</v>
      </c>
    </row>
    <row r="870">
      <c r="A870" s="7">
        <v>6.65786778E8</v>
      </c>
      <c r="B870" s="12">
        <v>40383.0</v>
      </c>
      <c r="C870" s="7">
        <f t="shared" si="1"/>
        <v>2010</v>
      </c>
      <c r="D870" s="14" t="str">
        <f t="shared" si="2"/>
        <v>07 - Jul</v>
      </c>
      <c r="E870" s="15" t="str">
        <f t="shared" si="3"/>
        <v>Sat</v>
      </c>
      <c r="F870" s="15">
        <f t="shared" si="4"/>
        <v>6</v>
      </c>
      <c r="G870" s="16">
        <v>40405.0</v>
      </c>
      <c r="H870" s="14">
        <f t="shared" si="5"/>
        <v>22</v>
      </c>
      <c r="I870" s="7" t="s">
        <v>364</v>
      </c>
      <c r="J870" s="7" t="s">
        <v>623</v>
      </c>
      <c r="K870" s="7" t="str">
        <f>VLOOKUP(J870,countries,2,false)</f>
        <v>Romania</v>
      </c>
      <c r="L870" s="7" t="str">
        <f>VLOOKUP($J870,countries,5,false)</f>
        <v>Europe</v>
      </c>
      <c r="M870" s="7" t="str">
        <f>VLOOKUP($J870,countries,6,false)</f>
        <v>Eastern Europe</v>
      </c>
      <c r="N870" s="7">
        <v>4594.0</v>
      </c>
      <c r="O870" s="7" t="str">
        <f>VLOOKUP(N870, products, 2, FALSE)</f>
        <v>Fruits</v>
      </c>
      <c r="P870" s="7" t="s">
        <v>334</v>
      </c>
      <c r="Q870" s="7">
        <v>9958.0</v>
      </c>
      <c r="R870" s="17">
        <v>9.33</v>
      </c>
      <c r="S870" s="17">
        <v>6.92</v>
      </c>
      <c r="U870" s="18">
        <f t="shared" si="6"/>
        <v>92908.14</v>
      </c>
      <c r="V870" s="18">
        <f t="shared" si="7"/>
        <v>68909.36</v>
      </c>
      <c r="W870" s="19">
        <f t="shared" si="8"/>
        <v>23998.78</v>
      </c>
    </row>
    <row r="871">
      <c r="A871" s="7">
        <v>6.65817677E8</v>
      </c>
      <c r="B871" s="12">
        <v>42273.0</v>
      </c>
      <c r="C871" s="7">
        <f t="shared" si="1"/>
        <v>2015</v>
      </c>
      <c r="D871" s="14" t="str">
        <f t="shared" si="2"/>
        <v>09 - Sep</v>
      </c>
      <c r="E871" s="15" t="str">
        <f t="shared" si="3"/>
        <v>Sat</v>
      </c>
      <c r="F871" s="15">
        <f t="shared" si="4"/>
        <v>6</v>
      </c>
      <c r="G871" s="16">
        <v>42287.0</v>
      </c>
      <c r="H871" s="14">
        <f t="shared" si="5"/>
        <v>14</v>
      </c>
      <c r="I871" s="7" t="s">
        <v>305</v>
      </c>
      <c r="J871" s="7" t="s">
        <v>306</v>
      </c>
      <c r="K871" s="7" t="str">
        <f>VLOOKUP(J871,countries,2,false)</f>
        <v>Serbia</v>
      </c>
      <c r="L871" s="7" t="str">
        <f>VLOOKUP($J871,countries,5,false)</f>
        <v>Europe</v>
      </c>
      <c r="M871" s="7" t="str">
        <f>VLOOKUP($J871,countries,6,false)</f>
        <v>Southern Europe</v>
      </c>
      <c r="N871" s="7">
        <v>4594.0</v>
      </c>
      <c r="O871" s="7" t="str">
        <f>VLOOKUP(N871, products, 2, FALSE)</f>
        <v>Fruits</v>
      </c>
      <c r="P871" s="7" t="s">
        <v>264</v>
      </c>
      <c r="Q871" s="7">
        <v>9102.0</v>
      </c>
      <c r="R871" s="17">
        <v>9.33</v>
      </c>
      <c r="S871" s="17">
        <v>6.92</v>
      </c>
      <c r="U871" s="18">
        <f t="shared" si="6"/>
        <v>84921.66</v>
      </c>
      <c r="V871" s="18">
        <f t="shared" si="7"/>
        <v>62985.84</v>
      </c>
      <c r="W871" s="19">
        <f t="shared" si="8"/>
        <v>21935.82</v>
      </c>
    </row>
    <row r="872">
      <c r="A872" s="7">
        <v>6.66483724E8</v>
      </c>
      <c r="B872" s="12">
        <v>41848.0</v>
      </c>
      <c r="C872" s="7">
        <f t="shared" si="1"/>
        <v>2014</v>
      </c>
      <c r="D872" s="14" t="str">
        <f t="shared" si="2"/>
        <v>07 - Jul</v>
      </c>
      <c r="E872" s="15" t="str">
        <f t="shared" si="3"/>
        <v>Mon</v>
      </c>
      <c r="F872" s="15">
        <f t="shared" si="4"/>
        <v>1</v>
      </c>
      <c r="G872" s="16">
        <v>41882.0</v>
      </c>
      <c r="H872" s="14">
        <f t="shared" si="5"/>
        <v>34</v>
      </c>
      <c r="I872" s="7" t="s">
        <v>305</v>
      </c>
      <c r="J872" s="7" t="s">
        <v>570</v>
      </c>
      <c r="K872" s="7" t="str">
        <f>VLOOKUP(J872,countries,2,false)</f>
        <v>Macedonia</v>
      </c>
      <c r="L872" s="7" t="str">
        <f>VLOOKUP($J872,countries,5,false)</f>
        <v>Europe</v>
      </c>
      <c r="M872" s="7" t="str">
        <f>VLOOKUP($J872,countries,6,false)</f>
        <v>Southern Europe</v>
      </c>
      <c r="N872" s="7">
        <v>7940.0</v>
      </c>
      <c r="O872" s="7" t="str">
        <f>VLOOKUP(N872, products, 2, FALSE)</f>
        <v>Household</v>
      </c>
      <c r="P872" s="7" t="s">
        <v>264</v>
      </c>
      <c r="Q872" s="7">
        <v>6199.0</v>
      </c>
      <c r="R872" s="17">
        <v>668.27</v>
      </c>
      <c r="S872" s="17">
        <v>502.54</v>
      </c>
      <c r="U872" s="18">
        <f t="shared" si="6"/>
        <v>4142605.73</v>
      </c>
      <c r="V872" s="18">
        <f t="shared" si="7"/>
        <v>3115245.46</v>
      </c>
      <c r="W872" s="19">
        <f t="shared" si="8"/>
        <v>1027360.27</v>
      </c>
    </row>
    <row r="873">
      <c r="A873" s="7">
        <v>6.6692146E8</v>
      </c>
      <c r="B873" s="12">
        <v>41896.0</v>
      </c>
      <c r="C873" s="7">
        <f t="shared" si="1"/>
        <v>2014</v>
      </c>
      <c r="D873" s="14" t="str">
        <f t="shared" si="2"/>
        <v>09 - Sep</v>
      </c>
      <c r="E873" s="15" t="str">
        <f t="shared" si="3"/>
        <v>Sun</v>
      </c>
      <c r="F873" s="15">
        <f t="shared" si="4"/>
        <v>7</v>
      </c>
      <c r="G873" s="16">
        <v>41922.0</v>
      </c>
      <c r="H873" s="14">
        <f t="shared" si="5"/>
        <v>26</v>
      </c>
      <c r="I873" s="7" t="s">
        <v>399</v>
      </c>
      <c r="J873" s="7" t="s">
        <v>246</v>
      </c>
      <c r="K873" s="7" t="str">
        <f>VLOOKUP(J873,countries,2,false)</f>
        <v>Denmark</v>
      </c>
      <c r="L873" s="7" t="str">
        <f>VLOOKUP($J873,countries,5,false)</f>
        <v>Europe</v>
      </c>
      <c r="M873" s="7" t="str">
        <f>VLOOKUP($J873,countries,6,false)</f>
        <v>Northern Europe</v>
      </c>
      <c r="N873" s="7">
        <v>2103.0</v>
      </c>
      <c r="O873" s="7" t="str">
        <f>VLOOKUP(N873, products, 2, FALSE)</f>
        <v>Cereal</v>
      </c>
      <c r="P873" s="7" t="s">
        <v>264</v>
      </c>
      <c r="Q873" s="7">
        <v>5735.0</v>
      </c>
      <c r="R873" s="17">
        <v>205.7</v>
      </c>
      <c r="S873" s="17">
        <v>117.11</v>
      </c>
      <c r="U873" s="18">
        <f t="shared" si="6"/>
        <v>1179689.5</v>
      </c>
      <c r="V873" s="18">
        <f t="shared" si="7"/>
        <v>671625.85</v>
      </c>
      <c r="W873" s="19">
        <f t="shared" si="8"/>
        <v>508063.65</v>
      </c>
    </row>
    <row r="874">
      <c r="A874" s="7">
        <v>6.67054498E8</v>
      </c>
      <c r="B874" s="12">
        <v>42046.0</v>
      </c>
      <c r="C874" s="7">
        <f t="shared" si="1"/>
        <v>2015</v>
      </c>
      <c r="D874" s="14" t="str">
        <f t="shared" si="2"/>
        <v>02 - Feb</v>
      </c>
      <c r="E874" s="15" t="str">
        <f t="shared" si="3"/>
        <v>Wed</v>
      </c>
      <c r="F874" s="15">
        <f t="shared" si="4"/>
        <v>3</v>
      </c>
      <c r="G874" s="16">
        <v>42047.0</v>
      </c>
      <c r="H874" s="14">
        <f t="shared" si="5"/>
        <v>1</v>
      </c>
      <c r="I874" s="7" t="s">
        <v>399</v>
      </c>
      <c r="J874" s="7" t="s">
        <v>611</v>
      </c>
      <c r="K874" s="7" t="str">
        <f>VLOOKUP(J874,countries,2,false)</f>
        <v>Portugal</v>
      </c>
      <c r="L874" s="7" t="str">
        <f>VLOOKUP($J874,countries,5,false)</f>
        <v>Europe</v>
      </c>
      <c r="M874" s="7" t="str">
        <f>VLOOKUP($J874,countries,6,false)</f>
        <v>Southern Europe</v>
      </c>
      <c r="N874" s="7">
        <v>3127.0</v>
      </c>
      <c r="O874" s="7" t="str">
        <f>VLOOKUP(N874, products, 2, FALSE)</f>
        <v>Personal Care</v>
      </c>
      <c r="P874" s="7" t="s">
        <v>264</v>
      </c>
      <c r="Q874" s="7">
        <v>5104.0</v>
      </c>
      <c r="R874" s="17">
        <v>81.73</v>
      </c>
      <c r="S874" s="17">
        <v>56.67</v>
      </c>
      <c r="U874" s="18">
        <f t="shared" si="6"/>
        <v>417149.92</v>
      </c>
      <c r="V874" s="18">
        <f t="shared" si="7"/>
        <v>289243.68</v>
      </c>
      <c r="W874" s="19">
        <f t="shared" si="8"/>
        <v>127906.24</v>
      </c>
    </row>
    <row r="875">
      <c r="A875" s="7">
        <v>6.67324435E8</v>
      </c>
      <c r="B875" s="12">
        <v>41200.0</v>
      </c>
      <c r="C875" s="7">
        <f t="shared" si="1"/>
        <v>2012</v>
      </c>
      <c r="D875" s="14" t="str">
        <f t="shared" si="2"/>
        <v>10 - Oct</v>
      </c>
      <c r="E875" s="15" t="str">
        <f t="shared" si="3"/>
        <v>Thu</v>
      </c>
      <c r="F875" s="15">
        <f t="shared" si="4"/>
        <v>4</v>
      </c>
      <c r="G875" s="16">
        <v>41213.0</v>
      </c>
      <c r="H875" s="14">
        <f t="shared" si="5"/>
        <v>13</v>
      </c>
      <c r="I875" s="7" t="s">
        <v>364</v>
      </c>
      <c r="J875" s="7" t="s">
        <v>656</v>
      </c>
      <c r="K875" s="7" t="str">
        <f>VLOOKUP(J875,countries,2,false)</f>
        <v>San Marino</v>
      </c>
      <c r="L875" s="7" t="str">
        <f>VLOOKUP($J875,countries,5,false)</f>
        <v>Europe</v>
      </c>
      <c r="M875" s="7" t="str">
        <f>VLOOKUP($J875,countries,6,false)</f>
        <v>Southern Europe</v>
      </c>
      <c r="N875" s="7">
        <v>7331.0</v>
      </c>
      <c r="O875" s="7" t="str">
        <f>VLOOKUP(N875, products, 2, FALSE)</f>
        <v>Baby Food</v>
      </c>
      <c r="P875" s="7" t="s">
        <v>264</v>
      </c>
      <c r="Q875" s="7">
        <v>4985.0</v>
      </c>
      <c r="R875" s="17">
        <v>255.28</v>
      </c>
      <c r="S875" s="17">
        <v>159.42</v>
      </c>
      <c r="U875" s="18">
        <f t="shared" si="6"/>
        <v>1272570.8</v>
      </c>
      <c r="V875" s="18">
        <f t="shared" si="7"/>
        <v>794708.7</v>
      </c>
      <c r="W875" s="19">
        <f t="shared" si="8"/>
        <v>477862.1</v>
      </c>
    </row>
    <row r="876">
      <c r="A876" s="7">
        <v>6.67420995E8</v>
      </c>
      <c r="B876" s="12">
        <v>40194.0</v>
      </c>
      <c r="C876" s="7">
        <f t="shared" si="1"/>
        <v>2010</v>
      </c>
      <c r="D876" s="14" t="str">
        <f t="shared" si="2"/>
        <v>01 - Jan</v>
      </c>
      <c r="E876" s="15" t="str">
        <f t="shared" si="3"/>
        <v>Sat</v>
      </c>
      <c r="F876" s="15">
        <f t="shared" si="4"/>
        <v>6</v>
      </c>
      <c r="G876" s="16">
        <v>40196.0</v>
      </c>
      <c r="H876" s="14">
        <f t="shared" si="5"/>
        <v>2</v>
      </c>
      <c r="I876" s="7" t="s">
        <v>305</v>
      </c>
      <c r="J876" s="7" t="s">
        <v>90</v>
      </c>
      <c r="K876" s="7" t="str">
        <f>VLOOKUP(J876,countries,2,false)</f>
        <v>Armenia</v>
      </c>
      <c r="L876" s="7" t="str">
        <f>VLOOKUP($J876,countries,5,false)</f>
        <v>Asia</v>
      </c>
      <c r="M876" s="7" t="str">
        <f>VLOOKUP($J876,countries,6,false)</f>
        <v>Western Asia</v>
      </c>
      <c r="N876" s="7">
        <v>3127.0</v>
      </c>
      <c r="O876" s="7" t="str">
        <f>VLOOKUP(N876, products, 2, FALSE)</f>
        <v>Personal Care</v>
      </c>
      <c r="P876" s="7" t="s">
        <v>264</v>
      </c>
      <c r="Q876" s="7">
        <v>3559.0</v>
      </c>
      <c r="R876" s="17">
        <v>81.73</v>
      </c>
      <c r="S876" s="17">
        <v>56.67</v>
      </c>
      <c r="U876" s="18">
        <f t="shared" si="6"/>
        <v>290877.07</v>
      </c>
      <c r="V876" s="18">
        <f t="shared" si="7"/>
        <v>201688.53</v>
      </c>
      <c r="W876" s="19">
        <f t="shared" si="8"/>
        <v>89188.54</v>
      </c>
    </row>
    <row r="877">
      <c r="A877" s="7">
        <v>6.68280589E8</v>
      </c>
      <c r="B877" s="12">
        <v>41316.0</v>
      </c>
      <c r="C877" s="7">
        <f t="shared" si="1"/>
        <v>2013</v>
      </c>
      <c r="D877" s="14" t="str">
        <f t="shared" si="2"/>
        <v>02 - Feb</v>
      </c>
      <c r="E877" s="15" t="str">
        <f t="shared" si="3"/>
        <v>Mon</v>
      </c>
      <c r="F877" s="15">
        <f t="shared" si="4"/>
        <v>1</v>
      </c>
      <c r="G877" s="16">
        <v>41361.0</v>
      </c>
      <c r="H877" s="14">
        <f t="shared" si="5"/>
        <v>45</v>
      </c>
      <c r="I877" s="7" t="s">
        <v>364</v>
      </c>
      <c r="J877" s="7" t="s">
        <v>611</v>
      </c>
      <c r="K877" s="7" t="str">
        <f>VLOOKUP(J877,countries,2,false)</f>
        <v>Portugal</v>
      </c>
      <c r="L877" s="7" t="str">
        <f>VLOOKUP($J877,countries,5,false)</f>
        <v>Europe</v>
      </c>
      <c r="M877" s="7" t="str">
        <f>VLOOKUP($J877,countries,6,false)</f>
        <v>Southern Europe</v>
      </c>
      <c r="N877" s="7">
        <v>8875.0</v>
      </c>
      <c r="O877" s="7" t="str">
        <f>VLOOKUP(N877, products, 2, FALSE)</f>
        <v>Meat</v>
      </c>
      <c r="P877" s="7" t="s">
        <v>264</v>
      </c>
      <c r="Q877" s="7">
        <v>7932.0</v>
      </c>
      <c r="R877" s="17">
        <v>421.89</v>
      </c>
      <c r="S877" s="17">
        <v>364.69</v>
      </c>
      <c r="U877" s="18">
        <f t="shared" si="6"/>
        <v>3346431.48</v>
      </c>
      <c r="V877" s="18">
        <f t="shared" si="7"/>
        <v>2892721.08</v>
      </c>
      <c r="W877" s="19">
        <f t="shared" si="8"/>
        <v>453710.4</v>
      </c>
    </row>
    <row r="878">
      <c r="A878" s="7">
        <v>6.69353473E8</v>
      </c>
      <c r="B878" s="12">
        <v>41814.0</v>
      </c>
      <c r="C878" s="7">
        <f t="shared" si="1"/>
        <v>2014</v>
      </c>
      <c r="D878" s="14" t="str">
        <f t="shared" si="2"/>
        <v>06 - Jun</v>
      </c>
      <c r="E878" s="15" t="str">
        <f t="shared" si="3"/>
        <v>Tue</v>
      </c>
      <c r="F878" s="15">
        <f t="shared" si="4"/>
        <v>2</v>
      </c>
      <c r="G878" s="16">
        <v>41827.0</v>
      </c>
      <c r="H878" s="14">
        <f t="shared" si="5"/>
        <v>13</v>
      </c>
      <c r="I878" s="7" t="s">
        <v>305</v>
      </c>
      <c r="J878" s="7" t="s">
        <v>120</v>
      </c>
      <c r="K878" s="7" t="str">
        <f>VLOOKUP(J878,countries,2,false)</f>
        <v>Belarus</v>
      </c>
      <c r="L878" s="7" t="str">
        <f>VLOOKUP($J878,countries,5,false)</f>
        <v>Europe</v>
      </c>
      <c r="M878" s="7" t="str">
        <f>VLOOKUP($J878,countries,6,false)</f>
        <v>Eastern Europe</v>
      </c>
      <c r="N878" s="7">
        <v>4594.0</v>
      </c>
      <c r="O878" s="7" t="str">
        <f>VLOOKUP(N878, products, 2, FALSE)</f>
        <v>Fruits</v>
      </c>
      <c r="P878" s="7" t="s">
        <v>264</v>
      </c>
      <c r="Q878" s="7">
        <v>5422.0</v>
      </c>
      <c r="R878" s="17">
        <v>9.33</v>
      </c>
      <c r="S878" s="17">
        <v>6.92</v>
      </c>
      <c r="U878" s="18">
        <f t="shared" si="6"/>
        <v>50587.26</v>
      </c>
      <c r="V878" s="18">
        <f t="shared" si="7"/>
        <v>37520.24</v>
      </c>
      <c r="W878" s="19">
        <f t="shared" si="8"/>
        <v>13067.02</v>
      </c>
    </row>
    <row r="879">
      <c r="A879" s="7">
        <v>6.69550883E8</v>
      </c>
      <c r="B879" s="12">
        <v>42215.0</v>
      </c>
      <c r="C879" s="7">
        <f t="shared" si="1"/>
        <v>2015</v>
      </c>
      <c r="D879" s="14" t="str">
        <f t="shared" si="2"/>
        <v>07 - Jul</v>
      </c>
      <c r="E879" s="15" t="str">
        <f t="shared" si="3"/>
        <v>Thu</v>
      </c>
      <c r="F879" s="15">
        <f t="shared" si="4"/>
        <v>4</v>
      </c>
      <c r="G879" s="16">
        <v>42263.0</v>
      </c>
      <c r="H879" s="14">
        <f t="shared" si="5"/>
        <v>48</v>
      </c>
      <c r="I879" s="7" t="s">
        <v>399</v>
      </c>
      <c r="J879" s="7" t="s">
        <v>120</v>
      </c>
      <c r="K879" s="7" t="str">
        <f>VLOOKUP(J879,countries,2,false)</f>
        <v>Belarus</v>
      </c>
      <c r="L879" s="7" t="str">
        <f>VLOOKUP($J879,countries,5,false)</f>
        <v>Europe</v>
      </c>
      <c r="M879" s="7" t="str">
        <f>VLOOKUP($J879,countries,6,false)</f>
        <v>Eastern Europe</v>
      </c>
      <c r="N879" s="7">
        <v>8293.0</v>
      </c>
      <c r="O879" s="7" t="str">
        <f>VLOOKUP(N879, products, 2, FALSE)</f>
        <v>Cosmetics</v>
      </c>
      <c r="P879" s="7" t="s">
        <v>334</v>
      </c>
      <c r="Q879" s="7">
        <v>3840.0</v>
      </c>
      <c r="R879" s="17">
        <v>437.2</v>
      </c>
      <c r="S879" s="17">
        <v>263.33</v>
      </c>
      <c r="U879" s="18">
        <f t="shared" si="6"/>
        <v>1678848</v>
      </c>
      <c r="V879" s="18">
        <f t="shared" si="7"/>
        <v>1011187.2</v>
      </c>
      <c r="W879" s="19">
        <f t="shared" si="8"/>
        <v>667660.8</v>
      </c>
    </row>
    <row r="880">
      <c r="A880" s="7">
        <v>6.70274865E8</v>
      </c>
      <c r="B880" s="12">
        <v>41186.0</v>
      </c>
      <c r="C880" s="7">
        <f t="shared" si="1"/>
        <v>2012</v>
      </c>
      <c r="D880" s="14" t="str">
        <f t="shared" si="2"/>
        <v>10 - Oct</v>
      </c>
      <c r="E880" s="15" t="str">
        <f t="shared" si="3"/>
        <v>Thu</v>
      </c>
      <c r="F880" s="15">
        <f t="shared" si="4"/>
        <v>4</v>
      </c>
      <c r="G880" s="16">
        <v>41226.0</v>
      </c>
      <c r="H880" s="14">
        <f t="shared" si="5"/>
        <v>40</v>
      </c>
      <c r="I880" s="7" t="s">
        <v>305</v>
      </c>
      <c r="J880" s="7" t="s">
        <v>720</v>
      </c>
      <c r="K880" s="7" t="str">
        <f>VLOOKUP(J880,countries,2,false)</f>
        <v>Switzerland</v>
      </c>
      <c r="L880" s="7" t="str">
        <f>VLOOKUP($J880,countries,5,false)</f>
        <v>Europe</v>
      </c>
      <c r="M880" s="7" t="str">
        <f>VLOOKUP($J880,countries,6,false)</f>
        <v>Western Europe</v>
      </c>
      <c r="N880" s="7">
        <v>5988.0</v>
      </c>
      <c r="O880" s="7" t="str">
        <f>VLOOKUP(N880, products, 2, FALSE)</f>
        <v>Vegetables</v>
      </c>
      <c r="P880" s="7" t="s">
        <v>264</v>
      </c>
      <c r="Q880" s="7">
        <v>8082.0</v>
      </c>
      <c r="R880" s="17">
        <v>154.06</v>
      </c>
      <c r="S880" s="17">
        <v>90.93</v>
      </c>
      <c r="U880" s="18">
        <f t="shared" si="6"/>
        <v>1245112.92</v>
      </c>
      <c r="V880" s="18">
        <f t="shared" si="7"/>
        <v>734896.26</v>
      </c>
      <c r="W880" s="19">
        <f t="shared" si="8"/>
        <v>510216.66</v>
      </c>
    </row>
    <row r="881">
      <c r="A881" s="7">
        <v>6.71616399E8</v>
      </c>
      <c r="B881" s="12">
        <v>41219.0</v>
      </c>
      <c r="C881" s="7">
        <f t="shared" si="1"/>
        <v>2012</v>
      </c>
      <c r="D881" s="14" t="str">
        <f t="shared" si="2"/>
        <v>11 - Nov</v>
      </c>
      <c r="E881" s="15" t="str">
        <f t="shared" si="3"/>
        <v>Tue</v>
      </c>
      <c r="F881" s="15">
        <f t="shared" si="4"/>
        <v>2</v>
      </c>
      <c r="G881" s="16">
        <v>41253.0</v>
      </c>
      <c r="H881" s="14">
        <f t="shared" si="5"/>
        <v>34</v>
      </c>
      <c r="I881" s="7" t="s">
        <v>305</v>
      </c>
      <c r="J881" s="7" t="s">
        <v>516</v>
      </c>
      <c r="K881" s="7" t="str">
        <f>VLOOKUP(J881,countries,2,false)</f>
        <v>Monaco</v>
      </c>
      <c r="L881" s="7" t="str">
        <f>VLOOKUP($J881,countries,5,false)</f>
        <v>Europe</v>
      </c>
      <c r="M881" s="7" t="str">
        <f>VLOOKUP($J881,countries,6,false)</f>
        <v>Western Europe</v>
      </c>
      <c r="N881" s="7">
        <v>5988.0</v>
      </c>
      <c r="O881" s="7" t="str">
        <f>VLOOKUP(N881, products, 2, FALSE)</f>
        <v>Vegetables</v>
      </c>
      <c r="P881" s="7" t="s">
        <v>334</v>
      </c>
      <c r="Q881" s="7">
        <v>5072.0</v>
      </c>
      <c r="R881" s="17">
        <v>154.06</v>
      </c>
      <c r="S881" s="17">
        <v>90.93</v>
      </c>
      <c r="U881" s="18">
        <f t="shared" si="6"/>
        <v>781392.32</v>
      </c>
      <c r="V881" s="18">
        <f t="shared" si="7"/>
        <v>461196.96</v>
      </c>
      <c r="W881" s="19">
        <f t="shared" si="8"/>
        <v>320195.36</v>
      </c>
    </row>
    <row r="882">
      <c r="A882" s="7">
        <v>6.72330081E8</v>
      </c>
      <c r="B882" s="12">
        <v>40482.0</v>
      </c>
      <c r="C882" s="7">
        <f t="shared" si="1"/>
        <v>2010</v>
      </c>
      <c r="D882" s="14" t="str">
        <f t="shared" si="2"/>
        <v>10 - Oct</v>
      </c>
      <c r="E882" s="15" t="str">
        <f t="shared" si="3"/>
        <v>Sun</v>
      </c>
      <c r="F882" s="15">
        <f t="shared" si="4"/>
        <v>7</v>
      </c>
      <c r="G882" s="16">
        <v>40511.0</v>
      </c>
      <c r="H882" s="14">
        <f t="shared" si="5"/>
        <v>29</v>
      </c>
      <c r="I882" s="7" t="s">
        <v>364</v>
      </c>
      <c r="J882" s="7" t="s">
        <v>165</v>
      </c>
      <c r="K882" s="7" t="str">
        <f>VLOOKUP(J882,countries,2,false)</f>
        <v>Bulgaria</v>
      </c>
      <c r="L882" s="7" t="str">
        <f>VLOOKUP($J882,countries,5,false)</f>
        <v>Europe</v>
      </c>
      <c r="M882" s="7" t="str">
        <f>VLOOKUP($J882,countries,6,false)</f>
        <v>Eastern Europe</v>
      </c>
      <c r="N882" s="7">
        <v>8681.0</v>
      </c>
      <c r="O882" s="7" t="str">
        <f>VLOOKUP(N882, products, 2, FALSE)</f>
        <v>Office Supplies</v>
      </c>
      <c r="P882" s="7" t="s">
        <v>264</v>
      </c>
      <c r="Q882" s="7">
        <v>6266.0</v>
      </c>
      <c r="R882" s="17">
        <v>651.21</v>
      </c>
      <c r="S882" s="17">
        <v>524.96</v>
      </c>
      <c r="U882" s="18">
        <f t="shared" si="6"/>
        <v>4080481.86</v>
      </c>
      <c r="V882" s="18">
        <f t="shared" si="7"/>
        <v>3289399.36</v>
      </c>
      <c r="W882" s="19">
        <f t="shared" si="8"/>
        <v>791082.5</v>
      </c>
    </row>
    <row r="883">
      <c r="A883" s="7">
        <v>6.72856652E8</v>
      </c>
      <c r="B883" s="12">
        <v>41817.0</v>
      </c>
      <c r="C883" s="7">
        <f t="shared" si="1"/>
        <v>2014</v>
      </c>
      <c r="D883" s="14" t="str">
        <f t="shared" si="2"/>
        <v>06 - Jun</v>
      </c>
      <c r="E883" s="15" t="str">
        <f t="shared" si="3"/>
        <v>Fri</v>
      </c>
      <c r="F883" s="15">
        <f t="shared" si="4"/>
        <v>5</v>
      </c>
      <c r="G883" s="16">
        <v>41854.0</v>
      </c>
      <c r="H883" s="14">
        <f t="shared" si="5"/>
        <v>37</v>
      </c>
      <c r="I883" s="7" t="s">
        <v>305</v>
      </c>
      <c r="J883" s="7" t="s">
        <v>348</v>
      </c>
      <c r="K883" s="7" t="s">
        <v>348</v>
      </c>
      <c r="L883" s="7" t="s">
        <v>348</v>
      </c>
      <c r="M883" s="7" t="s">
        <v>348</v>
      </c>
      <c r="N883" s="7">
        <v>7940.0</v>
      </c>
      <c r="O883" s="7" t="str">
        <f>VLOOKUP(N883, products, 2, FALSE)</f>
        <v>Household</v>
      </c>
      <c r="P883" s="7" t="s">
        <v>264</v>
      </c>
      <c r="Q883" s="7">
        <v>2091.0</v>
      </c>
      <c r="R883" s="17">
        <v>668.27</v>
      </c>
      <c r="S883" s="17">
        <v>502.54</v>
      </c>
      <c r="U883" s="18">
        <f t="shared" si="6"/>
        <v>1397352.57</v>
      </c>
      <c r="V883" s="18">
        <f t="shared" si="7"/>
        <v>1050811.14</v>
      </c>
      <c r="W883" s="19">
        <f t="shared" si="8"/>
        <v>346541.43</v>
      </c>
    </row>
    <row r="884">
      <c r="A884" s="7">
        <v>6.74060428E8</v>
      </c>
      <c r="B884" s="12">
        <v>41258.0</v>
      </c>
      <c r="C884" s="7">
        <f t="shared" si="1"/>
        <v>2012</v>
      </c>
      <c r="D884" s="14" t="str">
        <f t="shared" si="2"/>
        <v>12 - Dec</v>
      </c>
      <c r="E884" s="15" t="str">
        <f t="shared" si="3"/>
        <v>Sat</v>
      </c>
      <c r="F884" s="15">
        <f t="shared" si="4"/>
        <v>6</v>
      </c>
      <c r="G884" s="16">
        <v>41260.0</v>
      </c>
      <c r="H884" s="14">
        <f t="shared" si="5"/>
        <v>2</v>
      </c>
      <c r="I884" s="7" t="s">
        <v>364</v>
      </c>
      <c r="J884" s="7" t="s">
        <v>120</v>
      </c>
      <c r="K884" s="7" t="str">
        <f>VLOOKUP(J884,countries,2,false)</f>
        <v>Belarus</v>
      </c>
      <c r="L884" s="7" t="str">
        <f>VLOOKUP($J884,countries,5,false)</f>
        <v>Europe</v>
      </c>
      <c r="M884" s="7" t="str">
        <f>VLOOKUP($J884,countries,6,false)</f>
        <v>Eastern Europe</v>
      </c>
      <c r="N884" s="7">
        <v>2103.0</v>
      </c>
      <c r="O884" s="7" t="str">
        <f>VLOOKUP(N884, products, 2, FALSE)</f>
        <v>Cereal</v>
      </c>
      <c r="P884" s="7" t="s">
        <v>264</v>
      </c>
      <c r="Q884" s="7">
        <v>8315.0</v>
      </c>
      <c r="R884" s="17">
        <v>205.7</v>
      </c>
      <c r="S884" s="17">
        <v>117.11</v>
      </c>
      <c r="U884" s="18">
        <f t="shared" si="6"/>
        <v>1710395.5</v>
      </c>
      <c r="V884" s="18">
        <f t="shared" si="7"/>
        <v>973769.65</v>
      </c>
      <c r="W884" s="19">
        <f t="shared" si="8"/>
        <v>736625.85</v>
      </c>
    </row>
    <row r="885">
      <c r="A885" s="7">
        <v>6.77851569E8</v>
      </c>
      <c r="B885" s="12">
        <v>40596.0</v>
      </c>
      <c r="C885" s="7">
        <f t="shared" si="1"/>
        <v>2011</v>
      </c>
      <c r="D885" s="14" t="str">
        <f t="shared" si="2"/>
        <v>02 - Feb</v>
      </c>
      <c r="E885" s="15" t="str">
        <f t="shared" si="3"/>
        <v>Tue</v>
      </c>
      <c r="F885" s="15">
        <f t="shared" si="4"/>
        <v>2</v>
      </c>
      <c r="G885" s="16">
        <v>40604.0</v>
      </c>
      <c r="H885" s="14">
        <f t="shared" si="5"/>
        <v>8</v>
      </c>
      <c r="I885" s="7" t="s">
        <v>232</v>
      </c>
      <c r="J885" s="7" t="s">
        <v>406</v>
      </c>
      <c r="K885" s="7" t="str">
        <f>VLOOKUP(J885,countries,2,false)</f>
        <v>Italy</v>
      </c>
      <c r="L885" s="7" t="str">
        <f>VLOOKUP($J885,countries,5,false)</f>
        <v>Europe</v>
      </c>
      <c r="M885" s="7" t="str">
        <f>VLOOKUP($J885,countries,6,false)</f>
        <v>Southern Europe</v>
      </c>
      <c r="N885" s="7">
        <v>7940.0</v>
      </c>
      <c r="O885" s="7" t="str">
        <f>VLOOKUP(N885, products, 2, FALSE)</f>
        <v>Household</v>
      </c>
      <c r="P885" s="7" t="s">
        <v>334</v>
      </c>
      <c r="Q885" s="7">
        <v>198.0</v>
      </c>
      <c r="R885" s="17">
        <v>668.27</v>
      </c>
      <c r="S885" s="17">
        <v>502.54</v>
      </c>
      <c r="U885" s="18">
        <f t="shared" si="6"/>
        <v>132317.46</v>
      </c>
      <c r="V885" s="18">
        <f t="shared" si="7"/>
        <v>99502.92</v>
      </c>
      <c r="W885" s="19">
        <f t="shared" si="8"/>
        <v>32814.54</v>
      </c>
    </row>
    <row r="886">
      <c r="A886" s="7">
        <v>6.79039466E8</v>
      </c>
      <c r="B886" s="12">
        <v>41063.0</v>
      </c>
      <c r="C886" s="7">
        <f t="shared" si="1"/>
        <v>2012</v>
      </c>
      <c r="D886" s="14" t="str">
        <f t="shared" si="2"/>
        <v>06 - Jun</v>
      </c>
      <c r="E886" s="15" t="str">
        <f t="shared" si="3"/>
        <v>Sun</v>
      </c>
      <c r="F886" s="15">
        <f t="shared" si="4"/>
        <v>7</v>
      </c>
      <c r="G886" s="16">
        <v>41095.0</v>
      </c>
      <c r="H886" s="14">
        <f t="shared" si="5"/>
        <v>32</v>
      </c>
      <c r="I886" s="7" t="s">
        <v>399</v>
      </c>
      <c r="J886" s="7" t="s">
        <v>717</v>
      </c>
      <c r="K886" s="7" t="str">
        <f>VLOOKUP(J886,countries,2,false)</f>
        <v>Sweden</v>
      </c>
      <c r="L886" s="7" t="str">
        <f>VLOOKUP($J886,countries,5,false)</f>
        <v>Europe</v>
      </c>
      <c r="M886" s="7" t="str">
        <f>VLOOKUP($J886,countries,6,false)</f>
        <v>Northern Europe</v>
      </c>
      <c r="N886" s="7">
        <v>8293.0</v>
      </c>
      <c r="O886" s="7" t="str">
        <f>VLOOKUP(N886, products, 2, FALSE)</f>
        <v>Cosmetics</v>
      </c>
      <c r="P886" s="7" t="s">
        <v>334</v>
      </c>
      <c r="Q886" s="7">
        <v>1723.0</v>
      </c>
      <c r="R886" s="17">
        <v>437.2</v>
      </c>
      <c r="S886" s="17">
        <v>263.33</v>
      </c>
      <c r="U886" s="18">
        <f t="shared" si="6"/>
        <v>753295.6</v>
      </c>
      <c r="V886" s="18">
        <f t="shared" si="7"/>
        <v>453717.59</v>
      </c>
      <c r="W886" s="19">
        <f t="shared" si="8"/>
        <v>299578.01</v>
      </c>
    </row>
    <row r="887">
      <c r="A887" s="7">
        <v>6.7910856E8</v>
      </c>
      <c r="B887" s="12">
        <v>41756.0</v>
      </c>
      <c r="C887" s="7">
        <f t="shared" si="1"/>
        <v>2014</v>
      </c>
      <c r="D887" s="14" t="str">
        <f t="shared" si="2"/>
        <v>04 - Apr</v>
      </c>
      <c r="E887" s="15" t="str">
        <f t="shared" si="3"/>
        <v>Sun</v>
      </c>
      <c r="F887" s="15">
        <f t="shared" si="4"/>
        <v>7</v>
      </c>
      <c r="G887" s="16">
        <v>41801.0</v>
      </c>
      <c r="H887" s="14">
        <f t="shared" si="5"/>
        <v>45</v>
      </c>
      <c r="I887" s="7" t="s">
        <v>232</v>
      </c>
      <c r="J887" s="7" t="s">
        <v>462</v>
      </c>
      <c r="K887" s="7" t="str">
        <f>VLOOKUP(J887,countries,2,false)</f>
        <v>Liechtenstein</v>
      </c>
      <c r="L887" s="7" t="str">
        <f>VLOOKUP($J887,countries,5,false)</f>
        <v>Europe</v>
      </c>
      <c r="M887" s="7" t="str">
        <f>VLOOKUP($J887,countries,6,false)</f>
        <v>Western Europe</v>
      </c>
      <c r="N887" s="7">
        <v>7940.0</v>
      </c>
      <c r="O887" s="7" t="str">
        <f>VLOOKUP(N887, products, 2, FALSE)</f>
        <v>Household</v>
      </c>
      <c r="P887" s="7" t="s">
        <v>264</v>
      </c>
      <c r="Q887" s="7">
        <v>2169.0</v>
      </c>
      <c r="R887" s="17">
        <v>668.27</v>
      </c>
      <c r="S887" s="17">
        <v>502.54</v>
      </c>
      <c r="U887" s="18">
        <f t="shared" si="6"/>
        <v>1449477.63</v>
      </c>
      <c r="V887" s="18">
        <f t="shared" si="7"/>
        <v>1090009.26</v>
      </c>
      <c r="W887" s="19">
        <f t="shared" si="8"/>
        <v>359468.37</v>
      </c>
    </row>
    <row r="888">
      <c r="A888" s="7">
        <v>6.8032521E8</v>
      </c>
      <c r="B888" s="12">
        <v>42907.0</v>
      </c>
      <c r="C888" s="7">
        <f t="shared" si="1"/>
        <v>2017</v>
      </c>
      <c r="D888" s="14" t="str">
        <f t="shared" si="2"/>
        <v>06 - Jun</v>
      </c>
      <c r="E888" s="15" t="str">
        <f t="shared" si="3"/>
        <v>Wed</v>
      </c>
      <c r="F888" s="15">
        <f t="shared" si="4"/>
        <v>3</v>
      </c>
      <c r="G888" s="16">
        <v>42939.0</v>
      </c>
      <c r="H888" s="14">
        <f t="shared" si="5"/>
        <v>32</v>
      </c>
      <c r="I888" s="7" t="s">
        <v>305</v>
      </c>
      <c r="J888" s="7" t="s">
        <v>293</v>
      </c>
      <c r="K888" s="7" t="str">
        <f>VLOOKUP(J888,countries,2,false)</f>
        <v>Finland</v>
      </c>
      <c r="L888" s="7" t="str">
        <f>VLOOKUP($J888,countries,5,false)</f>
        <v>Europe</v>
      </c>
      <c r="M888" s="7" t="str">
        <f>VLOOKUP($J888,countries,6,false)</f>
        <v>Northern Europe</v>
      </c>
      <c r="N888" s="7">
        <v>5988.0</v>
      </c>
      <c r="O888" s="7" t="str">
        <f>VLOOKUP(N888, products, 2, FALSE)</f>
        <v>Vegetables</v>
      </c>
      <c r="P888" s="7" t="s">
        <v>264</v>
      </c>
      <c r="Q888" s="7">
        <v>2203.0</v>
      </c>
      <c r="R888" s="17">
        <v>154.06</v>
      </c>
      <c r="S888" s="17">
        <v>90.93</v>
      </c>
      <c r="U888" s="18">
        <f t="shared" si="6"/>
        <v>339394.18</v>
      </c>
      <c r="V888" s="18">
        <f t="shared" si="7"/>
        <v>200318.79</v>
      </c>
      <c r="W888" s="19">
        <f t="shared" si="8"/>
        <v>139075.39</v>
      </c>
    </row>
    <row r="889">
      <c r="A889" s="7">
        <v>6.81713092E8</v>
      </c>
      <c r="B889" s="12">
        <v>40245.0</v>
      </c>
      <c r="C889" s="7">
        <f t="shared" si="1"/>
        <v>2010</v>
      </c>
      <c r="D889" s="14" t="str">
        <f t="shared" si="2"/>
        <v>03 - Mar</v>
      </c>
      <c r="E889" s="15" t="str">
        <f t="shared" si="3"/>
        <v>Mon</v>
      </c>
      <c r="F889" s="15">
        <f t="shared" si="4"/>
        <v>1</v>
      </c>
      <c r="G889" s="16">
        <v>40259.0</v>
      </c>
      <c r="H889" s="14">
        <f t="shared" si="5"/>
        <v>14</v>
      </c>
      <c r="I889" s="7" t="s">
        <v>399</v>
      </c>
      <c r="J889" s="7" t="s">
        <v>120</v>
      </c>
      <c r="K889" s="7" t="str">
        <f>VLOOKUP(J889,countries,2,false)</f>
        <v>Belarus</v>
      </c>
      <c r="L889" s="7" t="str">
        <f>VLOOKUP($J889,countries,5,false)</f>
        <v>Europe</v>
      </c>
      <c r="M889" s="7" t="str">
        <f>VLOOKUP($J889,countries,6,false)</f>
        <v>Eastern Europe</v>
      </c>
      <c r="N889" s="7">
        <v>1270.0</v>
      </c>
      <c r="O889" s="7" t="str">
        <f>VLOOKUP(N889, products, 2, FALSE)</f>
        <v>Beverages</v>
      </c>
      <c r="P889" s="7" t="s">
        <v>264</v>
      </c>
      <c r="Q889" s="7">
        <v>2908.0</v>
      </c>
      <c r="R889" s="17">
        <v>47.45</v>
      </c>
      <c r="S889" s="17">
        <v>31.79</v>
      </c>
      <c r="U889" s="18">
        <f t="shared" si="6"/>
        <v>137984.6</v>
      </c>
      <c r="V889" s="18">
        <f t="shared" si="7"/>
        <v>92445.32</v>
      </c>
      <c r="W889" s="19">
        <f t="shared" si="8"/>
        <v>45539.28</v>
      </c>
    </row>
    <row r="890">
      <c r="A890" s="7">
        <v>6.82066285E8</v>
      </c>
      <c r="B890" s="12">
        <v>41420.0</v>
      </c>
      <c r="C890" s="7">
        <f t="shared" si="1"/>
        <v>2013</v>
      </c>
      <c r="D890" s="14" t="str">
        <f t="shared" si="2"/>
        <v>05 - May</v>
      </c>
      <c r="E890" s="15" t="str">
        <f t="shared" si="3"/>
        <v>Sun</v>
      </c>
      <c r="F890" s="15">
        <f t="shared" si="4"/>
        <v>7</v>
      </c>
      <c r="G890" s="16">
        <v>41468.0</v>
      </c>
      <c r="H890" s="14">
        <f t="shared" si="5"/>
        <v>48</v>
      </c>
      <c r="I890" s="7" t="s">
        <v>399</v>
      </c>
      <c r="J890" s="7" t="s">
        <v>124</v>
      </c>
      <c r="K890" s="7" t="str">
        <f>VLOOKUP(J890,countries,2,false)</f>
        <v>Belgium</v>
      </c>
      <c r="L890" s="7" t="str">
        <f>VLOOKUP($J890,countries,5,false)</f>
        <v>Europe</v>
      </c>
      <c r="M890" s="7" t="str">
        <f>VLOOKUP($J890,countries,6,false)</f>
        <v>Western Europe</v>
      </c>
      <c r="N890" s="7">
        <v>5988.0</v>
      </c>
      <c r="O890" s="7" t="str">
        <f>VLOOKUP(N890, products, 2, FALSE)</f>
        <v>Vegetables</v>
      </c>
      <c r="P890" s="7" t="s">
        <v>264</v>
      </c>
      <c r="Q890" s="7">
        <v>7426.0</v>
      </c>
      <c r="R890" s="17">
        <v>154.06</v>
      </c>
      <c r="S890" s="17">
        <v>90.93</v>
      </c>
      <c r="U890" s="18">
        <f t="shared" si="6"/>
        <v>1144049.56</v>
      </c>
      <c r="V890" s="18">
        <f t="shared" si="7"/>
        <v>675246.18</v>
      </c>
      <c r="W890" s="19">
        <f t="shared" si="8"/>
        <v>468803.38</v>
      </c>
    </row>
    <row r="891">
      <c r="A891" s="7">
        <v>6.82162415E8</v>
      </c>
      <c r="B891" s="12">
        <v>42385.0</v>
      </c>
      <c r="C891" s="7">
        <f t="shared" si="1"/>
        <v>2016</v>
      </c>
      <c r="D891" s="14" t="str">
        <f t="shared" si="2"/>
        <v>01 - Jan</v>
      </c>
      <c r="E891" s="15" t="str">
        <f t="shared" si="3"/>
        <v>Sat</v>
      </c>
      <c r="F891" s="15">
        <f t="shared" si="4"/>
        <v>6</v>
      </c>
      <c r="G891" s="16">
        <v>42426.0</v>
      </c>
      <c r="H891" s="14">
        <f t="shared" si="5"/>
        <v>41</v>
      </c>
      <c r="I891" s="7" t="s">
        <v>305</v>
      </c>
      <c r="J891" s="7" t="s">
        <v>623</v>
      </c>
      <c r="K891" s="7" t="str">
        <f>VLOOKUP(J891,countries,2,false)</f>
        <v>Romania</v>
      </c>
      <c r="L891" s="7" t="str">
        <f>VLOOKUP($J891,countries,5,false)</f>
        <v>Europe</v>
      </c>
      <c r="M891" s="7" t="str">
        <f>VLOOKUP($J891,countries,6,false)</f>
        <v>Eastern Europe</v>
      </c>
      <c r="N891" s="7">
        <v>8875.0</v>
      </c>
      <c r="O891" s="7" t="str">
        <f>VLOOKUP(N891, products, 2, FALSE)</f>
        <v>Meat</v>
      </c>
      <c r="P891" s="7" t="s">
        <v>334</v>
      </c>
      <c r="Q891" s="7">
        <v>5873.0</v>
      </c>
      <c r="R891" s="17">
        <v>421.89</v>
      </c>
      <c r="S891" s="17">
        <v>364.69</v>
      </c>
      <c r="U891" s="18">
        <f t="shared" si="6"/>
        <v>2477759.97</v>
      </c>
      <c r="V891" s="18">
        <f t="shared" si="7"/>
        <v>2141824.37</v>
      </c>
      <c r="W891" s="19">
        <f t="shared" si="8"/>
        <v>335935.6</v>
      </c>
    </row>
    <row r="892">
      <c r="A892" s="7">
        <v>6.82314765E8</v>
      </c>
      <c r="B892" s="12">
        <v>42334.0</v>
      </c>
      <c r="C892" s="7">
        <f t="shared" si="1"/>
        <v>2015</v>
      </c>
      <c r="D892" s="14" t="str">
        <f t="shared" si="2"/>
        <v>11 - Nov</v>
      </c>
      <c r="E892" s="15" t="str">
        <f t="shared" si="3"/>
        <v>Thu</v>
      </c>
      <c r="F892" s="15">
        <f t="shared" si="4"/>
        <v>4</v>
      </c>
      <c r="G892" s="16">
        <v>42358.0</v>
      </c>
      <c r="H892" s="14">
        <f t="shared" si="5"/>
        <v>24</v>
      </c>
      <c r="I892" s="7" t="s">
        <v>364</v>
      </c>
      <c r="J892" s="7" t="s">
        <v>319</v>
      </c>
      <c r="K892" s="7" t="str">
        <f>VLOOKUP(J892,countries,2,false)</f>
        <v>Germany</v>
      </c>
      <c r="L892" s="7" t="str">
        <f>VLOOKUP($J892,countries,5,false)</f>
        <v>Europe</v>
      </c>
      <c r="M892" s="7" t="str">
        <f>VLOOKUP($J892,countries,6,false)</f>
        <v>Western Europe</v>
      </c>
      <c r="N892" s="7">
        <v>1270.0</v>
      </c>
      <c r="O892" s="7" t="str">
        <f>VLOOKUP(N892, products, 2, FALSE)</f>
        <v>Beverages</v>
      </c>
      <c r="P892" s="7" t="s">
        <v>334</v>
      </c>
      <c r="Q892" s="7">
        <v>956.0</v>
      </c>
      <c r="R892" s="17">
        <v>47.45</v>
      </c>
      <c r="S892" s="17">
        <v>31.79</v>
      </c>
      <c r="U892" s="18">
        <f t="shared" si="6"/>
        <v>45362.2</v>
      </c>
      <c r="V892" s="18">
        <f t="shared" si="7"/>
        <v>30391.24</v>
      </c>
      <c r="W892" s="19">
        <f t="shared" si="8"/>
        <v>14970.96</v>
      </c>
    </row>
    <row r="893">
      <c r="A893" s="7">
        <v>6.84239947E8</v>
      </c>
      <c r="B893" s="12">
        <v>41510.0</v>
      </c>
      <c r="C893" s="7">
        <f t="shared" si="1"/>
        <v>2013</v>
      </c>
      <c r="D893" s="14" t="str">
        <f t="shared" si="2"/>
        <v>08 - Aug</v>
      </c>
      <c r="E893" s="15" t="str">
        <f t="shared" si="3"/>
        <v>Sat</v>
      </c>
      <c r="F893" s="15">
        <f t="shared" si="4"/>
        <v>6</v>
      </c>
      <c r="G893" s="16">
        <v>41517.0</v>
      </c>
      <c r="H893" s="14">
        <f t="shared" si="5"/>
        <v>7</v>
      </c>
      <c r="I893" s="7" t="s">
        <v>364</v>
      </c>
      <c r="J893" s="7" t="s">
        <v>717</v>
      </c>
      <c r="K893" s="7" t="str">
        <f>VLOOKUP(J893,countries,2,false)</f>
        <v>Sweden</v>
      </c>
      <c r="L893" s="7" t="str">
        <f>VLOOKUP($J893,countries,5,false)</f>
        <v>Europe</v>
      </c>
      <c r="M893" s="7" t="str">
        <f>VLOOKUP($J893,countries,6,false)</f>
        <v>Northern Europe</v>
      </c>
      <c r="N893" s="7">
        <v>8293.0</v>
      </c>
      <c r="O893" s="7" t="str">
        <f>VLOOKUP(N893, products, 2, FALSE)</f>
        <v>Cosmetics</v>
      </c>
      <c r="P893" s="7" t="s">
        <v>264</v>
      </c>
      <c r="Q893" s="7">
        <v>661.0</v>
      </c>
      <c r="R893" s="17">
        <v>437.2</v>
      </c>
      <c r="S893" s="17">
        <v>263.33</v>
      </c>
      <c r="U893" s="18">
        <f t="shared" si="6"/>
        <v>288989.2</v>
      </c>
      <c r="V893" s="18">
        <f t="shared" si="7"/>
        <v>174061.13</v>
      </c>
      <c r="W893" s="19">
        <f t="shared" si="8"/>
        <v>114928.07</v>
      </c>
    </row>
    <row r="894">
      <c r="A894" s="7">
        <v>6.84853637E8</v>
      </c>
      <c r="B894" s="12">
        <v>40954.0</v>
      </c>
      <c r="C894" s="7">
        <f t="shared" si="1"/>
        <v>2012</v>
      </c>
      <c r="D894" s="14" t="str">
        <f t="shared" si="2"/>
        <v>02 - Feb</v>
      </c>
      <c r="E894" s="15" t="str">
        <f t="shared" si="3"/>
        <v>Wed</v>
      </c>
      <c r="F894" s="15">
        <f t="shared" si="4"/>
        <v>3</v>
      </c>
      <c r="G894" s="16">
        <v>41002.0</v>
      </c>
      <c r="H894" s="14">
        <f t="shared" si="5"/>
        <v>48</v>
      </c>
      <c r="I894" s="7" t="s">
        <v>399</v>
      </c>
      <c r="J894" s="7" t="s">
        <v>611</v>
      </c>
      <c r="K894" s="7" t="str">
        <f>VLOOKUP(J894,countries,2,false)</f>
        <v>Portugal</v>
      </c>
      <c r="L894" s="7" t="str">
        <f>VLOOKUP($J894,countries,5,false)</f>
        <v>Europe</v>
      </c>
      <c r="M894" s="7" t="str">
        <f>VLOOKUP($J894,countries,6,false)</f>
        <v>Southern Europe</v>
      </c>
      <c r="N894" s="7">
        <v>2455.0</v>
      </c>
      <c r="O894" s="7" t="str">
        <f>VLOOKUP(N894, products, 2, FALSE)</f>
        <v>Clothes</v>
      </c>
      <c r="P894" s="7" t="s">
        <v>334</v>
      </c>
      <c r="Q894" s="7">
        <v>2265.0</v>
      </c>
      <c r="R894" s="17">
        <v>109.28</v>
      </c>
      <c r="S894" s="17">
        <v>35.84</v>
      </c>
      <c r="U894" s="18">
        <f t="shared" si="6"/>
        <v>247519.2</v>
      </c>
      <c r="V894" s="18">
        <f t="shared" si="7"/>
        <v>81177.6</v>
      </c>
      <c r="W894" s="19">
        <f t="shared" si="8"/>
        <v>166341.6</v>
      </c>
    </row>
    <row r="895">
      <c r="A895" s="7">
        <v>6.85233008E8</v>
      </c>
      <c r="B895" s="12">
        <v>40812.0</v>
      </c>
      <c r="C895" s="7">
        <f t="shared" si="1"/>
        <v>2011</v>
      </c>
      <c r="D895" s="14" t="str">
        <f t="shared" si="2"/>
        <v>09 - Sep</v>
      </c>
      <c r="E895" s="15" t="str">
        <f t="shared" si="3"/>
        <v>Mon</v>
      </c>
      <c r="F895" s="15">
        <f t="shared" si="4"/>
        <v>1</v>
      </c>
      <c r="G895" s="16">
        <v>40833.0</v>
      </c>
      <c r="H895" s="14">
        <f t="shared" si="5"/>
        <v>21</v>
      </c>
      <c r="I895" s="7" t="s">
        <v>305</v>
      </c>
      <c r="J895" s="7" t="s">
        <v>608</v>
      </c>
      <c r="K895" s="7" t="str">
        <f>VLOOKUP(J895,countries,2,false)</f>
        <v>Poland</v>
      </c>
      <c r="L895" s="7" t="str">
        <f>VLOOKUP($J895,countries,5,false)</f>
        <v>Europe</v>
      </c>
      <c r="M895" s="7" t="str">
        <f>VLOOKUP($J895,countries,6,false)</f>
        <v>Eastern Europe</v>
      </c>
      <c r="N895" s="7">
        <v>7331.0</v>
      </c>
      <c r="O895" s="7" t="str">
        <f>VLOOKUP(N895, products, 2, FALSE)</f>
        <v>Baby Food</v>
      </c>
      <c r="P895" s="7" t="s">
        <v>264</v>
      </c>
      <c r="Q895" s="7">
        <v>4529.0</v>
      </c>
      <c r="R895" s="17">
        <v>255.28</v>
      </c>
      <c r="S895" s="17">
        <v>159.42</v>
      </c>
      <c r="U895" s="18">
        <f t="shared" si="6"/>
        <v>1156163.12</v>
      </c>
      <c r="V895" s="18">
        <f t="shared" si="7"/>
        <v>722013.18</v>
      </c>
      <c r="W895" s="19">
        <f t="shared" si="8"/>
        <v>434149.94</v>
      </c>
    </row>
    <row r="896">
      <c r="A896" s="7">
        <v>6.8559693E8</v>
      </c>
      <c r="B896" s="12">
        <v>42489.0</v>
      </c>
      <c r="C896" s="7">
        <f t="shared" si="1"/>
        <v>2016</v>
      </c>
      <c r="D896" s="14" t="str">
        <f t="shared" si="2"/>
        <v>04 - Apr</v>
      </c>
      <c r="E896" s="15" t="str">
        <f t="shared" si="3"/>
        <v>Fri</v>
      </c>
      <c r="F896" s="15">
        <f t="shared" si="4"/>
        <v>5</v>
      </c>
      <c r="G896" s="16">
        <v>42537.0</v>
      </c>
      <c r="H896" s="14">
        <f t="shared" si="5"/>
        <v>48</v>
      </c>
      <c r="I896" s="7" t="s">
        <v>364</v>
      </c>
      <c r="J896" s="7" t="s">
        <v>365</v>
      </c>
      <c r="K896" s="7" t="str">
        <f>VLOOKUP(J896,countries,2,false)</f>
        <v>Montenegro</v>
      </c>
      <c r="L896" s="7" t="str">
        <f>VLOOKUP($J896,countries,5,false)</f>
        <v>Europe</v>
      </c>
      <c r="M896" s="7" t="str">
        <f>VLOOKUP($J896,countries,6,false)</f>
        <v>Southern Europe</v>
      </c>
      <c r="N896" s="7">
        <v>2455.0</v>
      </c>
      <c r="O896" s="7" t="str">
        <f>VLOOKUP(N896, products, 2, FALSE)</f>
        <v>Clothes</v>
      </c>
      <c r="P896" s="7" t="s">
        <v>264</v>
      </c>
      <c r="Q896" s="7">
        <v>2222.0</v>
      </c>
      <c r="R896" s="17">
        <v>109.28</v>
      </c>
      <c r="S896" s="17">
        <v>35.84</v>
      </c>
      <c r="U896" s="18">
        <f t="shared" si="6"/>
        <v>242820.16</v>
      </c>
      <c r="V896" s="18">
        <f t="shared" si="7"/>
        <v>79636.48</v>
      </c>
      <c r="W896" s="19">
        <f t="shared" si="8"/>
        <v>163183.68</v>
      </c>
    </row>
    <row r="897">
      <c r="A897" s="7">
        <v>6.87374913E8</v>
      </c>
      <c r="B897" s="12">
        <v>40188.0</v>
      </c>
      <c r="C897" s="7">
        <f t="shared" si="1"/>
        <v>2010</v>
      </c>
      <c r="D897" s="14" t="str">
        <f t="shared" si="2"/>
        <v>01 - Jan</v>
      </c>
      <c r="E897" s="15" t="str">
        <f t="shared" si="3"/>
        <v>Sun</v>
      </c>
      <c r="F897" s="15">
        <f t="shared" si="4"/>
        <v>7</v>
      </c>
      <c r="G897" s="16">
        <v>40235.0</v>
      </c>
      <c r="H897" s="14">
        <f t="shared" si="5"/>
        <v>47</v>
      </c>
      <c r="I897" s="7" t="s">
        <v>232</v>
      </c>
      <c r="J897" s="7" t="s">
        <v>328</v>
      </c>
      <c r="K897" s="7" t="str">
        <f>VLOOKUP(J897,countries,2,false)</f>
        <v>Greece</v>
      </c>
      <c r="L897" s="7" t="str">
        <f>VLOOKUP($J897,countries,5,false)</f>
        <v>Europe</v>
      </c>
      <c r="M897" s="7" t="str">
        <f>VLOOKUP($J897,countries,6,false)</f>
        <v>Southern Europe</v>
      </c>
      <c r="N897" s="7">
        <v>2103.0</v>
      </c>
      <c r="O897" s="7" t="str">
        <f>VLOOKUP(N897, products, 2, FALSE)</f>
        <v>Cereal</v>
      </c>
      <c r="P897" s="7" t="s">
        <v>264</v>
      </c>
      <c r="Q897" s="7">
        <v>8367.0</v>
      </c>
      <c r="R897" s="17">
        <v>205.7</v>
      </c>
      <c r="S897" s="17">
        <v>117.11</v>
      </c>
      <c r="U897" s="18">
        <f t="shared" si="6"/>
        <v>1721091.9</v>
      </c>
      <c r="V897" s="18">
        <f t="shared" si="7"/>
        <v>979859.37</v>
      </c>
      <c r="W897" s="19">
        <f t="shared" si="8"/>
        <v>741232.53</v>
      </c>
    </row>
    <row r="898">
      <c r="A898" s="7">
        <v>6.88650786E8</v>
      </c>
      <c r="B898" s="12">
        <v>40352.0</v>
      </c>
      <c r="C898" s="7">
        <f t="shared" si="1"/>
        <v>2010</v>
      </c>
      <c r="D898" s="14" t="str">
        <f t="shared" si="2"/>
        <v>06 - Jun</v>
      </c>
      <c r="E898" s="15" t="str">
        <f t="shared" si="3"/>
        <v>Wed</v>
      </c>
      <c r="F898" s="15">
        <f t="shared" si="4"/>
        <v>3</v>
      </c>
      <c r="G898" s="16">
        <v>40397.0</v>
      </c>
      <c r="H898" s="14">
        <f t="shared" si="5"/>
        <v>45</v>
      </c>
      <c r="I898" s="7" t="s">
        <v>399</v>
      </c>
      <c r="J898" s="7" t="s">
        <v>717</v>
      </c>
      <c r="K898" s="7" t="str">
        <f>VLOOKUP(J898,countries,2,false)</f>
        <v>Sweden</v>
      </c>
      <c r="L898" s="7" t="str">
        <f>VLOOKUP($J898,countries,5,false)</f>
        <v>Europe</v>
      </c>
      <c r="M898" s="7" t="str">
        <f>VLOOKUP($J898,countries,6,false)</f>
        <v>Northern Europe</v>
      </c>
      <c r="N898" s="7">
        <v>7940.0</v>
      </c>
      <c r="O898" s="7" t="str">
        <f>VLOOKUP(N898, products, 2, FALSE)</f>
        <v>Household</v>
      </c>
      <c r="P898" s="7" t="s">
        <v>334</v>
      </c>
      <c r="Q898" s="7">
        <v>5926.0</v>
      </c>
      <c r="R898" s="17">
        <v>668.27</v>
      </c>
      <c r="S898" s="17">
        <v>502.54</v>
      </c>
      <c r="U898" s="18">
        <f t="shared" si="6"/>
        <v>3960168.02</v>
      </c>
      <c r="V898" s="18">
        <f t="shared" si="7"/>
        <v>2978052.04</v>
      </c>
      <c r="W898" s="19">
        <f t="shared" si="8"/>
        <v>982115.98</v>
      </c>
    </row>
    <row r="899">
      <c r="A899" s="7">
        <v>6.88698422E8</v>
      </c>
      <c r="B899" s="12">
        <v>42806.0</v>
      </c>
      <c r="C899" s="7">
        <f t="shared" si="1"/>
        <v>2017</v>
      </c>
      <c r="D899" s="14" t="str">
        <f t="shared" si="2"/>
        <v>03 - Mar</v>
      </c>
      <c r="E899" s="15" t="str">
        <f t="shared" si="3"/>
        <v>Sun</v>
      </c>
      <c r="F899" s="15">
        <f t="shared" si="4"/>
        <v>7</v>
      </c>
      <c r="G899" s="16">
        <v>42826.0</v>
      </c>
      <c r="H899" s="14">
        <f t="shared" si="5"/>
        <v>20</v>
      </c>
      <c r="I899" s="7" t="s">
        <v>399</v>
      </c>
      <c r="J899" s="7" t="s">
        <v>546</v>
      </c>
      <c r="K899" s="7" t="str">
        <f>VLOOKUP(J899,countries,2,false)</f>
        <v>Netherlands</v>
      </c>
      <c r="L899" s="7" t="str">
        <f>VLOOKUP($J899,countries,5,false)</f>
        <v>Europe</v>
      </c>
      <c r="M899" s="7" t="str">
        <f>VLOOKUP($J899,countries,6,false)</f>
        <v>Western Europe</v>
      </c>
      <c r="N899" s="7">
        <v>5988.0</v>
      </c>
      <c r="O899" s="7" t="str">
        <f>VLOOKUP(N899, products, 2, FALSE)</f>
        <v>Vegetables</v>
      </c>
      <c r="P899" s="7" t="s">
        <v>334</v>
      </c>
      <c r="Q899" s="7">
        <v>22.0</v>
      </c>
      <c r="R899" s="17">
        <v>154.06</v>
      </c>
      <c r="S899" s="17">
        <v>90.93</v>
      </c>
      <c r="U899" s="18">
        <f t="shared" si="6"/>
        <v>3389.32</v>
      </c>
      <c r="V899" s="18">
        <f t="shared" si="7"/>
        <v>2000.46</v>
      </c>
      <c r="W899" s="19">
        <f t="shared" si="8"/>
        <v>1388.86</v>
      </c>
    </row>
    <row r="900">
      <c r="A900" s="7">
        <v>6.88903129E8</v>
      </c>
      <c r="B900" s="12">
        <v>42886.0</v>
      </c>
      <c r="C900" s="7">
        <f t="shared" si="1"/>
        <v>2017</v>
      </c>
      <c r="D900" s="14" t="str">
        <f t="shared" si="2"/>
        <v>05 - May</v>
      </c>
      <c r="E900" s="15" t="str">
        <f t="shared" si="3"/>
        <v>Wed</v>
      </c>
      <c r="F900" s="15">
        <f t="shared" si="4"/>
        <v>3</v>
      </c>
      <c r="G900" s="16">
        <v>42918.0</v>
      </c>
      <c r="H900" s="14">
        <f t="shared" si="5"/>
        <v>32</v>
      </c>
      <c r="I900" s="7" t="s">
        <v>232</v>
      </c>
      <c r="J900" s="7" t="s">
        <v>165</v>
      </c>
      <c r="K900" s="7" t="str">
        <f>VLOOKUP(J900,countries,2,false)</f>
        <v>Bulgaria</v>
      </c>
      <c r="L900" s="7" t="str">
        <f>VLOOKUP($J900,countries,5,false)</f>
        <v>Europe</v>
      </c>
      <c r="M900" s="7" t="str">
        <f>VLOOKUP($J900,countries,6,false)</f>
        <v>Eastern Europe</v>
      </c>
      <c r="N900" s="7">
        <v>7940.0</v>
      </c>
      <c r="O900" s="7" t="str">
        <f>VLOOKUP(N900, products, 2, FALSE)</f>
        <v>Household</v>
      </c>
      <c r="P900" s="7" t="s">
        <v>264</v>
      </c>
      <c r="Q900" s="7">
        <v>600.0</v>
      </c>
      <c r="R900" s="17">
        <v>668.27</v>
      </c>
      <c r="S900" s="17">
        <v>502.54</v>
      </c>
      <c r="U900" s="18">
        <f t="shared" si="6"/>
        <v>400962</v>
      </c>
      <c r="V900" s="18">
        <f t="shared" si="7"/>
        <v>301524</v>
      </c>
      <c r="W900" s="19">
        <f t="shared" si="8"/>
        <v>99438</v>
      </c>
    </row>
    <row r="901">
      <c r="A901" s="7">
        <v>6.89349019E8</v>
      </c>
      <c r="B901" s="12">
        <v>41435.0</v>
      </c>
      <c r="C901" s="7">
        <f t="shared" si="1"/>
        <v>2013</v>
      </c>
      <c r="D901" s="14" t="str">
        <f t="shared" si="2"/>
        <v>06 - Jun</v>
      </c>
      <c r="E901" s="15" t="str">
        <f t="shared" si="3"/>
        <v>Mon</v>
      </c>
      <c r="F901" s="15">
        <f t="shared" si="4"/>
        <v>1</v>
      </c>
      <c r="G901" s="16">
        <v>41478.0</v>
      </c>
      <c r="H901" s="14">
        <f t="shared" si="5"/>
        <v>43</v>
      </c>
      <c r="I901" s="7" t="s">
        <v>399</v>
      </c>
      <c r="J901" s="7" t="s">
        <v>378</v>
      </c>
      <c r="K901" s="7" t="str">
        <f>VLOOKUP(J901,countries,2,false)</f>
        <v>Hungary</v>
      </c>
      <c r="L901" s="7" t="str">
        <f>VLOOKUP($J901,countries,5,false)</f>
        <v>Europe</v>
      </c>
      <c r="M901" s="7" t="str">
        <f>VLOOKUP($J901,countries,6,false)</f>
        <v>Eastern Europe</v>
      </c>
      <c r="N901" s="7">
        <v>8293.0</v>
      </c>
      <c r="O901" s="7" t="str">
        <f>VLOOKUP(N901, products, 2, FALSE)</f>
        <v>Cosmetics</v>
      </c>
      <c r="P901" s="7" t="s">
        <v>334</v>
      </c>
      <c r="Q901" s="7">
        <v>2548.0</v>
      </c>
      <c r="R901" s="17">
        <v>437.2</v>
      </c>
      <c r="S901" s="17">
        <v>263.33</v>
      </c>
      <c r="U901" s="18">
        <f t="shared" si="6"/>
        <v>1113985.6</v>
      </c>
      <c r="V901" s="18">
        <f t="shared" si="7"/>
        <v>670964.84</v>
      </c>
      <c r="W901" s="19">
        <f t="shared" si="8"/>
        <v>443020.76</v>
      </c>
    </row>
    <row r="902">
      <c r="A902" s="7">
        <v>6.89421546E8</v>
      </c>
      <c r="B902" s="12">
        <v>40188.0</v>
      </c>
      <c r="C902" s="7">
        <f t="shared" si="1"/>
        <v>2010</v>
      </c>
      <c r="D902" s="14" t="str">
        <f t="shared" si="2"/>
        <v>01 - Jan</v>
      </c>
      <c r="E902" s="15" t="str">
        <f t="shared" si="3"/>
        <v>Sun</v>
      </c>
      <c r="F902" s="15">
        <f t="shared" si="4"/>
        <v>7</v>
      </c>
      <c r="G902" s="16">
        <v>40209.0</v>
      </c>
      <c r="H902" s="14">
        <f t="shared" si="5"/>
        <v>21</v>
      </c>
      <c r="I902" s="7" t="s">
        <v>399</v>
      </c>
      <c r="J902" s="7" t="s">
        <v>406</v>
      </c>
      <c r="K902" s="7" t="str">
        <f>VLOOKUP(J902,countries,2,false)</f>
        <v>Italy</v>
      </c>
      <c r="L902" s="7" t="str">
        <f>VLOOKUP($J902,countries,5,false)</f>
        <v>Europe</v>
      </c>
      <c r="M902" s="7" t="str">
        <f>VLOOKUP($J902,countries,6,false)</f>
        <v>Southern Europe</v>
      </c>
      <c r="N902" s="7">
        <v>2455.0</v>
      </c>
      <c r="O902" s="7" t="str">
        <f>VLOOKUP(N902, products, 2, FALSE)</f>
        <v>Clothes</v>
      </c>
      <c r="P902" s="7" t="s">
        <v>264</v>
      </c>
      <c r="Q902" s="7">
        <v>4011.0</v>
      </c>
      <c r="R902" s="17">
        <v>109.28</v>
      </c>
      <c r="S902" s="17">
        <v>35.84</v>
      </c>
      <c r="U902" s="18">
        <f t="shared" si="6"/>
        <v>438322.08</v>
      </c>
      <c r="V902" s="18">
        <f t="shared" si="7"/>
        <v>143754.24</v>
      </c>
      <c r="W902" s="19">
        <f t="shared" si="8"/>
        <v>294567.84</v>
      </c>
    </row>
    <row r="903">
      <c r="A903" s="7">
        <v>6.9022063E8</v>
      </c>
      <c r="B903" s="12">
        <v>42678.0</v>
      </c>
      <c r="C903" s="7">
        <f t="shared" si="1"/>
        <v>2016</v>
      </c>
      <c r="D903" s="14" t="str">
        <f t="shared" si="2"/>
        <v>11 - Nov</v>
      </c>
      <c r="E903" s="15" t="str">
        <f t="shared" si="3"/>
        <v>Fri</v>
      </c>
      <c r="F903" s="15">
        <f t="shared" si="4"/>
        <v>5</v>
      </c>
      <c r="G903" s="16">
        <v>42693.0</v>
      </c>
      <c r="H903" s="14">
        <f t="shared" si="5"/>
        <v>15</v>
      </c>
      <c r="I903" s="7" t="s">
        <v>305</v>
      </c>
      <c r="J903" s="7" t="s">
        <v>546</v>
      </c>
      <c r="K903" s="7" t="str">
        <f>VLOOKUP(J903,countries,2,false)</f>
        <v>Netherlands</v>
      </c>
      <c r="L903" s="7" t="str">
        <f>VLOOKUP($J903,countries,5,false)</f>
        <v>Europe</v>
      </c>
      <c r="M903" s="7" t="str">
        <f>VLOOKUP($J903,countries,6,false)</f>
        <v>Western Europe</v>
      </c>
      <c r="N903" s="7">
        <v>7940.0</v>
      </c>
      <c r="O903" s="7" t="str">
        <f>VLOOKUP(N903, products, 2, FALSE)</f>
        <v>Household</v>
      </c>
      <c r="P903" s="7" t="s">
        <v>264</v>
      </c>
      <c r="Q903" s="7">
        <v>477.0</v>
      </c>
      <c r="R903" s="17">
        <v>668.27</v>
      </c>
      <c r="S903" s="17">
        <v>502.54</v>
      </c>
      <c r="U903" s="18">
        <f t="shared" si="6"/>
        <v>318764.79</v>
      </c>
      <c r="V903" s="18">
        <f t="shared" si="7"/>
        <v>239711.58</v>
      </c>
      <c r="W903" s="19">
        <f t="shared" si="8"/>
        <v>79053.21</v>
      </c>
    </row>
    <row r="904">
      <c r="A904" s="7">
        <v>6.91383635E8</v>
      </c>
      <c r="B904" s="12">
        <v>41315.0</v>
      </c>
      <c r="C904" s="7">
        <f t="shared" si="1"/>
        <v>2013</v>
      </c>
      <c r="D904" s="14" t="str">
        <f t="shared" si="2"/>
        <v>02 - Feb</v>
      </c>
      <c r="E904" s="15" t="str">
        <f t="shared" si="3"/>
        <v>Sun</v>
      </c>
      <c r="F904" s="15">
        <f t="shared" si="4"/>
        <v>7</v>
      </c>
      <c r="G904" s="16">
        <v>41352.0</v>
      </c>
      <c r="H904" s="14">
        <f t="shared" si="5"/>
        <v>37</v>
      </c>
      <c r="I904" s="7" t="s">
        <v>232</v>
      </c>
      <c r="J904" s="7" t="s">
        <v>685</v>
      </c>
      <c r="K904" s="7" t="str">
        <f>VLOOKUP(J904,countries,2,false)</f>
        <v>Slovenia</v>
      </c>
      <c r="L904" s="7" t="str">
        <f>VLOOKUP($J904,countries,5,false)</f>
        <v>Europe</v>
      </c>
      <c r="M904" s="7" t="str">
        <f>VLOOKUP($J904,countries,6,false)</f>
        <v>Southern Europe</v>
      </c>
      <c r="N904" s="7">
        <v>5988.0</v>
      </c>
      <c r="O904" s="7" t="str">
        <f>VLOOKUP(N904, products, 2, FALSE)</f>
        <v>Vegetables</v>
      </c>
      <c r="P904" s="7" t="s">
        <v>334</v>
      </c>
      <c r="Q904" s="7">
        <v>4637.0</v>
      </c>
      <c r="R904" s="17">
        <v>154.06</v>
      </c>
      <c r="S904" s="17">
        <v>90.93</v>
      </c>
      <c r="U904" s="18">
        <f t="shared" si="6"/>
        <v>714376.22</v>
      </c>
      <c r="V904" s="18">
        <f t="shared" si="7"/>
        <v>421642.41</v>
      </c>
      <c r="W904" s="19">
        <f t="shared" si="8"/>
        <v>292733.81</v>
      </c>
    </row>
    <row r="905">
      <c r="A905" s="7">
        <v>6.91760861E8</v>
      </c>
      <c r="B905" s="12">
        <v>42731.0</v>
      </c>
      <c r="C905" s="7">
        <f t="shared" si="1"/>
        <v>2016</v>
      </c>
      <c r="D905" s="14" t="str">
        <f t="shared" si="2"/>
        <v>12 - Dec</v>
      </c>
      <c r="E905" s="15" t="str">
        <f t="shared" si="3"/>
        <v>Tue</v>
      </c>
      <c r="F905" s="15">
        <f t="shared" si="4"/>
        <v>2</v>
      </c>
      <c r="G905" s="16">
        <v>42763.0</v>
      </c>
      <c r="H905" s="14">
        <f t="shared" si="5"/>
        <v>32</v>
      </c>
      <c r="I905" s="7" t="s">
        <v>305</v>
      </c>
      <c r="J905" s="7" t="s">
        <v>120</v>
      </c>
      <c r="K905" s="7" t="str">
        <f>VLOOKUP(J905,countries,2,false)</f>
        <v>Belarus</v>
      </c>
      <c r="L905" s="7" t="str">
        <f>VLOOKUP($J905,countries,5,false)</f>
        <v>Europe</v>
      </c>
      <c r="M905" s="7" t="str">
        <f>VLOOKUP($J905,countries,6,false)</f>
        <v>Eastern Europe</v>
      </c>
      <c r="N905" s="7">
        <v>2455.0</v>
      </c>
      <c r="O905" s="7" t="str">
        <f>VLOOKUP(N905, products, 2, FALSE)</f>
        <v>Clothes</v>
      </c>
      <c r="P905" s="7" t="s">
        <v>334</v>
      </c>
      <c r="Q905" s="7">
        <v>6266.0</v>
      </c>
      <c r="R905" s="17">
        <v>109.28</v>
      </c>
      <c r="S905" s="17">
        <v>35.84</v>
      </c>
      <c r="U905" s="18">
        <f t="shared" si="6"/>
        <v>684748.48</v>
      </c>
      <c r="V905" s="18">
        <f t="shared" si="7"/>
        <v>224573.44</v>
      </c>
      <c r="W905" s="19">
        <f t="shared" si="8"/>
        <v>460175.04</v>
      </c>
    </row>
    <row r="906">
      <c r="A906" s="7">
        <v>6.92555224E8</v>
      </c>
      <c r="B906" s="12">
        <v>42013.0</v>
      </c>
      <c r="C906" s="7">
        <f t="shared" si="1"/>
        <v>2015</v>
      </c>
      <c r="D906" s="14" t="str">
        <f t="shared" si="2"/>
        <v>01 - Jan</v>
      </c>
      <c r="E906" s="15" t="str">
        <f t="shared" si="3"/>
        <v>Fri</v>
      </c>
      <c r="F906" s="15">
        <f t="shared" si="4"/>
        <v>5</v>
      </c>
      <c r="G906" s="16">
        <v>42036.0</v>
      </c>
      <c r="H906" s="14">
        <f t="shared" si="5"/>
        <v>23</v>
      </c>
      <c r="I906" s="7" t="s">
        <v>232</v>
      </c>
      <c r="J906" s="7" t="s">
        <v>243</v>
      </c>
      <c r="K906" s="7" t="str">
        <f>VLOOKUP(J906,countries,2,false)</f>
        <v>Czech Republic</v>
      </c>
      <c r="L906" s="7" t="str">
        <f>VLOOKUP($J906,countries,5,false)</f>
        <v>Europe</v>
      </c>
      <c r="M906" s="7" t="str">
        <f>VLOOKUP($J906,countries,6,false)</f>
        <v>Eastern Europe</v>
      </c>
      <c r="N906" s="7">
        <v>8875.0</v>
      </c>
      <c r="O906" s="7" t="str">
        <f>VLOOKUP(N906, products, 2, FALSE)</f>
        <v>Meat</v>
      </c>
      <c r="P906" s="7" t="s">
        <v>264</v>
      </c>
      <c r="Q906" s="7">
        <v>1336.0</v>
      </c>
      <c r="R906" s="17">
        <v>421.89</v>
      </c>
      <c r="S906" s="17">
        <v>364.69</v>
      </c>
      <c r="U906" s="18">
        <f t="shared" si="6"/>
        <v>563645.04</v>
      </c>
      <c r="V906" s="18">
        <f t="shared" si="7"/>
        <v>487225.84</v>
      </c>
      <c r="W906" s="19">
        <f t="shared" si="8"/>
        <v>76419.2</v>
      </c>
    </row>
    <row r="907">
      <c r="A907" s="7">
        <v>6.92704999E8</v>
      </c>
      <c r="B907" s="12">
        <v>42727.0</v>
      </c>
      <c r="C907" s="7">
        <f t="shared" si="1"/>
        <v>2016</v>
      </c>
      <c r="D907" s="14" t="str">
        <f t="shared" si="2"/>
        <v>12 - Dec</v>
      </c>
      <c r="E907" s="15" t="str">
        <f t="shared" si="3"/>
        <v>Fri</v>
      </c>
      <c r="F907" s="15">
        <f t="shared" si="4"/>
        <v>5</v>
      </c>
      <c r="G907" s="16">
        <v>42759.0</v>
      </c>
      <c r="H907" s="14">
        <f t="shared" si="5"/>
        <v>32</v>
      </c>
      <c r="I907" s="7" t="s">
        <v>305</v>
      </c>
      <c r="J907" s="7" t="s">
        <v>406</v>
      </c>
      <c r="K907" s="7" t="str">
        <f>VLOOKUP(J907,countries,2,false)</f>
        <v>Italy</v>
      </c>
      <c r="L907" s="7" t="str">
        <f>VLOOKUP($J907,countries,5,false)</f>
        <v>Europe</v>
      </c>
      <c r="M907" s="7" t="str">
        <f>VLOOKUP($J907,countries,6,false)</f>
        <v>Southern Europe</v>
      </c>
      <c r="N907" s="7">
        <v>7940.0</v>
      </c>
      <c r="O907" s="7" t="str">
        <f>VLOOKUP(N907, products, 2, FALSE)</f>
        <v>Household</v>
      </c>
      <c r="P907" s="7" t="s">
        <v>264</v>
      </c>
      <c r="Q907" s="7">
        <v>5657.0</v>
      </c>
      <c r="R907" s="17">
        <v>668.27</v>
      </c>
      <c r="S907" s="17">
        <v>502.54</v>
      </c>
      <c r="U907" s="18">
        <f t="shared" si="6"/>
        <v>3780403.39</v>
      </c>
      <c r="V907" s="18">
        <f t="shared" si="7"/>
        <v>2842868.78</v>
      </c>
      <c r="W907" s="19">
        <f t="shared" si="8"/>
        <v>937534.61</v>
      </c>
    </row>
    <row r="908">
      <c r="A908" s="7">
        <v>6.92757356E8</v>
      </c>
      <c r="B908" s="12">
        <v>42857.0</v>
      </c>
      <c r="C908" s="7">
        <f t="shared" si="1"/>
        <v>2017</v>
      </c>
      <c r="D908" s="14" t="str">
        <f t="shared" si="2"/>
        <v>05 - May</v>
      </c>
      <c r="E908" s="15" t="str">
        <f t="shared" si="3"/>
        <v>Tue</v>
      </c>
      <c r="F908" s="15">
        <f t="shared" si="4"/>
        <v>2</v>
      </c>
      <c r="G908" s="16">
        <v>42867.0</v>
      </c>
      <c r="H908" s="14">
        <f t="shared" si="5"/>
        <v>10</v>
      </c>
      <c r="I908" s="7" t="s">
        <v>399</v>
      </c>
      <c r="J908" s="7" t="s">
        <v>319</v>
      </c>
      <c r="K908" s="7" t="str">
        <f>VLOOKUP(J908,countries,2,false)</f>
        <v>Germany</v>
      </c>
      <c r="L908" s="7" t="str">
        <f>VLOOKUP($J908,countries,5,false)</f>
        <v>Europe</v>
      </c>
      <c r="M908" s="7" t="str">
        <f>VLOOKUP($J908,countries,6,false)</f>
        <v>Western Europe</v>
      </c>
      <c r="N908" s="7">
        <v>8875.0</v>
      </c>
      <c r="O908" s="7" t="str">
        <f>VLOOKUP(N908, products, 2, FALSE)</f>
        <v>Meat</v>
      </c>
      <c r="P908" s="7" t="s">
        <v>334</v>
      </c>
      <c r="Q908" s="7">
        <v>1151.0</v>
      </c>
      <c r="R908" s="17">
        <v>421.89</v>
      </c>
      <c r="S908" s="17">
        <v>364.69</v>
      </c>
      <c r="U908" s="18">
        <f t="shared" si="6"/>
        <v>485595.39</v>
      </c>
      <c r="V908" s="18">
        <f t="shared" si="7"/>
        <v>419758.19</v>
      </c>
      <c r="W908" s="19">
        <f t="shared" si="8"/>
        <v>65837.2</v>
      </c>
    </row>
    <row r="909">
      <c r="A909" s="7">
        <v>6.92952191E8</v>
      </c>
      <c r="B909" s="12">
        <v>41257.0</v>
      </c>
      <c r="C909" s="7">
        <f t="shared" si="1"/>
        <v>2012</v>
      </c>
      <c r="D909" s="14" t="str">
        <f t="shared" si="2"/>
        <v>12 - Dec</v>
      </c>
      <c r="E909" s="15" t="str">
        <f t="shared" si="3"/>
        <v>Fri</v>
      </c>
      <c r="F909" s="15">
        <f t="shared" si="4"/>
        <v>5</v>
      </c>
      <c r="G909" s="16">
        <v>41278.0</v>
      </c>
      <c r="H909" s="14">
        <f t="shared" si="5"/>
        <v>21</v>
      </c>
      <c r="I909" s="7" t="s">
        <v>232</v>
      </c>
      <c r="J909" s="7" t="s">
        <v>681</v>
      </c>
      <c r="K909" s="7" t="str">
        <f>VLOOKUP(J909,countries,2,false)</f>
        <v>United Kingdom</v>
      </c>
      <c r="L909" s="7" t="str">
        <f>VLOOKUP($J909,countries,5,false)</f>
        <v>Europe</v>
      </c>
      <c r="M909" s="7" t="str">
        <f>VLOOKUP($J909,countries,6,false)</f>
        <v>Northern Europe</v>
      </c>
      <c r="N909" s="7">
        <v>8293.0</v>
      </c>
      <c r="O909" s="7" t="str">
        <f>VLOOKUP(N909, products, 2, FALSE)</f>
        <v>Cosmetics</v>
      </c>
      <c r="P909" s="7" t="s">
        <v>264</v>
      </c>
      <c r="Q909" s="7">
        <v>8807.0</v>
      </c>
      <c r="R909" s="17">
        <v>437.2</v>
      </c>
      <c r="S909" s="17">
        <v>263.33</v>
      </c>
      <c r="U909" s="18">
        <f t="shared" si="6"/>
        <v>3850420.4</v>
      </c>
      <c r="V909" s="18">
        <f t="shared" si="7"/>
        <v>2319147.31</v>
      </c>
      <c r="W909" s="19">
        <f t="shared" si="8"/>
        <v>1531273.09</v>
      </c>
    </row>
    <row r="910">
      <c r="A910" s="7">
        <v>6.93210542E8</v>
      </c>
      <c r="B910" s="12">
        <v>41085.0</v>
      </c>
      <c r="C910" s="7">
        <f t="shared" si="1"/>
        <v>2012</v>
      </c>
      <c r="D910" s="14" t="str">
        <f t="shared" si="2"/>
        <v>06 - Jun</v>
      </c>
      <c r="E910" s="15" t="str">
        <f t="shared" si="3"/>
        <v>Mon</v>
      </c>
      <c r="F910" s="15">
        <f t="shared" si="4"/>
        <v>1</v>
      </c>
      <c r="G910" s="16">
        <v>41134.0</v>
      </c>
      <c r="H910" s="14">
        <f t="shared" si="5"/>
        <v>49</v>
      </c>
      <c r="I910" s="7" t="s">
        <v>364</v>
      </c>
      <c r="J910" s="7" t="s">
        <v>90</v>
      </c>
      <c r="K910" s="7" t="str">
        <f>VLOOKUP(J910,countries,2,false)</f>
        <v>Armenia</v>
      </c>
      <c r="L910" s="7" t="str">
        <f>VLOOKUP($J910,countries,5,false)</f>
        <v>Asia</v>
      </c>
      <c r="M910" s="7" t="str">
        <f>VLOOKUP($J910,countries,6,false)</f>
        <v>Western Asia</v>
      </c>
      <c r="N910" s="7">
        <v>8875.0</v>
      </c>
      <c r="O910" s="7" t="str">
        <f>VLOOKUP(N910, products, 2, FALSE)</f>
        <v>Meat</v>
      </c>
      <c r="P910" s="7" t="s">
        <v>264</v>
      </c>
      <c r="Q910" s="7">
        <v>5259.0</v>
      </c>
      <c r="R910" s="17">
        <v>421.89</v>
      </c>
      <c r="S910" s="17">
        <v>364.69</v>
      </c>
      <c r="U910" s="18">
        <f t="shared" si="6"/>
        <v>2218719.51</v>
      </c>
      <c r="V910" s="18">
        <f t="shared" si="7"/>
        <v>1917904.71</v>
      </c>
      <c r="W910" s="19">
        <f t="shared" si="8"/>
        <v>300814.8</v>
      </c>
    </row>
    <row r="911">
      <c r="A911" s="7">
        <v>6.93583905E8</v>
      </c>
      <c r="B911" s="12">
        <v>40882.0</v>
      </c>
      <c r="C911" s="7">
        <f t="shared" si="1"/>
        <v>2011</v>
      </c>
      <c r="D911" s="14" t="str">
        <f t="shared" si="2"/>
        <v>12 - Dec</v>
      </c>
      <c r="E911" s="15" t="str">
        <f t="shared" si="3"/>
        <v>Mon</v>
      </c>
      <c r="F911" s="15">
        <f t="shared" si="4"/>
        <v>1</v>
      </c>
      <c r="G911" s="16">
        <v>40914.0</v>
      </c>
      <c r="H911" s="14">
        <f t="shared" si="5"/>
        <v>32</v>
      </c>
      <c r="I911" s="7" t="s">
        <v>232</v>
      </c>
      <c r="J911" s="7" t="s">
        <v>243</v>
      </c>
      <c r="K911" s="7" t="str">
        <f>VLOOKUP(J911,countries,2,false)</f>
        <v>Czech Republic</v>
      </c>
      <c r="L911" s="7" t="str">
        <f>VLOOKUP($J911,countries,5,false)</f>
        <v>Europe</v>
      </c>
      <c r="M911" s="7" t="str">
        <f>VLOOKUP($J911,countries,6,false)</f>
        <v>Eastern Europe</v>
      </c>
      <c r="N911" s="7">
        <v>8875.0</v>
      </c>
      <c r="O911" s="7" t="str">
        <f>VLOOKUP(N911, products, 2, FALSE)</f>
        <v>Meat</v>
      </c>
      <c r="P911" s="7" t="s">
        <v>334</v>
      </c>
      <c r="Q911" s="7">
        <v>5745.0</v>
      </c>
      <c r="R911" s="17">
        <v>421.89</v>
      </c>
      <c r="S911" s="17">
        <v>364.69</v>
      </c>
      <c r="U911" s="18">
        <f t="shared" si="6"/>
        <v>2423758.05</v>
      </c>
      <c r="V911" s="18">
        <f t="shared" si="7"/>
        <v>2095144.05</v>
      </c>
      <c r="W911" s="19">
        <f t="shared" si="8"/>
        <v>328614</v>
      </c>
    </row>
    <row r="912">
      <c r="A912" s="7">
        <v>6.93831098E8</v>
      </c>
      <c r="B912" s="12">
        <v>42178.0</v>
      </c>
      <c r="C912" s="7">
        <f t="shared" si="1"/>
        <v>2015</v>
      </c>
      <c r="D912" s="14" t="str">
        <f t="shared" si="2"/>
        <v>06 - Jun</v>
      </c>
      <c r="E912" s="15" t="str">
        <f t="shared" si="3"/>
        <v>Tue</v>
      </c>
      <c r="F912" s="15">
        <f t="shared" si="4"/>
        <v>2</v>
      </c>
      <c r="G912" s="16">
        <v>42199.0</v>
      </c>
      <c r="H912" s="14">
        <f t="shared" si="5"/>
        <v>21</v>
      </c>
      <c r="I912" s="7" t="s">
        <v>399</v>
      </c>
      <c r="J912" s="7" t="s">
        <v>623</v>
      </c>
      <c r="K912" s="7" t="str">
        <f>VLOOKUP(J912,countries,2,false)</f>
        <v>Romania</v>
      </c>
      <c r="L912" s="7" t="str">
        <f>VLOOKUP($J912,countries,5,false)</f>
        <v>Europe</v>
      </c>
      <c r="M912" s="7" t="str">
        <f>VLOOKUP($J912,countries,6,false)</f>
        <v>Eastern Europe</v>
      </c>
      <c r="N912" s="7">
        <v>7331.0</v>
      </c>
      <c r="O912" s="7" t="str">
        <f>VLOOKUP(N912, products, 2, FALSE)</f>
        <v>Baby Food</v>
      </c>
      <c r="P912" s="7" t="s">
        <v>334</v>
      </c>
      <c r="Q912" s="7">
        <v>8895.0</v>
      </c>
      <c r="R912" s="17">
        <v>255.28</v>
      </c>
      <c r="S912" s="17">
        <v>159.42</v>
      </c>
      <c r="U912" s="18">
        <f t="shared" si="6"/>
        <v>2270715.6</v>
      </c>
      <c r="V912" s="18">
        <f t="shared" si="7"/>
        <v>1418040.9</v>
      </c>
      <c r="W912" s="19">
        <f t="shared" si="8"/>
        <v>852674.7</v>
      </c>
    </row>
    <row r="913">
      <c r="A913" s="7">
        <v>6.94771802E8</v>
      </c>
      <c r="B913" s="12">
        <v>41349.0</v>
      </c>
      <c r="C913" s="7">
        <f t="shared" si="1"/>
        <v>2013</v>
      </c>
      <c r="D913" s="14" t="str">
        <f t="shared" si="2"/>
        <v>03 - Mar</v>
      </c>
      <c r="E913" s="15" t="str">
        <f t="shared" si="3"/>
        <v>Sat</v>
      </c>
      <c r="F913" s="15">
        <f t="shared" si="4"/>
        <v>6</v>
      </c>
      <c r="G913" s="16">
        <v>41354.0</v>
      </c>
      <c r="H913" s="14">
        <f t="shared" si="5"/>
        <v>5</v>
      </c>
      <c r="I913" s="7" t="s">
        <v>399</v>
      </c>
      <c r="J913" s="7" t="s">
        <v>546</v>
      </c>
      <c r="K913" s="7" t="str">
        <f>VLOOKUP(J913,countries,2,false)</f>
        <v>Netherlands</v>
      </c>
      <c r="L913" s="7" t="str">
        <f>VLOOKUP($J913,countries,5,false)</f>
        <v>Europe</v>
      </c>
      <c r="M913" s="7" t="str">
        <f>VLOOKUP($J913,countries,6,false)</f>
        <v>Western Europe</v>
      </c>
      <c r="N913" s="7">
        <v>7331.0</v>
      </c>
      <c r="O913" s="7" t="str">
        <f>VLOOKUP(N913, products, 2, FALSE)</f>
        <v>Baby Food</v>
      </c>
      <c r="P913" s="7" t="s">
        <v>334</v>
      </c>
      <c r="Q913" s="7">
        <v>7270.0</v>
      </c>
      <c r="R913" s="17">
        <v>255.28</v>
      </c>
      <c r="S913" s="17">
        <v>159.42</v>
      </c>
      <c r="U913" s="18">
        <f t="shared" si="6"/>
        <v>1855885.6</v>
      </c>
      <c r="V913" s="18">
        <f t="shared" si="7"/>
        <v>1158983.4</v>
      </c>
      <c r="W913" s="19">
        <f t="shared" si="8"/>
        <v>696902.2</v>
      </c>
    </row>
    <row r="914">
      <c r="A914" s="7">
        <v>6.9491471E8</v>
      </c>
      <c r="B914" s="12">
        <v>40413.0</v>
      </c>
      <c r="C914" s="7">
        <f t="shared" si="1"/>
        <v>2010</v>
      </c>
      <c r="D914" s="14" t="str">
        <f t="shared" si="2"/>
        <v>08 - Aug</v>
      </c>
      <c r="E914" s="15" t="str">
        <f t="shared" si="3"/>
        <v>Mon</v>
      </c>
      <c r="F914" s="15">
        <f t="shared" si="4"/>
        <v>1</v>
      </c>
      <c r="G914" s="16">
        <v>40446.0</v>
      </c>
      <c r="H914" s="14">
        <f t="shared" si="5"/>
        <v>33</v>
      </c>
      <c r="I914" s="7" t="s">
        <v>305</v>
      </c>
      <c r="J914" s="7" t="s">
        <v>41</v>
      </c>
      <c r="K914" s="7" t="str">
        <f>VLOOKUP(J914,countries,2,false)</f>
        <v>Albania</v>
      </c>
      <c r="L914" s="7" t="str">
        <f>VLOOKUP($J914,countries,5,false)</f>
        <v>Europe</v>
      </c>
      <c r="M914" s="7" t="str">
        <f>VLOOKUP($J914,countries,6,false)</f>
        <v>Southern Europe</v>
      </c>
      <c r="N914" s="7">
        <v>8293.0</v>
      </c>
      <c r="O914" s="7" t="str">
        <f>VLOOKUP(N914, products, 2, FALSE)</f>
        <v>Cosmetics</v>
      </c>
      <c r="P914" s="7" t="s">
        <v>334</v>
      </c>
      <c r="Q914" s="7">
        <v>9560.0</v>
      </c>
      <c r="R914" s="17">
        <v>437.2</v>
      </c>
      <c r="S914" s="17">
        <v>263.33</v>
      </c>
      <c r="U914" s="18">
        <f t="shared" si="6"/>
        <v>4179632</v>
      </c>
      <c r="V914" s="18">
        <f t="shared" si="7"/>
        <v>2517434.8</v>
      </c>
      <c r="W914" s="19">
        <f t="shared" si="8"/>
        <v>1662197.2</v>
      </c>
    </row>
    <row r="915">
      <c r="A915" s="7">
        <v>6.95059764E8</v>
      </c>
      <c r="B915" s="12">
        <v>40684.0</v>
      </c>
      <c r="C915" s="7">
        <f t="shared" si="1"/>
        <v>2011</v>
      </c>
      <c r="D915" s="14" t="str">
        <f t="shared" si="2"/>
        <v>05 - May</v>
      </c>
      <c r="E915" s="15" t="str">
        <f t="shared" si="3"/>
        <v>Sat</v>
      </c>
      <c r="F915" s="15">
        <f t="shared" si="4"/>
        <v>6</v>
      </c>
      <c r="G915" s="16">
        <v>40723.0</v>
      </c>
      <c r="H915" s="14">
        <f t="shared" si="5"/>
        <v>39</v>
      </c>
      <c r="I915" s="7" t="s">
        <v>305</v>
      </c>
      <c r="J915" s="7" t="s">
        <v>124</v>
      </c>
      <c r="K915" s="7" t="str">
        <f>VLOOKUP(J915,countries,2,false)</f>
        <v>Belgium</v>
      </c>
      <c r="L915" s="7" t="str">
        <f>VLOOKUP($J915,countries,5,false)</f>
        <v>Europe</v>
      </c>
      <c r="M915" s="7" t="str">
        <f>VLOOKUP($J915,countries,6,false)</f>
        <v>Western Europe</v>
      </c>
      <c r="N915" s="7">
        <v>8293.0</v>
      </c>
      <c r="O915" s="7" t="str">
        <f>VLOOKUP(N915, products, 2, FALSE)</f>
        <v>Cosmetics</v>
      </c>
      <c r="P915" s="7" t="s">
        <v>334</v>
      </c>
      <c r="Q915" s="7">
        <v>2485.0</v>
      </c>
      <c r="R915" s="17">
        <v>437.2</v>
      </c>
      <c r="S915" s="17">
        <v>263.33</v>
      </c>
      <c r="U915" s="18">
        <f t="shared" si="6"/>
        <v>1086442</v>
      </c>
      <c r="V915" s="18">
        <f t="shared" si="7"/>
        <v>654375.05</v>
      </c>
      <c r="W915" s="19">
        <f t="shared" si="8"/>
        <v>432066.95</v>
      </c>
    </row>
    <row r="916">
      <c r="A916" s="7">
        <v>6.96197879E8</v>
      </c>
      <c r="B916" s="12">
        <v>40256.0</v>
      </c>
      <c r="C916" s="7">
        <f t="shared" si="1"/>
        <v>2010</v>
      </c>
      <c r="D916" s="14" t="str">
        <f t="shared" si="2"/>
        <v>03 - Mar</v>
      </c>
      <c r="E916" s="15" t="str">
        <f t="shared" si="3"/>
        <v>Fri</v>
      </c>
      <c r="F916" s="15">
        <f t="shared" si="4"/>
        <v>5</v>
      </c>
      <c r="G916" s="16">
        <v>40263.0</v>
      </c>
      <c r="H916" s="14">
        <f t="shared" si="5"/>
        <v>7</v>
      </c>
      <c r="I916" s="7" t="s">
        <v>399</v>
      </c>
      <c r="J916" s="7" t="s">
        <v>67</v>
      </c>
      <c r="K916" s="7" t="str">
        <f>VLOOKUP(J916,countries,2,false)</f>
        <v>Andorra</v>
      </c>
      <c r="L916" s="7" t="str">
        <f>VLOOKUP($J916,countries,5,false)</f>
        <v>Europe</v>
      </c>
      <c r="M916" s="7" t="str">
        <f>VLOOKUP($J916,countries,6,false)</f>
        <v>Southern Europe</v>
      </c>
      <c r="N916" s="7">
        <v>2103.0</v>
      </c>
      <c r="O916" s="7" t="str">
        <f>VLOOKUP(N916, products, 2, FALSE)</f>
        <v>Cereal</v>
      </c>
      <c r="P916" s="7" t="s">
        <v>264</v>
      </c>
      <c r="Q916" s="7">
        <v>9278.0</v>
      </c>
      <c r="R916" s="17">
        <v>205.7</v>
      </c>
      <c r="S916" s="17">
        <v>117.11</v>
      </c>
      <c r="U916" s="18">
        <f t="shared" si="6"/>
        <v>1908484.6</v>
      </c>
      <c r="V916" s="18">
        <f t="shared" si="7"/>
        <v>1086546.58</v>
      </c>
      <c r="W916" s="19">
        <f t="shared" si="8"/>
        <v>821938.02</v>
      </c>
    </row>
    <row r="917">
      <c r="A917" s="7">
        <v>6.96839892E8</v>
      </c>
      <c r="B917" s="12">
        <v>42355.0</v>
      </c>
      <c r="C917" s="7">
        <f t="shared" si="1"/>
        <v>2015</v>
      </c>
      <c r="D917" s="14" t="str">
        <f t="shared" si="2"/>
        <v>12 - Dec</v>
      </c>
      <c r="E917" s="15" t="str">
        <f t="shared" si="3"/>
        <v>Thu</v>
      </c>
      <c r="F917" s="15">
        <f t="shared" si="4"/>
        <v>4</v>
      </c>
      <c r="G917" s="16">
        <v>42371.0</v>
      </c>
      <c r="H917" s="14">
        <f t="shared" si="5"/>
        <v>16</v>
      </c>
      <c r="I917" s="7" t="s">
        <v>305</v>
      </c>
      <c r="J917" s="7" t="s">
        <v>570</v>
      </c>
      <c r="K917" s="7" t="str">
        <f>VLOOKUP(J917,countries,2,false)</f>
        <v>Macedonia</v>
      </c>
      <c r="L917" s="7" t="str">
        <f>VLOOKUP($J917,countries,5,false)</f>
        <v>Europe</v>
      </c>
      <c r="M917" s="7" t="str">
        <f>VLOOKUP($J917,countries,6,false)</f>
        <v>Southern Europe</v>
      </c>
      <c r="N917" s="7">
        <v>8681.0</v>
      </c>
      <c r="O917" s="7" t="str">
        <f>VLOOKUP(N917, products, 2, FALSE)</f>
        <v>Office Supplies</v>
      </c>
      <c r="P917" s="7" t="s">
        <v>334</v>
      </c>
      <c r="Q917" s="7">
        <v>9264.0</v>
      </c>
      <c r="R917" s="17">
        <v>651.21</v>
      </c>
      <c r="S917" s="17">
        <v>524.96</v>
      </c>
      <c r="U917" s="18">
        <f t="shared" si="6"/>
        <v>6032809.44</v>
      </c>
      <c r="V917" s="18">
        <f t="shared" si="7"/>
        <v>4863229.44</v>
      </c>
      <c r="W917" s="19">
        <f t="shared" si="8"/>
        <v>1169580</v>
      </c>
    </row>
    <row r="918">
      <c r="A918" s="7">
        <v>6.96844613E8</v>
      </c>
      <c r="B918" s="12">
        <v>42797.0</v>
      </c>
      <c r="C918" s="7">
        <f t="shared" si="1"/>
        <v>2017</v>
      </c>
      <c r="D918" s="14" t="str">
        <f t="shared" si="2"/>
        <v>03 - Mar</v>
      </c>
      <c r="E918" s="15" t="str">
        <f t="shared" si="3"/>
        <v>Fri</v>
      </c>
      <c r="F918" s="15">
        <f t="shared" si="4"/>
        <v>5</v>
      </c>
      <c r="G918" s="16">
        <v>42816.0</v>
      </c>
      <c r="H918" s="14">
        <f t="shared" si="5"/>
        <v>19</v>
      </c>
      <c r="I918" s="7" t="s">
        <v>232</v>
      </c>
      <c r="J918" s="7" t="s">
        <v>233</v>
      </c>
      <c r="K918" s="7" t="str">
        <f>VLOOKUP(J918,countries,2,false)</f>
        <v>Norway</v>
      </c>
      <c r="L918" s="7" t="str">
        <f>VLOOKUP($J918,countries,5,false)</f>
        <v>Europe</v>
      </c>
      <c r="M918" s="7" t="str">
        <f>VLOOKUP($J918,countries,6,false)</f>
        <v>Northern Europe</v>
      </c>
      <c r="N918" s="7">
        <v>8875.0</v>
      </c>
      <c r="O918" s="7" t="str">
        <f>VLOOKUP(N918, products, 2, FALSE)</f>
        <v>Meat</v>
      </c>
      <c r="P918" s="7" t="s">
        <v>264</v>
      </c>
      <c r="Q918" s="7">
        <v>661.0</v>
      </c>
      <c r="R918" s="17">
        <v>421.89</v>
      </c>
      <c r="S918" s="17">
        <v>364.69</v>
      </c>
      <c r="U918" s="18">
        <f t="shared" si="6"/>
        <v>278869.29</v>
      </c>
      <c r="V918" s="18">
        <f t="shared" si="7"/>
        <v>241060.09</v>
      </c>
      <c r="W918" s="19">
        <f t="shared" si="8"/>
        <v>37809.2</v>
      </c>
    </row>
    <row r="919">
      <c r="A919" s="7">
        <v>6.97617518E8</v>
      </c>
      <c r="B919" s="12">
        <v>41073.0</v>
      </c>
      <c r="C919" s="7">
        <f t="shared" si="1"/>
        <v>2012</v>
      </c>
      <c r="D919" s="14" t="str">
        <f t="shared" si="2"/>
        <v>06 - Jun</v>
      </c>
      <c r="E919" s="15" t="str">
        <f t="shared" si="3"/>
        <v>Wed</v>
      </c>
      <c r="F919" s="15">
        <f t="shared" si="4"/>
        <v>3</v>
      </c>
      <c r="G919" s="16">
        <v>41097.0</v>
      </c>
      <c r="H919" s="14">
        <f t="shared" si="5"/>
        <v>24</v>
      </c>
      <c r="I919" s="7" t="s">
        <v>232</v>
      </c>
      <c r="J919" s="7" t="s">
        <v>348</v>
      </c>
      <c r="K919" s="7" t="s">
        <v>348</v>
      </c>
      <c r="L919" s="7" t="s">
        <v>348</v>
      </c>
      <c r="M919" s="7" t="s">
        <v>348</v>
      </c>
      <c r="N919" s="7">
        <v>8875.0</v>
      </c>
      <c r="O919" s="7" t="str">
        <f>VLOOKUP(N919, products, 2, FALSE)</f>
        <v>Meat</v>
      </c>
      <c r="P919" s="7" t="s">
        <v>334</v>
      </c>
      <c r="Q919" s="7">
        <v>9381.0</v>
      </c>
      <c r="R919" s="17">
        <v>421.89</v>
      </c>
      <c r="S919" s="17">
        <v>364.69</v>
      </c>
      <c r="U919" s="18">
        <f t="shared" si="6"/>
        <v>3957750.09</v>
      </c>
      <c r="V919" s="18">
        <f t="shared" si="7"/>
        <v>3421156.89</v>
      </c>
      <c r="W919" s="19">
        <f t="shared" si="8"/>
        <v>536593.2</v>
      </c>
    </row>
    <row r="920">
      <c r="A920" s="7">
        <v>6.97638976E8</v>
      </c>
      <c r="B920" s="12">
        <v>42079.0</v>
      </c>
      <c r="C920" s="7">
        <f t="shared" si="1"/>
        <v>2015</v>
      </c>
      <c r="D920" s="14" t="str">
        <f t="shared" si="2"/>
        <v>03 - Mar</v>
      </c>
      <c r="E920" s="15" t="str">
        <f t="shared" si="3"/>
        <v>Mon</v>
      </c>
      <c r="F920" s="15">
        <f t="shared" si="4"/>
        <v>1</v>
      </c>
      <c r="G920" s="16">
        <v>42089.0</v>
      </c>
      <c r="H920" s="14">
        <f t="shared" si="5"/>
        <v>10</v>
      </c>
      <c r="I920" s="7" t="s">
        <v>364</v>
      </c>
      <c r="J920" s="7" t="s">
        <v>306</v>
      </c>
      <c r="K920" s="7" t="str">
        <f>VLOOKUP(J920,countries,2,false)</f>
        <v>Serbia</v>
      </c>
      <c r="L920" s="7" t="str">
        <f>VLOOKUP($J920,countries,5,false)</f>
        <v>Europe</v>
      </c>
      <c r="M920" s="7" t="str">
        <f>VLOOKUP($J920,countries,6,false)</f>
        <v>Southern Europe</v>
      </c>
      <c r="N920" s="7">
        <v>5988.0</v>
      </c>
      <c r="O920" s="7" t="str">
        <f>VLOOKUP(N920, products, 2, FALSE)</f>
        <v>Vegetables</v>
      </c>
      <c r="P920" s="7" t="s">
        <v>334</v>
      </c>
      <c r="Q920" s="7">
        <v>5731.0</v>
      </c>
      <c r="R920" s="17">
        <v>154.06</v>
      </c>
      <c r="S920" s="17">
        <v>90.93</v>
      </c>
      <c r="U920" s="18">
        <f t="shared" si="6"/>
        <v>882917.86</v>
      </c>
      <c r="V920" s="18">
        <f t="shared" si="7"/>
        <v>521119.83</v>
      </c>
      <c r="W920" s="19">
        <f t="shared" si="8"/>
        <v>361798.03</v>
      </c>
    </row>
    <row r="921">
      <c r="A921" s="7">
        <v>7.00069701E8</v>
      </c>
      <c r="B921" s="12">
        <v>42379.0</v>
      </c>
      <c r="C921" s="7">
        <f t="shared" si="1"/>
        <v>2016</v>
      </c>
      <c r="D921" s="14" t="str">
        <f t="shared" si="2"/>
        <v>01 - Jan</v>
      </c>
      <c r="E921" s="15" t="str">
        <f t="shared" si="3"/>
        <v>Sun</v>
      </c>
      <c r="F921" s="15">
        <f t="shared" si="4"/>
        <v>7</v>
      </c>
      <c r="G921" s="16">
        <v>42390.0</v>
      </c>
      <c r="H921" s="14">
        <f t="shared" si="5"/>
        <v>11</v>
      </c>
      <c r="I921" s="7" t="s">
        <v>364</v>
      </c>
      <c r="J921" s="7" t="s">
        <v>348</v>
      </c>
      <c r="K921" s="7" t="s">
        <v>348</v>
      </c>
      <c r="L921" s="7" t="s">
        <v>348</v>
      </c>
      <c r="M921" s="7" t="s">
        <v>348</v>
      </c>
      <c r="N921" s="7">
        <v>5988.0</v>
      </c>
      <c r="O921" s="7" t="str">
        <f>VLOOKUP(N921, products, 2, FALSE)</f>
        <v>Vegetables</v>
      </c>
      <c r="P921" s="7" t="s">
        <v>334</v>
      </c>
      <c r="Q921" s="7">
        <v>5037.0</v>
      </c>
      <c r="R921" s="17">
        <v>154.06</v>
      </c>
      <c r="S921" s="17">
        <v>90.93</v>
      </c>
      <c r="U921" s="18">
        <f t="shared" si="6"/>
        <v>776000.22</v>
      </c>
      <c r="V921" s="18">
        <f t="shared" si="7"/>
        <v>458014.41</v>
      </c>
      <c r="W921" s="19">
        <f t="shared" si="8"/>
        <v>317985.81</v>
      </c>
    </row>
    <row r="922">
      <c r="A922" s="7">
        <v>7.00304019E8</v>
      </c>
      <c r="B922" s="12">
        <v>41966.0</v>
      </c>
      <c r="C922" s="7">
        <f t="shared" si="1"/>
        <v>2014</v>
      </c>
      <c r="D922" s="14" t="str">
        <f t="shared" si="2"/>
        <v>11 - Nov</v>
      </c>
      <c r="E922" s="15" t="str">
        <f t="shared" si="3"/>
        <v>Sun</v>
      </c>
      <c r="F922" s="15">
        <f t="shared" si="4"/>
        <v>7</v>
      </c>
      <c r="G922" s="16">
        <v>41994.0</v>
      </c>
      <c r="H922" s="14">
        <f t="shared" si="5"/>
        <v>28</v>
      </c>
      <c r="I922" s="7" t="s">
        <v>232</v>
      </c>
      <c r="J922" s="7" t="s">
        <v>685</v>
      </c>
      <c r="K922" s="7" t="str">
        <f>VLOOKUP(J922,countries,2,false)</f>
        <v>Slovenia</v>
      </c>
      <c r="L922" s="7" t="str">
        <f>VLOOKUP($J922,countries,5,false)</f>
        <v>Europe</v>
      </c>
      <c r="M922" s="7" t="str">
        <f>VLOOKUP($J922,countries,6,false)</f>
        <v>Southern Europe</v>
      </c>
      <c r="N922" s="7">
        <v>3127.0</v>
      </c>
      <c r="O922" s="7" t="str">
        <f>VLOOKUP(N922, products, 2, FALSE)</f>
        <v>Personal Care</v>
      </c>
      <c r="P922" s="7" t="s">
        <v>334</v>
      </c>
      <c r="Q922" s="7">
        <v>4376.0</v>
      </c>
      <c r="R922" s="17">
        <v>81.73</v>
      </c>
      <c r="S922" s="17">
        <v>56.67</v>
      </c>
      <c r="U922" s="18">
        <f t="shared" si="6"/>
        <v>357650.48</v>
      </c>
      <c r="V922" s="18">
        <f t="shared" si="7"/>
        <v>247987.92</v>
      </c>
      <c r="W922" s="19">
        <f t="shared" si="8"/>
        <v>109662.56</v>
      </c>
    </row>
    <row r="923">
      <c r="A923" s="7">
        <v>7.01298367E8</v>
      </c>
      <c r="B923" s="12">
        <v>40885.0</v>
      </c>
      <c r="C923" s="7">
        <f t="shared" si="1"/>
        <v>2011</v>
      </c>
      <c r="D923" s="14" t="str">
        <f t="shared" si="2"/>
        <v>12 - Dec</v>
      </c>
      <c r="E923" s="15" t="str">
        <f t="shared" si="3"/>
        <v>Thu</v>
      </c>
      <c r="F923" s="15">
        <f t="shared" si="4"/>
        <v>4</v>
      </c>
      <c r="G923" s="16">
        <v>40914.0</v>
      </c>
      <c r="H923" s="14">
        <f t="shared" si="5"/>
        <v>29</v>
      </c>
      <c r="I923" s="7" t="s">
        <v>232</v>
      </c>
      <c r="J923" s="7" t="s">
        <v>328</v>
      </c>
      <c r="K923" s="7" t="str">
        <f>VLOOKUP(J923,countries,2,false)</f>
        <v>Greece</v>
      </c>
      <c r="L923" s="7" t="str">
        <f>VLOOKUP($J923,countries,5,false)</f>
        <v>Europe</v>
      </c>
      <c r="M923" s="7" t="str">
        <f>VLOOKUP($J923,countries,6,false)</f>
        <v>Southern Europe</v>
      </c>
      <c r="N923" s="7">
        <v>3127.0</v>
      </c>
      <c r="O923" s="7" t="str">
        <f>VLOOKUP(N923, products, 2, FALSE)</f>
        <v>Personal Care</v>
      </c>
      <c r="P923" s="7" t="s">
        <v>334</v>
      </c>
      <c r="Q923" s="7">
        <v>8626.0</v>
      </c>
      <c r="R923" s="17">
        <v>81.73</v>
      </c>
      <c r="S923" s="17">
        <v>56.67</v>
      </c>
      <c r="U923" s="18">
        <f t="shared" si="6"/>
        <v>705002.98</v>
      </c>
      <c r="V923" s="18">
        <f t="shared" si="7"/>
        <v>488835.42</v>
      </c>
      <c r="W923" s="19">
        <f t="shared" si="8"/>
        <v>216167.56</v>
      </c>
    </row>
    <row r="924">
      <c r="A924" s="7">
        <v>7.02357947E8</v>
      </c>
      <c r="B924" s="12">
        <v>41644.0</v>
      </c>
      <c r="C924" s="7">
        <f t="shared" si="1"/>
        <v>2014</v>
      </c>
      <c r="D924" s="14" t="str">
        <f t="shared" si="2"/>
        <v>01 - Jan</v>
      </c>
      <c r="E924" s="15" t="str">
        <f t="shared" si="3"/>
        <v>Sun</v>
      </c>
      <c r="F924" s="15">
        <f t="shared" si="4"/>
        <v>7</v>
      </c>
      <c r="G924" s="16">
        <v>41674.0</v>
      </c>
      <c r="H924" s="14">
        <f t="shared" si="5"/>
        <v>30</v>
      </c>
      <c r="I924" s="7" t="s">
        <v>364</v>
      </c>
      <c r="J924" s="7" t="s">
        <v>396</v>
      </c>
      <c r="K924" s="7" t="str">
        <f>VLOOKUP(J924,countries,2,false)</f>
        <v>Ireland</v>
      </c>
      <c r="L924" s="7" t="str">
        <f>VLOOKUP($J924,countries,5,false)</f>
        <v>Europe</v>
      </c>
      <c r="M924" s="7" t="str">
        <f>VLOOKUP($J924,countries,6,false)</f>
        <v>Northern Europe</v>
      </c>
      <c r="N924" s="7">
        <v>3127.0</v>
      </c>
      <c r="O924" s="7" t="str">
        <f>VLOOKUP(N924, products, 2, FALSE)</f>
        <v>Personal Care</v>
      </c>
      <c r="P924" s="7" t="s">
        <v>334</v>
      </c>
      <c r="Q924" s="7">
        <v>2179.0</v>
      </c>
      <c r="R924" s="17">
        <v>81.73</v>
      </c>
      <c r="S924" s="17">
        <v>56.67</v>
      </c>
      <c r="U924" s="18">
        <f t="shared" si="6"/>
        <v>178089.67</v>
      </c>
      <c r="V924" s="18">
        <f t="shared" si="7"/>
        <v>123483.93</v>
      </c>
      <c r="W924" s="19">
        <f t="shared" si="8"/>
        <v>54605.74</v>
      </c>
    </row>
    <row r="925">
      <c r="A925" s="7">
        <v>7.02815854E8</v>
      </c>
      <c r="B925" s="12">
        <v>40314.0</v>
      </c>
      <c r="C925" s="7">
        <f t="shared" si="1"/>
        <v>2010</v>
      </c>
      <c r="D925" s="14" t="str">
        <f t="shared" si="2"/>
        <v>05 - May</v>
      </c>
      <c r="E925" s="15" t="str">
        <f t="shared" si="3"/>
        <v>Sun</v>
      </c>
      <c r="F925" s="15">
        <f t="shared" si="4"/>
        <v>7</v>
      </c>
      <c r="G925" s="16">
        <v>40335.0</v>
      </c>
      <c r="H925" s="14">
        <f t="shared" si="5"/>
        <v>21</v>
      </c>
      <c r="I925" s="7" t="s">
        <v>364</v>
      </c>
      <c r="J925" s="7" t="s">
        <v>246</v>
      </c>
      <c r="K925" s="7" t="str">
        <f>VLOOKUP(J925,countries,2,false)</f>
        <v>Denmark</v>
      </c>
      <c r="L925" s="7" t="str">
        <f>VLOOKUP($J925,countries,5,false)</f>
        <v>Europe</v>
      </c>
      <c r="M925" s="7" t="str">
        <f>VLOOKUP($J925,countries,6,false)</f>
        <v>Northern Europe</v>
      </c>
      <c r="N925" s="7">
        <v>7940.0</v>
      </c>
      <c r="O925" s="7" t="str">
        <f>VLOOKUP(N925, products, 2, FALSE)</f>
        <v>Household</v>
      </c>
      <c r="P925" s="7" t="s">
        <v>264</v>
      </c>
      <c r="Q925" s="7">
        <v>7684.0</v>
      </c>
      <c r="R925" s="17">
        <v>668.27</v>
      </c>
      <c r="S925" s="17">
        <v>502.54</v>
      </c>
      <c r="U925" s="18">
        <f t="shared" si="6"/>
        <v>5134986.68</v>
      </c>
      <c r="V925" s="18">
        <f t="shared" si="7"/>
        <v>3861517.36</v>
      </c>
      <c r="W925" s="19">
        <f t="shared" si="8"/>
        <v>1273469.32</v>
      </c>
    </row>
    <row r="926">
      <c r="A926" s="7">
        <v>7.03966844E8</v>
      </c>
      <c r="B926" s="12">
        <v>41596.0</v>
      </c>
      <c r="C926" s="7">
        <f t="shared" si="1"/>
        <v>2013</v>
      </c>
      <c r="D926" s="14" t="str">
        <f t="shared" si="2"/>
        <v>11 - Nov</v>
      </c>
      <c r="E926" s="15" t="str">
        <f t="shared" si="3"/>
        <v>Mon</v>
      </c>
      <c r="F926" s="15">
        <f t="shared" si="4"/>
        <v>1</v>
      </c>
      <c r="G926" s="16">
        <v>41608.0</v>
      </c>
      <c r="H926" s="14">
        <f t="shared" si="5"/>
        <v>12</v>
      </c>
      <c r="I926" s="7" t="s">
        <v>305</v>
      </c>
      <c r="J926" s="7" t="s">
        <v>306</v>
      </c>
      <c r="K926" s="7" t="str">
        <f>VLOOKUP(J926,countries,2,false)</f>
        <v>Serbia</v>
      </c>
      <c r="L926" s="7" t="str">
        <f>VLOOKUP($J926,countries,5,false)</f>
        <v>Europe</v>
      </c>
      <c r="M926" s="7" t="str">
        <f>VLOOKUP($J926,countries,6,false)</f>
        <v>Southern Europe</v>
      </c>
      <c r="N926" s="7">
        <v>8969.0</v>
      </c>
      <c r="O926" s="7" t="str">
        <f>VLOOKUP(N926, products, 2, FALSE)</f>
        <v>Snacks</v>
      </c>
      <c r="P926" s="7" t="s">
        <v>334</v>
      </c>
      <c r="Q926" s="7">
        <v>8288.0</v>
      </c>
      <c r="R926" s="17">
        <v>152.58</v>
      </c>
      <c r="S926" s="17">
        <v>97.44</v>
      </c>
      <c r="U926" s="18">
        <f t="shared" si="6"/>
        <v>1264583.04</v>
      </c>
      <c r="V926" s="18">
        <f t="shared" si="7"/>
        <v>807582.72</v>
      </c>
      <c r="W926" s="19">
        <f t="shared" si="8"/>
        <v>457000.32</v>
      </c>
    </row>
    <row r="927">
      <c r="A927" s="7">
        <v>7.04139363E8</v>
      </c>
      <c r="B927" s="12">
        <v>42933.0</v>
      </c>
      <c r="C927" s="7">
        <f t="shared" si="1"/>
        <v>2017</v>
      </c>
      <c r="D927" s="14" t="str">
        <f t="shared" si="2"/>
        <v>07 - Jul</v>
      </c>
      <c r="E927" s="15" t="str">
        <f t="shared" si="3"/>
        <v>Mon</v>
      </c>
      <c r="F927" s="15">
        <f t="shared" si="4"/>
        <v>1</v>
      </c>
      <c r="G927" s="16">
        <v>42978.0</v>
      </c>
      <c r="H927" s="14">
        <f t="shared" si="5"/>
        <v>45</v>
      </c>
      <c r="I927" s="7" t="s">
        <v>232</v>
      </c>
      <c r="J927" s="7" t="s">
        <v>570</v>
      </c>
      <c r="K927" s="7" t="str">
        <f>VLOOKUP(J927,countries,2,false)</f>
        <v>Macedonia</v>
      </c>
      <c r="L927" s="7" t="str">
        <f>VLOOKUP($J927,countries,5,false)</f>
        <v>Europe</v>
      </c>
      <c r="M927" s="7" t="str">
        <f>VLOOKUP($J927,countries,6,false)</f>
        <v>Southern Europe</v>
      </c>
      <c r="N927" s="7">
        <v>1270.0</v>
      </c>
      <c r="O927" s="7" t="str">
        <f>VLOOKUP(N927, products, 2, FALSE)</f>
        <v>Beverages</v>
      </c>
      <c r="P927" s="7" t="s">
        <v>334</v>
      </c>
      <c r="Q927" s="7">
        <v>9340.0</v>
      </c>
      <c r="R927" s="17">
        <v>47.45</v>
      </c>
      <c r="S927" s="17">
        <v>31.79</v>
      </c>
      <c r="U927" s="18">
        <f t="shared" si="6"/>
        <v>443183</v>
      </c>
      <c r="V927" s="18">
        <f t="shared" si="7"/>
        <v>296918.6</v>
      </c>
      <c r="W927" s="19">
        <f t="shared" si="8"/>
        <v>146264.4</v>
      </c>
    </row>
    <row r="928">
      <c r="A928" s="7">
        <v>7.04233348E8</v>
      </c>
      <c r="B928" s="12">
        <v>42691.0</v>
      </c>
      <c r="C928" s="7">
        <f t="shared" si="1"/>
        <v>2016</v>
      </c>
      <c r="D928" s="14" t="str">
        <f t="shared" si="2"/>
        <v>11 - Nov</v>
      </c>
      <c r="E928" s="15" t="str">
        <f t="shared" si="3"/>
        <v>Thu</v>
      </c>
      <c r="F928" s="15">
        <f t="shared" si="4"/>
        <v>4</v>
      </c>
      <c r="G928" s="16">
        <v>42700.0</v>
      </c>
      <c r="H928" s="14">
        <f t="shared" si="5"/>
        <v>9</v>
      </c>
      <c r="I928" s="7" t="s">
        <v>364</v>
      </c>
      <c r="J928" s="7" t="s">
        <v>406</v>
      </c>
      <c r="K928" s="7" t="str">
        <f>VLOOKUP(J928,countries,2,false)</f>
        <v>Italy</v>
      </c>
      <c r="L928" s="7" t="str">
        <f>VLOOKUP($J928,countries,5,false)</f>
        <v>Europe</v>
      </c>
      <c r="M928" s="7" t="str">
        <f>VLOOKUP($J928,countries,6,false)</f>
        <v>Southern Europe</v>
      </c>
      <c r="N928" s="7">
        <v>4594.0</v>
      </c>
      <c r="O928" s="7" t="str">
        <f>VLOOKUP(N928, products, 2, FALSE)</f>
        <v>Fruits</v>
      </c>
      <c r="P928" s="7" t="s">
        <v>334</v>
      </c>
      <c r="Q928" s="7">
        <v>7152.0</v>
      </c>
      <c r="R928" s="17">
        <v>9.33</v>
      </c>
      <c r="S928" s="17">
        <v>6.92</v>
      </c>
      <c r="U928" s="18">
        <f t="shared" si="6"/>
        <v>66728.16</v>
      </c>
      <c r="V928" s="18">
        <f t="shared" si="7"/>
        <v>49491.84</v>
      </c>
      <c r="W928" s="19">
        <f t="shared" si="8"/>
        <v>17236.32</v>
      </c>
    </row>
    <row r="929">
      <c r="A929" s="7">
        <v>7.04361665E8</v>
      </c>
      <c r="B929" s="12">
        <v>42399.0</v>
      </c>
      <c r="C929" s="7">
        <f t="shared" si="1"/>
        <v>2016</v>
      </c>
      <c r="D929" s="14" t="str">
        <f t="shared" si="2"/>
        <v>01 - Jan</v>
      </c>
      <c r="E929" s="15" t="str">
        <f t="shared" si="3"/>
        <v>Sat</v>
      </c>
      <c r="F929" s="15">
        <f t="shared" si="4"/>
        <v>6</v>
      </c>
      <c r="G929" s="16">
        <v>42430.0</v>
      </c>
      <c r="H929" s="14">
        <f t="shared" si="5"/>
        <v>31</v>
      </c>
      <c r="I929" s="7" t="s">
        <v>305</v>
      </c>
      <c r="J929" s="7" t="s">
        <v>435</v>
      </c>
      <c r="K929" s="7" t="str">
        <f>VLOOKUP(J929,countries,2,false)</f>
        <v>Slovakia</v>
      </c>
      <c r="L929" s="7" t="str">
        <f>VLOOKUP($J929,countries,5,false)</f>
        <v>Europe</v>
      </c>
      <c r="M929" s="7" t="str">
        <f>VLOOKUP($J929,countries,6,false)</f>
        <v>Eastern Europe</v>
      </c>
      <c r="N929" s="7">
        <v>7940.0</v>
      </c>
      <c r="O929" s="7" t="str">
        <f>VLOOKUP(N929, products, 2, FALSE)</f>
        <v>Household</v>
      </c>
      <c r="P929" s="7" t="s">
        <v>264</v>
      </c>
      <c r="Q929" s="7">
        <v>5124.0</v>
      </c>
      <c r="R929" s="17">
        <v>668.27</v>
      </c>
      <c r="S929" s="17">
        <v>502.54</v>
      </c>
      <c r="U929" s="18">
        <f t="shared" si="6"/>
        <v>3424215.48</v>
      </c>
      <c r="V929" s="18">
        <f t="shared" si="7"/>
        <v>2575014.96</v>
      </c>
      <c r="W929" s="19">
        <f t="shared" si="8"/>
        <v>849200.52</v>
      </c>
    </row>
    <row r="930">
      <c r="A930" s="7">
        <v>7.06176555E8</v>
      </c>
      <c r="B930" s="12">
        <v>42048.0</v>
      </c>
      <c r="C930" s="7">
        <f t="shared" si="1"/>
        <v>2015</v>
      </c>
      <c r="D930" s="14" t="str">
        <f t="shared" si="2"/>
        <v>02 - Feb</v>
      </c>
      <c r="E930" s="15" t="str">
        <f t="shared" si="3"/>
        <v>Fri</v>
      </c>
      <c r="F930" s="15">
        <f t="shared" si="4"/>
        <v>5</v>
      </c>
      <c r="G930" s="16">
        <v>42061.0</v>
      </c>
      <c r="H930" s="14">
        <f t="shared" si="5"/>
        <v>13</v>
      </c>
      <c r="I930" s="7" t="s">
        <v>305</v>
      </c>
      <c r="J930" s="7" t="s">
        <v>381</v>
      </c>
      <c r="K930" s="7" t="str">
        <f>VLOOKUP(J930,countries,2,false)</f>
        <v>Iceland</v>
      </c>
      <c r="L930" s="7" t="str">
        <f>VLOOKUP($J930,countries,5,false)</f>
        <v>Europe</v>
      </c>
      <c r="M930" s="7" t="str">
        <f>VLOOKUP($J930,countries,6,false)</f>
        <v>Northern Europe</v>
      </c>
      <c r="N930" s="7">
        <v>5988.0</v>
      </c>
      <c r="O930" s="7" t="str">
        <f>VLOOKUP(N930, products, 2, FALSE)</f>
        <v>Vegetables</v>
      </c>
      <c r="P930" s="7" t="s">
        <v>334</v>
      </c>
      <c r="Q930" s="7">
        <v>2190.0</v>
      </c>
      <c r="R930" s="17">
        <v>154.06</v>
      </c>
      <c r="S930" s="17">
        <v>90.93</v>
      </c>
      <c r="U930" s="18">
        <f t="shared" si="6"/>
        <v>337391.4</v>
      </c>
      <c r="V930" s="18">
        <f t="shared" si="7"/>
        <v>199136.7</v>
      </c>
      <c r="W930" s="19">
        <f t="shared" si="8"/>
        <v>138254.7</v>
      </c>
    </row>
    <row r="931">
      <c r="A931" s="7">
        <v>7.06301438E8</v>
      </c>
      <c r="B931" s="12">
        <v>40931.0</v>
      </c>
      <c r="C931" s="7">
        <f t="shared" si="1"/>
        <v>2012</v>
      </c>
      <c r="D931" s="14" t="str">
        <f t="shared" si="2"/>
        <v>01 - Jan</v>
      </c>
      <c r="E931" s="15" t="str">
        <f t="shared" si="3"/>
        <v>Mon</v>
      </c>
      <c r="F931" s="15">
        <f t="shared" si="4"/>
        <v>1</v>
      </c>
      <c r="G931" s="16">
        <v>40950.0</v>
      </c>
      <c r="H931" s="14">
        <f t="shared" si="5"/>
        <v>19</v>
      </c>
      <c r="I931" s="7" t="s">
        <v>232</v>
      </c>
      <c r="J931" s="7" t="s">
        <v>328</v>
      </c>
      <c r="K931" s="7" t="str">
        <f>VLOOKUP(J931,countries,2,false)</f>
        <v>Greece</v>
      </c>
      <c r="L931" s="7" t="str">
        <f>VLOOKUP($J931,countries,5,false)</f>
        <v>Europe</v>
      </c>
      <c r="M931" s="7" t="str">
        <f>VLOOKUP($J931,countries,6,false)</f>
        <v>Southern Europe</v>
      </c>
      <c r="N931" s="7">
        <v>7940.0</v>
      </c>
      <c r="O931" s="7" t="str">
        <f>VLOOKUP(N931, products, 2, FALSE)</f>
        <v>Household</v>
      </c>
      <c r="P931" s="7" t="s">
        <v>334</v>
      </c>
      <c r="Q931" s="7">
        <v>9146.0</v>
      </c>
      <c r="R931" s="17">
        <v>668.27</v>
      </c>
      <c r="S931" s="17">
        <v>502.54</v>
      </c>
      <c r="U931" s="18">
        <f t="shared" si="6"/>
        <v>6111997.42</v>
      </c>
      <c r="V931" s="18">
        <f t="shared" si="7"/>
        <v>4596230.84</v>
      </c>
      <c r="W931" s="19">
        <f t="shared" si="8"/>
        <v>1515766.58</v>
      </c>
    </row>
    <row r="932">
      <c r="A932" s="7">
        <v>7.07661855E8</v>
      </c>
      <c r="B932" s="12">
        <v>42735.0</v>
      </c>
      <c r="C932" s="7">
        <f t="shared" si="1"/>
        <v>2016</v>
      </c>
      <c r="D932" s="14" t="str">
        <f t="shared" si="2"/>
        <v>12 - Dec</v>
      </c>
      <c r="E932" s="15" t="str">
        <f t="shared" si="3"/>
        <v>Sat</v>
      </c>
      <c r="F932" s="15">
        <f t="shared" si="4"/>
        <v>6</v>
      </c>
      <c r="G932" s="16">
        <v>42761.0</v>
      </c>
      <c r="H932" s="14">
        <f t="shared" si="5"/>
        <v>26</v>
      </c>
      <c r="I932" s="7" t="s">
        <v>232</v>
      </c>
      <c r="J932" s="7" t="s">
        <v>468</v>
      </c>
      <c r="K932" s="7" t="str">
        <f>VLOOKUP(J932,countries,2,false)</f>
        <v>Luxembourg</v>
      </c>
      <c r="L932" s="7" t="str">
        <f>VLOOKUP($J932,countries,5,false)</f>
        <v>Europe</v>
      </c>
      <c r="M932" s="7" t="str">
        <f>VLOOKUP($J932,countries,6,false)</f>
        <v>Western Europe</v>
      </c>
      <c r="N932" s="7">
        <v>4594.0</v>
      </c>
      <c r="O932" s="7" t="str">
        <f>VLOOKUP(N932, products, 2, FALSE)</f>
        <v>Fruits</v>
      </c>
      <c r="P932" s="7" t="s">
        <v>334</v>
      </c>
      <c r="Q932" s="7">
        <v>1723.0</v>
      </c>
      <c r="R932" s="17">
        <v>9.33</v>
      </c>
      <c r="S932" s="17">
        <v>6.92</v>
      </c>
      <c r="U932" s="18">
        <f t="shared" si="6"/>
        <v>16075.59</v>
      </c>
      <c r="V932" s="18">
        <f t="shared" si="7"/>
        <v>11923.16</v>
      </c>
      <c r="W932" s="19">
        <f t="shared" si="8"/>
        <v>4152.43</v>
      </c>
    </row>
    <row r="933">
      <c r="A933" s="7">
        <v>7.07718932E8</v>
      </c>
      <c r="B933" s="12">
        <v>40542.0</v>
      </c>
      <c r="C933" s="7">
        <f t="shared" si="1"/>
        <v>2010</v>
      </c>
      <c r="D933" s="14" t="str">
        <f t="shared" si="2"/>
        <v>12 - Dec</v>
      </c>
      <c r="E933" s="15" t="str">
        <f t="shared" si="3"/>
        <v>Thu</v>
      </c>
      <c r="F933" s="15">
        <f t="shared" si="4"/>
        <v>4</v>
      </c>
      <c r="G933" s="16">
        <v>40549.0</v>
      </c>
      <c r="H933" s="14">
        <f t="shared" si="5"/>
        <v>7</v>
      </c>
      <c r="I933" s="7" t="s">
        <v>232</v>
      </c>
      <c r="J933" s="7" t="s">
        <v>570</v>
      </c>
      <c r="K933" s="7" t="str">
        <f>VLOOKUP(J933,countries,2,false)</f>
        <v>Macedonia</v>
      </c>
      <c r="L933" s="7" t="str">
        <f>VLOOKUP($J933,countries,5,false)</f>
        <v>Europe</v>
      </c>
      <c r="M933" s="7" t="str">
        <f>VLOOKUP($J933,countries,6,false)</f>
        <v>Southern Europe</v>
      </c>
      <c r="N933" s="7">
        <v>4594.0</v>
      </c>
      <c r="O933" s="7" t="str">
        <f>VLOOKUP(N933, products, 2, FALSE)</f>
        <v>Fruits</v>
      </c>
      <c r="P933" s="7" t="s">
        <v>264</v>
      </c>
      <c r="Q933" s="7">
        <v>8614.0</v>
      </c>
      <c r="R933" s="17">
        <v>9.33</v>
      </c>
      <c r="S933" s="17">
        <v>6.92</v>
      </c>
      <c r="U933" s="18">
        <f t="shared" si="6"/>
        <v>80368.62</v>
      </c>
      <c r="V933" s="18">
        <f t="shared" si="7"/>
        <v>59608.88</v>
      </c>
      <c r="W933" s="19">
        <f t="shared" si="8"/>
        <v>20759.74</v>
      </c>
    </row>
    <row r="934">
      <c r="A934" s="7">
        <v>7.08320605E8</v>
      </c>
      <c r="B934" s="12">
        <v>42631.0</v>
      </c>
      <c r="C934" s="7">
        <f t="shared" si="1"/>
        <v>2016</v>
      </c>
      <c r="D934" s="14" t="str">
        <f t="shared" si="2"/>
        <v>09 - Sep</v>
      </c>
      <c r="E934" s="15" t="str">
        <f t="shared" si="3"/>
        <v>Sun</v>
      </c>
      <c r="F934" s="15">
        <f t="shared" si="4"/>
        <v>7</v>
      </c>
      <c r="G934" s="16">
        <v>42648.0</v>
      </c>
      <c r="H934" s="14">
        <f t="shared" si="5"/>
        <v>17</v>
      </c>
      <c r="I934" s="7" t="s">
        <v>364</v>
      </c>
      <c r="J934" s="7" t="s">
        <v>656</v>
      </c>
      <c r="K934" s="7" t="str">
        <f>VLOOKUP(J934,countries,2,false)</f>
        <v>San Marino</v>
      </c>
      <c r="L934" s="7" t="str">
        <f>VLOOKUP($J934,countries,5,false)</f>
        <v>Europe</v>
      </c>
      <c r="M934" s="7" t="str">
        <f>VLOOKUP($J934,countries,6,false)</f>
        <v>Southern Europe</v>
      </c>
      <c r="N934" s="7">
        <v>4594.0</v>
      </c>
      <c r="O934" s="7" t="str">
        <f>VLOOKUP(N934, products, 2, FALSE)</f>
        <v>Fruits</v>
      </c>
      <c r="P934" s="7" t="s">
        <v>334</v>
      </c>
      <c r="Q934" s="7">
        <v>6662.0</v>
      </c>
      <c r="R934" s="17">
        <v>9.33</v>
      </c>
      <c r="S934" s="17">
        <v>6.92</v>
      </c>
      <c r="U934" s="18">
        <f t="shared" si="6"/>
        <v>62156.46</v>
      </c>
      <c r="V934" s="18">
        <f t="shared" si="7"/>
        <v>46101.04</v>
      </c>
      <c r="W934" s="19">
        <f t="shared" si="8"/>
        <v>16055.42</v>
      </c>
    </row>
    <row r="935">
      <c r="A935" s="7">
        <v>7.09071195E8</v>
      </c>
      <c r="B935" s="12">
        <v>41078.0</v>
      </c>
      <c r="C935" s="7">
        <f t="shared" si="1"/>
        <v>2012</v>
      </c>
      <c r="D935" s="14" t="str">
        <f t="shared" si="2"/>
        <v>06 - Jun</v>
      </c>
      <c r="E935" s="15" t="str">
        <f t="shared" si="3"/>
        <v>Mon</v>
      </c>
      <c r="F935" s="15">
        <f t="shared" si="4"/>
        <v>1</v>
      </c>
      <c r="G935" s="16">
        <v>41123.0</v>
      </c>
      <c r="H935" s="14">
        <f t="shared" si="5"/>
        <v>45</v>
      </c>
      <c r="I935" s="7" t="s">
        <v>305</v>
      </c>
      <c r="J935" s="7" t="s">
        <v>240</v>
      </c>
      <c r="K935" s="7" t="str">
        <f>VLOOKUP(J935,countries,2,false)</f>
        <v>Cyprus</v>
      </c>
      <c r="L935" s="7" t="str">
        <f>VLOOKUP($J935,countries,5,false)</f>
        <v>Asia</v>
      </c>
      <c r="M935" s="7" t="str">
        <f>VLOOKUP($J935,countries,6,false)</f>
        <v>Western Asia</v>
      </c>
      <c r="N935" s="7">
        <v>7940.0</v>
      </c>
      <c r="O935" s="7" t="str">
        <f>VLOOKUP(N935, products, 2, FALSE)</f>
        <v>Household</v>
      </c>
      <c r="P935" s="7" t="s">
        <v>264</v>
      </c>
      <c r="Q935" s="7">
        <v>8778.0</v>
      </c>
      <c r="R935" s="17">
        <v>668.27</v>
      </c>
      <c r="S935" s="17">
        <v>502.54</v>
      </c>
      <c r="U935" s="18">
        <f t="shared" si="6"/>
        <v>5866074.06</v>
      </c>
      <c r="V935" s="18">
        <f t="shared" si="7"/>
        <v>4411296.12</v>
      </c>
      <c r="W935" s="19">
        <f t="shared" si="8"/>
        <v>1454777.94</v>
      </c>
    </row>
    <row r="936">
      <c r="A936" s="7">
        <v>7.09105527E8</v>
      </c>
      <c r="B936" s="12">
        <v>41028.0</v>
      </c>
      <c r="C936" s="7">
        <f t="shared" si="1"/>
        <v>2012</v>
      </c>
      <c r="D936" s="14" t="str">
        <f t="shared" si="2"/>
        <v>04 - Apr</v>
      </c>
      <c r="E936" s="15" t="str">
        <f t="shared" si="3"/>
        <v>Sun</v>
      </c>
      <c r="F936" s="15">
        <f t="shared" si="4"/>
        <v>7</v>
      </c>
      <c r="G936" s="16">
        <v>41030.0</v>
      </c>
      <c r="H936" s="14">
        <f t="shared" si="5"/>
        <v>2</v>
      </c>
      <c r="I936" s="7" t="s">
        <v>305</v>
      </c>
      <c r="J936" s="7" t="s">
        <v>233</v>
      </c>
      <c r="K936" s="7" t="str">
        <f>VLOOKUP(J936,countries,2,false)</f>
        <v>Norway</v>
      </c>
      <c r="L936" s="7" t="str">
        <f>VLOOKUP($J936,countries,5,false)</f>
        <v>Europe</v>
      </c>
      <c r="M936" s="7" t="str">
        <f>VLOOKUP($J936,countries,6,false)</f>
        <v>Northern Europe</v>
      </c>
      <c r="N936" s="7">
        <v>2455.0</v>
      </c>
      <c r="O936" s="7" t="str">
        <f>VLOOKUP(N936, products, 2, FALSE)</f>
        <v>Clothes</v>
      </c>
      <c r="P936" s="7" t="s">
        <v>264</v>
      </c>
      <c r="Q936" s="7">
        <v>8938.0</v>
      </c>
      <c r="R936" s="17">
        <v>109.28</v>
      </c>
      <c r="S936" s="17">
        <v>35.84</v>
      </c>
      <c r="U936" s="18">
        <f t="shared" si="6"/>
        <v>976744.64</v>
      </c>
      <c r="V936" s="18">
        <f t="shared" si="7"/>
        <v>320337.92</v>
      </c>
      <c r="W936" s="19">
        <f t="shared" si="8"/>
        <v>656406.72</v>
      </c>
    </row>
    <row r="937">
      <c r="A937" s="7">
        <v>7.09276759E8</v>
      </c>
      <c r="B937" s="12">
        <v>42747.0</v>
      </c>
      <c r="C937" s="7">
        <f t="shared" si="1"/>
        <v>2017</v>
      </c>
      <c r="D937" s="14" t="str">
        <f t="shared" si="2"/>
        <v>01 - Jan</v>
      </c>
      <c r="E937" s="15" t="str">
        <f t="shared" si="3"/>
        <v>Thu</v>
      </c>
      <c r="F937" s="15">
        <f t="shared" si="4"/>
        <v>4</v>
      </c>
      <c r="G937" s="16">
        <v>42795.0</v>
      </c>
      <c r="H937" s="14">
        <f t="shared" si="5"/>
        <v>48</v>
      </c>
      <c r="I937" s="7" t="s">
        <v>364</v>
      </c>
      <c r="J937" s="7" t="s">
        <v>623</v>
      </c>
      <c r="K937" s="7" t="str">
        <f>VLOOKUP(J937,countries,2,false)</f>
        <v>Romania</v>
      </c>
      <c r="L937" s="7" t="str">
        <f>VLOOKUP($J937,countries,5,false)</f>
        <v>Europe</v>
      </c>
      <c r="M937" s="7" t="str">
        <f>VLOOKUP($J937,countries,6,false)</f>
        <v>Eastern Europe</v>
      </c>
      <c r="N937" s="7">
        <v>2455.0</v>
      </c>
      <c r="O937" s="7" t="str">
        <f>VLOOKUP(N937, products, 2, FALSE)</f>
        <v>Clothes</v>
      </c>
      <c r="P937" s="7" t="s">
        <v>334</v>
      </c>
      <c r="Q937" s="7">
        <v>9610.0</v>
      </c>
      <c r="R937" s="17">
        <v>109.28</v>
      </c>
      <c r="S937" s="17">
        <v>35.84</v>
      </c>
      <c r="U937" s="18">
        <f t="shared" si="6"/>
        <v>1050180.8</v>
      </c>
      <c r="V937" s="18">
        <f t="shared" si="7"/>
        <v>344422.4</v>
      </c>
      <c r="W937" s="19">
        <f t="shared" si="8"/>
        <v>705758.4</v>
      </c>
    </row>
    <row r="938">
      <c r="A938" s="7">
        <v>7.12595832E8</v>
      </c>
      <c r="B938" s="12">
        <v>42087.0</v>
      </c>
      <c r="C938" s="7">
        <f t="shared" si="1"/>
        <v>2015</v>
      </c>
      <c r="D938" s="14" t="str">
        <f t="shared" si="2"/>
        <v>03 - Mar</v>
      </c>
      <c r="E938" s="15" t="str">
        <f t="shared" si="3"/>
        <v>Tue</v>
      </c>
      <c r="F938" s="15">
        <f t="shared" si="4"/>
        <v>2</v>
      </c>
      <c r="G938" s="16">
        <v>42091.0</v>
      </c>
      <c r="H938" s="14">
        <f t="shared" si="5"/>
        <v>4</v>
      </c>
      <c r="I938" s="7" t="s">
        <v>399</v>
      </c>
      <c r="J938" s="7" t="s">
        <v>771</v>
      </c>
      <c r="K938" s="7" t="str">
        <f>VLOOKUP(J938,countries,2,false)</f>
        <v>Ukraine</v>
      </c>
      <c r="L938" s="7" t="str">
        <f>VLOOKUP($J938,countries,5,false)</f>
        <v>Europe</v>
      </c>
      <c r="M938" s="7" t="str">
        <f>VLOOKUP($J938,countries,6,false)</f>
        <v>Eastern Europe</v>
      </c>
      <c r="N938" s="7">
        <v>1270.0</v>
      </c>
      <c r="O938" s="7" t="str">
        <f>VLOOKUP(N938, products, 2, FALSE)</f>
        <v>Beverages</v>
      </c>
      <c r="P938" s="7" t="s">
        <v>264</v>
      </c>
      <c r="Q938" s="7">
        <v>1797.0</v>
      </c>
      <c r="R938" s="17">
        <v>47.45</v>
      </c>
      <c r="S938" s="17">
        <v>31.79</v>
      </c>
      <c r="U938" s="18">
        <f t="shared" si="6"/>
        <v>85267.65</v>
      </c>
      <c r="V938" s="18">
        <f t="shared" si="7"/>
        <v>57126.63</v>
      </c>
      <c r="W938" s="19">
        <f t="shared" si="8"/>
        <v>28141.02</v>
      </c>
    </row>
    <row r="939">
      <c r="A939" s="7">
        <v>7.13009965E8</v>
      </c>
      <c r="B939" s="12">
        <v>42689.0</v>
      </c>
      <c r="C939" s="7">
        <f t="shared" si="1"/>
        <v>2016</v>
      </c>
      <c r="D939" s="14" t="str">
        <f t="shared" si="2"/>
        <v>11 - Nov</v>
      </c>
      <c r="E939" s="15" t="str">
        <f t="shared" si="3"/>
        <v>Tue</v>
      </c>
      <c r="F939" s="15">
        <f t="shared" si="4"/>
        <v>2</v>
      </c>
      <c r="G939" s="16">
        <v>42720.0</v>
      </c>
      <c r="H939" s="14">
        <f t="shared" si="5"/>
        <v>31</v>
      </c>
      <c r="I939" s="7" t="s">
        <v>399</v>
      </c>
      <c r="J939" s="7" t="s">
        <v>67</v>
      </c>
      <c r="K939" s="7" t="str">
        <f>VLOOKUP(J939,countries,2,false)</f>
        <v>Andorra</v>
      </c>
      <c r="L939" s="7" t="str">
        <f>VLOOKUP($J939,countries,5,false)</f>
        <v>Europe</v>
      </c>
      <c r="M939" s="7" t="str">
        <f>VLOOKUP($J939,countries,6,false)</f>
        <v>Southern Europe</v>
      </c>
      <c r="N939" s="7">
        <v>7940.0</v>
      </c>
      <c r="O939" s="7" t="str">
        <f>VLOOKUP(N939, products, 2, FALSE)</f>
        <v>Household</v>
      </c>
      <c r="P939" s="7" t="s">
        <v>264</v>
      </c>
      <c r="Q939" s="7">
        <v>4348.0</v>
      </c>
      <c r="R939" s="17">
        <v>668.27</v>
      </c>
      <c r="S939" s="17">
        <v>502.54</v>
      </c>
      <c r="U939" s="18">
        <f t="shared" si="6"/>
        <v>2905637.96</v>
      </c>
      <c r="V939" s="18">
        <f t="shared" si="7"/>
        <v>2185043.92</v>
      </c>
      <c r="W939" s="19">
        <f t="shared" si="8"/>
        <v>720594.04</v>
      </c>
    </row>
    <row r="940">
      <c r="A940" s="7">
        <v>7.1335715E8</v>
      </c>
      <c r="B940" s="12">
        <v>41038.0</v>
      </c>
      <c r="C940" s="7">
        <f t="shared" si="1"/>
        <v>2012</v>
      </c>
      <c r="D940" s="14" t="str">
        <f t="shared" si="2"/>
        <v>05 - May</v>
      </c>
      <c r="E940" s="15" t="str">
        <f t="shared" si="3"/>
        <v>Wed</v>
      </c>
      <c r="F940" s="15">
        <f t="shared" si="4"/>
        <v>3</v>
      </c>
      <c r="G940" s="16">
        <v>41063.0</v>
      </c>
      <c r="H940" s="14">
        <f t="shared" si="5"/>
        <v>25</v>
      </c>
      <c r="I940" s="7" t="s">
        <v>399</v>
      </c>
      <c r="J940" s="7" t="s">
        <v>246</v>
      </c>
      <c r="K940" s="7" t="str">
        <f>VLOOKUP(J940,countries,2,false)</f>
        <v>Denmark</v>
      </c>
      <c r="L940" s="7" t="str">
        <f>VLOOKUP($J940,countries,5,false)</f>
        <v>Europe</v>
      </c>
      <c r="M940" s="7" t="str">
        <f>VLOOKUP($J940,countries,6,false)</f>
        <v>Northern Europe</v>
      </c>
      <c r="N940" s="7">
        <v>2455.0</v>
      </c>
      <c r="O940" s="7" t="str">
        <f>VLOOKUP(N940, products, 2, FALSE)</f>
        <v>Clothes</v>
      </c>
      <c r="P940" s="7" t="s">
        <v>334</v>
      </c>
      <c r="Q940" s="7">
        <v>7088.0</v>
      </c>
      <c r="R940" s="17">
        <v>109.28</v>
      </c>
      <c r="S940" s="17">
        <v>35.84</v>
      </c>
      <c r="U940" s="18">
        <f t="shared" si="6"/>
        <v>774576.64</v>
      </c>
      <c r="V940" s="18">
        <f t="shared" si="7"/>
        <v>254033.92</v>
      </c>
      <c r="W940" s="19">
        <f t="shared" si="8"/>
        <v>520542.72</v>
      </c>
    </row>
    <row r="941">
      <c r="A941" s="7">
        <v>7.14165675E8</v>
      </c>
      <c r="B941" s="12">
        <v>41647.0</v>
      </c>
      <c r="C941" s="7">
        <f t="shared" si="1"/>
        <v>2014</v>
      </c>
      <c r="D941" s="14" t="str">
        <f t="shared" si="2"/>
        <v>01 - Jan</v>
      </c>
      <c r="E941" s="15" t="str">
        <f t="shared" si="3"/>
        <v>Wed</v>
      </c>
      <c r="F941" s="15">
        <f t="shared" si="4"/>
        <v>3</v>
      </c>
      <c r="G941" s="16">
        <v>41672.0</v>
      </c>
      <c r="H941" s="14">
        <f t="shared" si="5"/>
        <v>25</v>
      </c>
      <c r="I941" s="7" t="s">
        <v>305</v>
      </c>
      <c r="J941" s="7" t="s">
        <v>608</v>
      </c>
      <c r="K941" s="7" t="str">
        <f>VLOOKUP(J941,countries,2,false)</f>
        <v>Poland</v>
      </c>
      <c r="L941" s="7" t="str">
        <f>VLOOKUP($J941,countries,5,false)</f>
        <v>Europe</v>
      </c>
      <c r="M941" s="7" t="str">
        <f>VLOOKUP($J941,countries,6,false)</f>
        <v>Eastern Europe</v>
      </c>
      <c r="N941" s="7">
        <v>1270.0</v>
      </c>
      <c r="O941" s="7" t="str">
        <f>VLOOKUP(N941, products, 2, FALSE)</f>
        <v>Beverages</v>
      </c>
      <c r="P941" s="7" t="s">
        <v>334</v>
      </c>
      <c r="Q941" s="7">
        <v>6348.0</v>
      </c>
      <c r="R941" s="17">
        <v>47.45</v>
      </c>
      <c r="S941" s="17">
        <v>31.79</v>
      </c>
      <c r="U941" s="18">
        <f t="shared" si="6"/>
        <v>301212.6</v>
      </c>
      <c r="V941" s="18">
        <f t="shared" si="7"/>
        <v>201802.92</v>
      </c>
      <c r="W941" s="19">
        <f t="shared" si="8"/>
        <v>99409.68</v>
      </c>
    </row>
    <row r="942">
      <c r="A942" s="7">
        <v>7.15309798E8</v>
      </c>
      <c r="B942" s="12">
        <v>41280.0</v>
      </c>
      <c r="C942" s="7">
        <f t="shared" si="1"/>
        <v>2013</v>
      </c>
      <c r="D942" s="14" t="str">
        <f t="shared" si="2"/>
        <v>01 - Jan</v>
      </c>
      <c r="E942" s="15" t="str">
        <f t="shared" si="3"/>
        <v>Sun</v>
      </c>
      <c r="F942" s="15">
        <f t="shared" si="4"/>
        <v>7</v>
      </c>
      <c r="G942" s="16">
        <v>41315.0</v>
      </c>
      <c r="H942" s="14">
        <f t="shared" si="5"/>
        <v>35</v>
      </c>
      <c r="I942" s="7" t="s">
        <v>232</v>
      </c>
      <c r="J942" s="7" t="s">
        <v>406</v>
      </c>
      <c r="K942" s="7" t="str">
        <f>VLOOKUP(J942,countries,2,false)</f>
        <v>Italy</v>
      </c>
      <c r="L942" s="7" t="str">
        <f>VLOOKUP($J942,countries,5,false)</f>
        <v>Europe</v>
      </c>
      <c r="M942" s="7" t="str">
        <f>VLOOKUP($J942,countries,6,false)</f>
        <v>Southern Europe</v>
      </c>
      <c r="N942" s="7">
        <v>2103.0</v>
      </c>
      <c r="O942" s="7" t="str">
        <f>VLOOKUP(N942, products, 2, FALSE)</f>
        <v>Cereal</v>
      </c>
      <c r="P942" s="7" t="s">
        <v>264</v>
      </c>
      <c r="Q942" s="7">
        <v>4920.0</v>
      </c>
      <c r="R942" s="17">
        <v>205.7</v>
      </c>
      <c r="S942" s="17">
        <v>117.11</v>
      </c>
      <c r="U942" s="18">
        <f t="shared" si="6"/>
        <v>1012044</v>
      </c>
      <c r="V942" s="18">
        <f t="shared" si="7"/>
        <v>576181.2</v>
      </c>
      <c r="W942" s="19">
        <f t="shared" si="8"/>
        <v>435862.8</v>
      </c>
    </row>
    <row r="943">
      <c r="A943" s="7">
        <v>7.15863835E8</v>
      </c>
      <c r="B943" s="12">
        <v>40915.0</v>
      </c>
      <c r="C943" s="7">
        <f t="shared" si="1"/>
        <v>2012</v>
      </c>
      <c r="D943" s="14" t="str">
        <f t="shared" si="2"/>
        <v>01 - Jan</v>
      </c>
      <c r="E943" s="15" t="str">
        <f t="shared" si="3"/>
        <v>Sat</v>
      </c>
      <c r="F943" s="15">
        <f t="shared" si="4"/>
        <v>6</v>
      </c>
      <c r="G943" s="16">
        <v>40934.0</v>
      </c>
      <c r="H943" s="14">
        <f t="shared" si="5"/>
        <v>19</v>
      </c>
      <c r="I943" s="7" t="s">
        <v>305</v>
      </c>
      <c r="J943" s="7" t="s">
        <v>717</v>
      </c>
      <c r="K943" s="7" t="str">
        <f>VLOOKUP(J943,countries,2,false)</f>
        <v>Sweden</v>
      </c>
      <c r="L943" s="7" t="str">
        <f>VLOOKUP($J943,countries,5,false)</f>
        <v>Europe</v>
      </c>
      <c r="M943" s="7" t="str">
        <f>VLOOKUP($J943,countries,6,false)</f>
        <v>Northern Europe</v>
      </c>
      <c r="N943" s="7">
        <v>5988.0</v>
      </c>
      <c r="O943" s="7" t="str">
        <f>VLOOKUP(N943, products, 2, FALSE)</f>
        <v>Vegetables</v>
      </c>
      <c r="P943" s="7" t="s">
        <v>264</v>
      </c>
      <c r="Q943" s="7">
        <v>8872.0</v>
      </c>
      <c r="R943" s="17">
        <v>154.06</v>
      </c>
      <c r="S943" s="17">
        <v>90.93</v>
      </c>
      <c r="U943" s="18">
        <f t="shared" si="6"/>
        <v>1366820.32</v>
      </c>
      <c r="V943" s="18">
        <f t="shared" si="7"/>
        <v>806730.96</v>
      </c>
      <c r="W943" s="19">
        <f t="shared" si="8"/>
        <v>560089.36</v>
      </c>
    </row>
    <row r="944">
      <c r="A944" s="7">
        <v>7.16054379E8</v>
      </c>
      <c r="B944" s="12">
        <v>42433.0</v>
      </c>
      <c r="C944" s="7">
        <f t="shared" si="1"/>
        <v>2016</v>
      </c>
      <c r="D944" s="14" t="str">
        <f t="shared" si="2"/>
        <v>03 - Mar</v>
      </c>
      <c r="E944" s="15" t="str">
        <f t="shared" si="3"/>
        <v>Fri</v>
      </c>
      <c r="F944" s="15">
        <f t="shared" si="4"/>
        <v>5</v>
      </c>
      <c r="G944" s="16">
        <v>42455.0</v>
      </c>
      <c r="H944" s="14">
        <f t="shared" si="5"/>
        <v>22</v>
      </c>
      <c r="I944" s="7" t="s">
        <v>364</v>
      </c>
      <c r="J944" s="7" t="s">
        <v>67</v>
      </c>
      <c r="K944" s="7" t="str">
        <f>VLOOKUP(J944,countries,2,false)</f>
        <v>Andorra</v>
      </c>
      <c r="L944" s="7" t="str">
        <f>VLOOKUP($J944,countries,5,false)</f>
        <v>Europe</v>
      </c>
      <c r="M944" s="7" t="str">
        <f>VLOOKUP($J944,countries,6,false)</f>
        <v>Southern Europe</v>
      </c>
      <c r="N944" s="7">
        <v>4594.0</v>
      </c>
      <c r="O944" s="7" t="str">
        <f>VLOOKUP(N944, products, 2, FALSE)</f>
        <v>Fruits</v>
      </c>
      <c r="P944" s="7" t="s">
        <v>334</v>
      </c>
      <c r="Q944" s="7">
        <v>5258.0</v>
      </c>
      <c r="R944" s="17">
        <v>9.33</v>
      </c>
      <c r="S944" s="17">
        <v>6.92</v>
      </c>
      <c r="U944" s="18">
        <f t="shared" si="6"/>
        <v>49057.14</v>
      </c>
      <c r="V944" s="18">
        <f t="shared" si="7"/>
        <v>36385.36</v>
      </c>
      <c r="W944" s="19">
        <f t="shared" si="8"/>
        <v>12671.78</v>
      </c>
    </row>
    <row r="945">
      <c r="A945" s="7">
        <v>7.16411006E8</v>
      </c>
      <c r="B945" s="12">
        <v>41666.0</v>
      </c>
      <c r="C945" s="7">
        <f t="shared" si="1"/>
        <v>2014</v>
      </c>
      <c r="D945" s="14" t="str">
        <f t="shared" si="2"/>
        <v>01 - Jan</v>
      </c>
      <c r="E945" s="15" t="str">
        <f t="shared" si="3"/>
        <v>Mon</v>
      </c>
      <c r="F945" s="15">
        <f t="shared" si="4"/>
        <v>1</v>
      </c>
      <c r="G945" s="16">
        <v>41687.0</v>
      </c>
      <c r="H945" s="14">
        <f t="shared" si="5"/>
        <v>21</v>
      </c>
      <c r="I945" s="7" t="s">
        <v>364</v>
      </c>
      <c r="J945" s="7" t="s">
        <v>447</v>
      </c>
      <c r="K945" s="7" t="str">
        <f>VLOOKUP(J945,countries,2,false)</f>
        <v>Latvia</v>
      </c>
      <c r="L945" s="7" t="str">
        <f>VLOOKUP($J945,countries,5,false)</f>
        <v>Europe</v>
      </c>
      <c r="M945" s="7" t="str">
        <f>VLOOKUP($J945,countries,6,false)</f>
        <v>Northern Europe</v>
      </c>
      <c r="N945" s="7">
        <v>3127.0</v>
      </c>
      <c r="O945" s="7" t="str">
        <f>VLOOKUP(N945, products, 2, FALSE)</f>
        <v>Personal Care</v>
      </c>
      <c r="P945" s="7" t="s">
        <v>264</v>
      </c>
      <c r="Q945" s="7">
        <v>792.0</v>
      </c>
      <c r="R945" s="17">
        <v>81.73</v>
      </c>
      <c r="S945" s="17">
        <v>56.67</v>
      </c>
      <c r="U945" s="18">
        <f t="shared" si="6"/>
        <v>64730.16</v>
      </c>
      <c r="V945" s="18">
        <f t="shared" si="7"/>
        <v>44882.64</v>
      </c>
      <c r="W945" s="19">
        <f t="shared" si="8"/>
        <v>19847.52</v>
      </c>
    </row>
    <row r="946">
      <c r="A946" s="7">
        <v>7.1783322E8</v>
      </c>
      <c r="B946" s="12">
        <v>41720.0</v>
      </c>
      <c r="C946" s="7">
        <f t="shared" si="1"/>
        <v>2014</v>
      </c>
      <c r="D946" s="14" t="str">
        <f t="shared" si="2"/>
        <v>03 - Mar</v>
      </c>
      <c r="E946" s="15" t="str">
        <f t="shared" si="3"/>
        <v>Sat</v>
      </c>
      <c r="F946" s="15">
        <f t="shared" si="4"/>
        <v>6</v>
      </c>
      <c r="G946" s="16">
        <v>41732.0</v>
      </c>
      <c r="H946" s="14">
        <f t="shared" si="5"/>
        <v>12</v>
      </c>
      <c r="I946" s="7" t="s">
        <v>305</v>
      </c>
      <c r="J946" s="7" t="s">
        <v>306</v>
      </c>
      <c r="K946" s="7" t="str">
        <f>VLOOKUP(J946,countries,2,false)</f>
        <v>Serbia</v>
      </c>
      <c r="L946" s="7" t="str">
        <f>VLOOKUP($J946,countries,5,false)</f>
        <v>Europe</v>
      </c>
      <c r="M946" s="7" t="str">
        <f>VLOOKUP($J946,countries,6,false)</f>
        <v>Southern Europe</v>
      </c>
      <c r="N946" s="7">
        <v>5988.0</v>
      </c>
      <c r="O946" s="7" t="str">
        <f>VLOOKUP(N946, products, 2, FALSE)</f>
        <v>Vegetables</v>
      </c>
      <c r="P946" s="7" t="s">
        <v>334</v>
      </c>
      <c r="Q946" s="7">
        <v>1657.0</v>
      </c>
      <c r="R946" s="17">
        <v>154.06</v>
      </c>
      <c r="S946" s="17">
        <v>90.93</v>
      </c>
      <c r="U946" s="18">
        <f t="shared" si="6"/>
        <v>255277.42</v>
      </c>
      <c r="V946" s="18">
        <f t="shared" si="7"/>
        <v>150671.01</v>
      </c>
      <c r="W946" s="19">
        <f t="shared" si="8"/>
        <v>104606.41</v>
      </c>
    </row>
    <row r="947">
      <c r="A947" s="7">
        <v>7.1929363E8</v>
      </c>
      <c r="B947" s="12">
        <v>40576.0</v>
      </c>
      <c r="C947" s="7">
        <f t="shared" si="1"/>
        <v>2011</v>
      </c>
      <c r="D947" s="14" t="str">
        <f t="shared" si="2"/>
        <v>02 - Feb</v>
      </c>
      <c r="E947" s="15" t="str">
        <f t="shared" si="3"/>
        <v>Wed</v>
      </c>
      <c r="F947" s="15">
        <f t="shared" si="4"/>
        <v>3</v>
      </c>
      <c r="G947" s="16">
        <v>40599.0</v>
      </c>
      <c r="H947" s="14">
        <f t="shared" si="5"/>
        <v>23</v>
      </c>
      <c r="I947" s="7" t="s">
        <v>232</v>
      </c>
      <c r="J947" s="7" t="s">
        <v>546</v>
      </c>
      <c r="K947" s="7" t="str">
        <f>VLOOKUP(J947,countries,2,false)</f>
        <v>Netherlands</v>
      </c>
      <c r="L947" s="7" t="str">
        <f>VLOOKUP($J947,countries,5,false)</f>
        <v>Europe</v>
      </c>
      <c r="M947" s="7" t="str">
        <f>VLOOKUP($J947,countries,6,false)</f>
        <v>Western Europe</v>
      </c>
      <c r="N947" s="7">
        <v>8681.0</v>
      </c>
      <c r="O947" s="7" t="str">
        <f>VLOOKUP(N947, products, 2, FALSE)</f>
        <v>Office Supplies</v>
      </c>
      <c r="P947" s="7" t="s">
        <v>334</v>
      </c>
      <c r="Q947" s="7">
        <v>3824.0</v>
      </c>
      <c r="R947" s="17">
        <v>651.21</v>
      </c>
      <c r="S947" s="17">
        <v>524.96</v>
      </c>
      <c r="U947" s="18">
        <f t="shared" si="6"/>
        <v>2490227.04</v>
      </c>
      <c r="V947" s="18">
        <f t="shared" si="7"/>
        <v>2007447.04</v>
      </c>
      <c r="W947" s="19">
        <f t="shared" si="8"/>
        <v>482780</v>
      </c>
    </row>
    <row r="948">
      <c r="A948" s="7">
        <v>7.19404351E8</v>
      </c>
      <c r="B948" s="12">
        <v>40898.0</v>
      </c>
      <c r="C948" s="7">
        <f t="shared" si="1"/>
        <v>2011</v>
      </c>
      <c r="D948" s="14" t="str">
        <f t="shared" si="2"/>
        <v>12 - Dec</v>
      </c>
      <c r="E948" s="15" t="str">
        <f t="shared" si="3"/>
        <v>Wed</v>
      </c>
      <c r="F948" s="15">
        <f t="shared" si="4"/>
        <v>3</v>
      </c>
      <c r="G948" s="16">
        <v>40918.0</v>
      </c>
      <c r="H948" s="14">
        <f t="shared" si="5"/>
        <v>20</v>
      </c>
      <c r="I948" s="7" t="s">
        <v>399</v>
      </c>
      <c r="J948" s="7" t="s">
        <v>293</v>
      </c>
      <c r="K948" s="7" t="str">
        <f>VLOOKUP(J948,countries,2,false)</f>
        <v>Finland</v>
      </c>
      <c r="L948" s="7" t="str">
        <f>VLOOKUP($J948,countries,5,false)</f>
        <v>Europe</v>
      </c>
      <c r="M948" s="7" t="str">
        <f>VLOOKUP($J948,countries,6,false)</f>
        <v>Northern Europe</v>
      </c>
      <c r="N948" s="7">
        <v>8681.0</v>
      </c>
      <c r="O948" s="7" t="str">
        <f>VLOOKUP(N948, products, 2, FALSE)</f>
        <v>Office Supplies</v>
      </c>
      <c r="P948" s="7" t="s">
        <v>264</v>
      </c>
      <c r="Q948" s="7">
        <v>6589.0</v>
      </c>
      <c r="R948" s="17">
        <v>651.21</v>
      </c>
      <c r="S948" s="17">
        <v>524.96</v>
      </c>
      <c r="U948" s="18">
        <f t="shared" si="6"/>
        <v>4290822.69</v>
      </c>
      <c r="V948" s="18">
        <f t="shared" si="7"/>
        <v>3458961.44</v>
      </c>
      <c r="W948" s="19">
        <f t="shared" si="8"/>
        <v>831861.25</v>
      </c>
    </row>
    <row r="949">
      <c r="A949" s="7">
        <v>7.19730079E8</v>
      </c>
      <c r="B949" s="12">
        <v>41007.0</v>
      </c>
      <c r="C949" s="7">
        <f t="shared" si="1"/>
        <v>2012</v>
      </c>
      <c r="D949" s="14" t="str">
        <f t="shared" si="2"/>
        <v>04 - Apr</v>
      </c>
      <c r="E949" s="15" t="str">
        <f t="shared" si="3"/>
        <v>Sun</v>
      </c>
      <c r="F949" s="15">
        <f t="shared" si="4"/>
        <v>7</v>
      </c>
      <c r="G949" s="16">
        <v>41035.0</v>
      </c>
      <c r="H949" s="14">
        <f t="shared" si="5"/>
        <v>28</v>
      </c>
      <c r="I949" s="7" t="s">
        <v>399</v>
      </c>
      <c r="J949" s="7" t="s">
        <v>546</v>
      </c>
      <c r="K949" s="7" t="str">
        <f>VLOOKUP(J949,countries,2,false)</f>
        <v>Netherlands</v>
      </c>
      <c r="L949" s="7" t="str">
        <f>VLOOKUP($J949,countries,5,false)</f>
        <v>Europe</v>
      </c>
      <c r="M949" s="7" t="str">
        <f>VLOOKUP($J949,countries,6,false)</f>
        <v>Western Europe</v>
      </c>
      <c r="N949" s="7">
        <v>2455.0</v>
      </c>
      <c r="O949" s="7" t="str">
        <f>VLOOKUP(N949, products, 2, FALSE)</f>
        <v>Clothes</v>
      </c>
      <c r="P949" s="7" t="s">
        <v>334</v>
      </c>
      <c r="Q949" s="7">
        <v>2979.0</v>
      </c>
      <c r="R949" s="17">
        <v>109.28</v>
      </c>
      <c r="S949" s="17">
        <v>35.84</v>
      </c>
      <c r="U949" s="18">
        <f t="shared" si="6"/>
        <v>325545.12</v>
      </c>
      <c r="V949" s="18">
        <f t="shared" si="7"/>
        <v>106767.36</v>
      </c>
      <c r="W949" s="19">
        <f t="shared" si="8"/>
        <v>218777.76</v>
      </c>
    </row>
    <row r="950">
      <c r="A950" s="7">
        <v>7.20229613E8</v>
      </c>
      <c r="B950" s="12">
        <v>42070.0</v>
      </c>
      <c r="C950" s="7">
        <f t="shared" si="1"/>
        <v>2015</v>
      </c>
      <c r="D950" s="14" t="str">
        <f t="shared" si="2"/>
        <v>03 - Mar</v>
      </c>
      <c r="E950" s="15" t="str">
        <f t="shared" si="3"/>
        <v>Sat</v>
      </c>
      <c r="F950" s="15">
        <f t="shared" si="4"/>
        <v>6</v>
      </c>
      <c r="G950" s="16">
        <v>42074.0</v>
      </c>
      <c r="H950" s="14">
        <f t="shared" si="5"/>
        <v>4</v>
      </c>
      <c r="I950" s="7" t="s">
        <v>305</v>
      </c>
      <c r="J950" s="7" t="s">
        <v>348</v>
      </c>
      <c r="K950" s="7" t="s">
        <v>348</v>
      </c>
      <c r="L950" s="7" t="s">
        <v>348</v>
      </c>
      <c r="M950" s="7" t="s">
        <v>348</v>
      </c>
      <c r="N950" s="7">
        <v>4594.0</v>
      </c>
      <c r="O950" s="7" t="str">
        <f>VLOOKUP(N950, products, 2, FALSE)</f>
        <v>Fruits</v>
      </c>
      <c r="P950" s="7" t="s">
        <v>264</v>
      </c>
      <c r="Q950" s="7">
        <v>803.0</v>
      </c>
      <c r="R950" s="17">
        <v>9.33</v>
      </c>
      <c r="S950" s="17">
        <v>6.92</v>
      </c>
      <c r="U950" s="18">
        <f t="shared" si="6"/>
        <v>7491.99</v>
      </c>
      <c r="V950" s="18">
        <f t="shared" si="7"/>
        <v>5556.76</v>
      </c>
      <c r="W950" s="19">
        <f t="shared" si="8"/>
        <v>1935.23</v>
      </c>
    </row>
    <row r="951">
      <c r="A951" s="7">
        <v>7.20878922E8</v>
      </c>
      <c r="B951" s="12">
        <v>41082.0</v>
      </c>
      <c r="C951" s="7">
        <f t="shared" si="1"/>
        <v>2012</v>
      </c>
      <c r="D951" s="14" t="str">
        <f t="shared" si="2"/>
        <v>06 - Jun</v>
      </c>
      <c r="E951" s="15" t="str">
        <f t="shared" si="3"/>
        <v>Fri</v>
      </c>
      <c r="F951" s="15">
        <f t="shared" si="4"/>
        <v>5</v>
      </c>
      <c r="G951" s="16">
        <v>41122.0</v>
      </c>
      <c r="H951" s="14">
        <f t="shared" si="5"/>
        <v>40</v>
      </c>
      <c r="I951" s="7" t="s">
        <v>399</v>
      </c>
      <c r="J951" s="7" t="s">
        <v>462</v>
      </c>
      <c r="K951" s="7" t="str">
        <f>VLOOKUP(J951,countries,2,false)</f>
        <v>Liechtenstein</v>
      </c>
      <c r="L951" s="7" t="str">
        <f>VLOOKUP($J951,countries,5,false)</f>
        <v>Europe</v>
      </c>
      <c r="M951" s="7" t="str">
        <f>VLOOKUP($J951,countries,6,false)</f>
        <v>Western Europe</v>
      </c>
      <c r="N951" s="7">
        <v>7331.0</v>
      </c>
      <c r="O951" s="7" t="str">
        <f>VLOOKUP(N951, products, 2, FALSE)</f>
        <v>Baby Food</v>
      </c>
      <c r="P951" s="7" t="s">
        <v>264</v>
      </c>
      <c r="Q951" s="7">
        <v>2948.0</v>
      </c>
      <c r="R951" s="17">
        <v>255.28</v>
      </c>
      <c r="S951" s="17">
        <v>159.42</v>
      </c>
      <c r="U951" s="18">
        <f t="shared" si="6"/>
        <v>752565.44</v>
      </c>
      <c r="V951" s="18">
        <f t="shared" si="7"/>
        <v>469970.16</v>
      </c>
      <c r="W951" s="19">
        <f t="shared" si="8"/>
        <v>282595.28</v>
      </c>
    </row>
    <row r="952">
      <c r="A952" s="7">
        <v>7.20931279E8</v>
      </c>
      <c r="B952" s="12">
        <v>41212.0</v>
      </c>
      <c r="C952" s="7">
        <f t="shared" si="1"/>
        <v>2012</v>
      </c>
      <c r="D952" s="14" t="str">
        <f t="shared" si="2"/>
        <v>10 - Oct</v>
      </c>
      <c r="E952" s="15" t="str">
        <f t="shared" si="3"/>
        <v>Tue</v>
      </c>
      <c r="F952" s="15">
        <f t="shared" si="4"/>
        <v>2</v>
      </c>
      <c r="G952" s="16">
        <v>41231.0</v>
      </c>
      <c r="H952" s="14">
        <f t="shared" si="5"/>
        <v>19</v>
      </c>
      <c r="I952" s="7" t="s">
        <v>364</v>
      </c>
      <c r="J952" s="7" t="s">
        <v>381</v>
      </c>
      <c r="K952" s="7" t="str">
        <f>VLOOKUP(J952,countries,2,false)</f>
        <v>Iceland</v>
      </c>
      <c r="L952" s="7" t="str">
        <f>VLOOKUP($J952,countries,5,false)</f>
        <v>Europe</v>
      </c>
      <c r="M952" s="7" t="str">
        <f>VLOOKUP($J952,countries,6,false)</f>
        <v>Northern Europe</v>
      </c>
      <c r="N952" s="7">
        <v>8969.0</v>
      </c>
      <c r="O952" s="7" t="str">
        <f>VLOOKUP(N952, products, 2, FALSE)</f>
        <v>Snacks</v>
      </c>
      <c r="P952" s="7" t="s">
        <v>334</v>
      </c>
      <c r="Q952" s="7">
        <v>8441.0</v>
      </c>
      <c r="R952" s="17">
        <v>152.58</v>
      </c>
      <c r="S952" s="17">
        <v>97.44</v>
      </c>
      <c r="U952" s="18">
        <f t="shared" si="6"/>
        <v>1287927.78</v>
      </c>
      <c r="V952" s="18">
        <f t="shared" si="7"/>
        <v>822491.04</v>
      </c>
      <c r="W952" s="19">
        <f t="shared" si="8"/>
        <v>465436.74</v>
      </c>
    </row>
    <row r="953">
      <c r="A953" s="7">
        <v>7.21318805E8</v>
      </c>
      <c r="B953" s="12">
        <v>42337.0</v>
      </c>
      <c r="C953" s="7">
        <f t="shared" si="1"/>
        <v>2015</v>
      </c>
      <c r="D953" s="14" t="str">
        <f t="shared" si="2"/>
        <v>11 - Nov</v>
      </c>
      <c r="E953" s="15" t="str">
        <f t="shared" si="3"/>
        <v>Sun</v>
      </c>
      <c r="F953" s="15">
        <f t="shared" si="4"/>
        <v>7</v>
      </c>
      <c r="G953" s="16">
        <v>42347.0</v>
      </c>
      <c r="H953" s="14">
        <f t="shared" si="5"/>
        <v>10</v>
      </c>
      <c r="I953" s="7" t="s">
        <v>364</v>
      </c>
      <c r="J953" s="7" t="s">
        <v>720</v>
      </c>
      <c r="K953" s="7" t="str">
        <f>VLOOKUP(J953,countries,2,false)</f>
        <v>Switzerland</v>
      </c>
      <c r="L953" s="7" t="str">
        <f>VLOOKUP($J953,countries,5,false)</f>
        <v>Europe</v>
      </c>
      <c r="M953" s="7" t="str">
        <f>VLOOKUP($J953,countries,6,false)</f>
        <v>Western Europe</v>
      </c>
      <c r="N953" s="7">
        <v>4594.0</v>
      </c>
      <c r="O953" s="7" t="str">
        <f>VLOOKUP(N953, products, 2, FALSE)</f>
        <v>Fruits</v>
      </c>
      <c r="P953" s="7" t="s">
        <v>334</v>
      </c>
      <c r="Q953" s="7">
        <v>3118.0</v>
      </c>
      <c r="R953" s="17">
        <v>9.33</v>
      </c>
      <c r="S953" s="17">
        <v>6.92</v>
      </c>
      <c r="U953" s="18">
        <f t="shared" si="6"/>
        <v>29090.94</v>
      </c>
      <c r="V953" s="18">
        <f t="shared" si="7"/>
        <v>21576.56</v>
      </c>
      <c r="W953" s="19">
        <f t="shared" si="8"/>
        <v>7514.38</v>
      </c>
    </row>
    <row r="954">
      <c r="A954" s="7">
        <v>7.22233331E8</v>
      </c>
      <c r="B954" s="12">
        <v>42825.0</v>
      </c>
      <c r="C954" s="7">
        <f t="shared" si="1"/>
        <v>2017</v>
      </c>
      <c r="D954" s="14" t="str">
        <f t="shared" si="2"/>
        <v>03 - Mar</v>
      </c>
      <c r="E954" s="15" t="str">
        <f t="shared" si="3"/>
        <v>Fri</v>
      </c>
      <c r="F954" s="15">
        <f t="shared" si="4"/>
        <v>5</v>
      </c>
      <c r="G954" s="16">
        <v>42831.0</v>
      </c>
      <c r="H954" s="14">
        <f t="shared" si="5"/>
        <v>6</v>
      </c>
      <c r="I954" s="7" t="s">
        <v>399</v>
      </c>
      <c r="J954" s="7" t="s">
        <v>517</v>
      </c>
      <c r="K954" s="7" t="str">
        <f>VLOOKUP(J954,countries,2,false)</f>
        <v>Spain</v>
      </c>
      <c r="L954" s="7" t="str">
        <f>VLOOKUP($J954,countries,5,false)</f>
        <v>Europe</v>
      </c>
      <c r="M954" s="7" t="str">
        <f>VLOOKUP($J954,countries,6,false)</f>
        <v>Southern Europe</v>
      </c>
      <c r="N954" s="7">
        <v>5988.0</v>
      </c>
      <c r="O954" s="7" t="str">
        <f>VLOOKUP(N954, products, 2, FALSE)</f>
        <v>Vegetables</v>
      </c>
      <c r="P954" s="7" t="s">
        <v>264</v>
      </c>
      <c r="Q954" s="7">
        <v>3747.0</v>
      </c>
      <c r="R954" s="17">
        <v>154.06</v>
      </c>
      <c r="S954" s="17">
        <v>90.93</v>
      </c>
      <c r="U954" s="18">
        <f t="shared" si="6"/>
        <v>577262.82</v>
      </c>
      <c r="V954" s="18">
        <f t="shared" si="7"/>
        <v>340714.71</v>
      </c>
      <c r="W954" s="19">
        <f t="shared" si="8"/>
        <v>236548.11</v>
      </c>
    </row>
    <row r="955">
      <c r="A955" s="7">
        <v>7.2224878E8</v>
      </c>
      <c r="B955" s="12">
        <v>41005.0</v>
      </c>
      <c r="C955" s="7">
        <f t="shared" si="1"/>
        <v>2012</v>
      </c>
      <c r="D955" s="14" t="str">
        <f t="shared" si="2"/>
        <v>04 - Apr</v>
      </c>
      <c r="E955" s="15" t="str">
        <f t="shared" si="3"/>
        <v>Fri</v>
      </c>
      <c r="F955" s="15">
        <f t="shared" si="4"/>
        <v>5</v>
      </c>
      <c r="G955" s="16">
        <v>41007.0</v>
      </c>
      <c r="H955" s="14">
        <f t="shared" si="5"/>
        <v>2</v>
      </c>
      <c r="I955" s="7" t="s">
        <v>399</v>
      </c>
      <c r="J955" s="7" t="s">
        <v>720</v>
      </c>
      <c r="K955" s="7" t="str">
        <f>VLOOKUP(J955,countries,2,false)</f>
        <v>Switzerland</v>
      </c>
      <c r="L955" s="7" t="str">
        <f>VLOOKUP($J955,countries,5,false)</f>
        <v>Europe</v>
      </c>
      <c r="M955" s="7" t="str">
        <f>VLOOKUP($J955,countries,6,false)</f>
        <v>Western Europe</v>
      </c>
      <c r="N955" s="7">
        <v>8969.0</v>
      </c>
      <c r="O955" s="7" t="str">
        <f>VLOOKUP(N955, products, 2, FALSE)</f>
        <v>Snacks</v>
      </c>
      <c r="P955" s="7" t="s">
        <v>264</v>
      </c>
      <c r="Q955" s="7">
        <v>8319.0</v>
      </c>
      <c r="R955" s="17">
        <v>152.58</v>
      </c>
      <c r="S955" s="17">
        <v>97.44</v>
      </c>
      <c r="U955" s="18">
        <f t="shared" si="6"/>
        <v>1269313.02</v>
      </c>
      <c r="V955" s="18">
        <f t="shared" si="7"/>
        <v>810603.36</v>
      </c>
      <c r="W955" s="19">
        <f t="shared" si="8"/>
        <v>458709.66</v>
      </c>
    </row>
    <row r="956">
      <c r="A956" s="7">
        <v>7.23893725E8</v>
      </c>
      <c r="B956" s="12">
        <v>41318.0</v>
      </c>
      <c r="C956" s="7">
        <f t="shared" si="1"/>
        <v>2013</v>
      </c>
      <c r="D956" s="14" t="str">
        <f t="shared" si="2"/>
        <v>02 - Feb</v>
      </c>
      <c r="E956" s="15" t="str">
        <f t="shared" si="3"/>
        <v>Wed</v>
      </c>
      <c r="F956" s="15">
        <f t="shared" si="4"/>
        <v>3</v>
      </c>
      <c r="G956" s="16">
        <v>41344.0</v>
      </c>
      <c r="H956" s="14">
        <f t="shared" si="5"/>
        <v>26</v>
      </c>
      <c r="I956" s="7" t="s">
        <v>305</v>
      </c>
      <c r="J956" s="7" t="s">
        <v>146</v>
      </c>
      <c r="K956" s="7" t="str">
        <f>VLOOKUP(J956,countries,2,false)</f>
        <v>Bosnia and Herzegovina</v>
      </c>
      <c r="L956" s="7" t="str">
        <f>VLOOKUP($J956,countries,5,false)</f>
        <v>Europe</v>
      </c>
      <c r="M956" s="7" t="str">
        <f>VLOOKUP($J956,countries,6,false)</f>
        <v>Southern Europe</v>
      </c>
      <c r="N956" s="7">
        <v>7940.0</v>
      </c>
      <c r="O956" s="7" t="str">
        <f>VLOOKUP(N956, products, 2, FALSE)</f>
        <v>Household</v>
      </c>
      <c r="P956" s="7" t="s">
        <v>264</v>
      </c>
      <c r="Q956" s="7">
        <v>5095.0</v>
      </c>
      <c r="R956" s="17">
        <v>668.27</v>
      </c>
      <c r="S956" s="17">
        <v>502.54</v>
      </c>
      <c r="U956" s="18">
        <f t="shared" si="6"/>
        <v>3404835.65</v>
      </c>
      <c r="V956" s="18">
        <f t="shared" si="7"/>
        <v>2560441.3</v>
      </c>
      <c r="W956" s="19">
        <f t="shared" si="8"/>
        <v>844394.35</v>
      </c>
    </row>
    <row r="957">
      <c r="A957" s="7">
        <v>7.24085128E8</v>
      </c>
      <c r="B957" s="12">
        <v>41660.0</v>
      </c>
      <c r="C957" s="7">
        <f t="shared" si="1"/>
        <v>2014</v>
      </c>
      <c r="D957" s="14" t="str">
        <f t="shared" si="2"/>
        <v>01 - Jan</v>
      </c>
      <c r="E957" s="15" t="str">
        <f t="shared" si="3"/>
        <v>Tue</v>
      </c>
      <c r="F957" s="15">
        <f t="shared" si="4"/>
        <v>2</v>
      </c>
      <c r="G957" s="16">
        <v>41680.0</v>
      </c>
      <c r="H957" s="14">
        <f t="shared" si="5"/>
        <v>20</v>
      </c>
      <c r="I957" s="7" t="s">
        <v>232</v>
      </c>
      <c r="J957" s="7" t="s">
        <v>316</v>
      </c>
      <c r="K957" s="7" t="str">
        <f>VLOOKUP(J957,countries,2,false)</f>
        <v>Georgia</v>
      </c>
      <c r="L957" s="7" t="str">
        <f>VLOOKUP($J957,countries,5,false)</f>
        <v>Asia</v>
      </c>
      <c r="M957" s="7" t="str">
        <f>VLOOKUP($J957,countries,6,false)</f>
        <v>Western Asia</v>
      </c>
      <c r="N957" s="7">
        <v>4594.0</v>
      </c>
      <c r="O957" s="7" t="str">
        <f>VLOOKUP(N957, products, 2, FALSE)</f>
        <v>Fruits</v>
      </c>
      <c r="P957" s="7" t="s">
        <v>334</v>
      </c>
      <c r="Q957" s="7">
        <v>1735.0</v>
      </c>
      <c r="R957" s="17">
        <v>9.33</v>
      </c>
      <c r="S957" s="17">
        <v>6.92</v>
      </c>
      <c r="U957" s="18">
        <f t="shared" si="6"/>
        <v>16187.55</v>
      </c>
      <c r="V957" s="18">
        <f t="shared" si="7"/>
        <v>12006.2</v>
      </c>
      <c r="W957" s="19">
        <f t="shared" si="8"/>
        <v>4181.35</v>
      </c>
    </row>
    <row r="958">
      <c r="A958" s="7">
        <v>7.2622317E8</v>
      </c>
      <c r="B958" s="12">
        <v>42182.0</v>
      </c>
      <c r="C958" s="7">
        <f t="shared" si="1"/>
        <v>2015</v>
      </c>
      <c r="D958" s="14" t="str">
        <f t="shared" si="2"/>
        <v>06 - Jun</v>
      </c>
      <c r="E958" s="15" t="str">
        <f t="shared" si="3"/>
        <v>Sat</v>
      </c>
      <c r="F958" s="15">
        <f t="shared" si="4"/>
        <v>6</v>
      </c>
      <c r="G958" s="16">
        <v>42216.0</v>
      </c>
      <c r="H958" s="14">
        <f t="shared" si="5"/>
        <v>34</v>
      </c>
      <c r="I958" s="7" t="s">
        <v>305</v>
      </c>
      <c r="J958" s="7" t="s">
        <v>720</v>
      </c>
      <c r="K958" s="7" t="str">
        <f>VLOOKUP(J958,countries,2,false)</f>
        <v>Switzerland</v>
      </c>
      <c r="L958" s="7" t="str">
        <f>VLOOKUP($J958,countries,5,false)</f>
        <v>Europe</v>
      </c>
      <c r="M958" s="7" t="str">
        <f>VLOOKUP($J958,countries,6,false)</f>
        <v>Western Europe</v>
      </c>
      <c r="N958" s="7">
        <v>7331.0</v>
      </c>
      <c r="O958" s="7" t="str">
        <f>VLOOKUP(N958, products, 2, FALSE)</f>
        <v>Baby Food</v>
      </c>
      <c r="P958" s="7" t="s">
        <v>334</v>
      </c>
      <c r="Q958" s="7">
        <v>4429.0</v>
      </c>
      <c r="R958" s="17">
        <v>255.28</v>
      </c>
      <c r="S958" s="17">
        <v>159.42</v>
      </c>
      <c r="U958" s="18">
        <f t="shared" si="6"/>
        <v>1130635.12</v>
      </c>
      <c r="V958" s="18">
        <f t="shared" si="7"/>
        <v>706071.18</v>
      </c>
      <c r="W958" s="19">
        <f t="shared" si="8"/>
        <v>424563.94</v>
      </c>
    </row>
    <row r="959">
      <c r="A959" s="7">
        <v>7.27175891E8</v>
      </c>
      <c r="B959" s="12">
        <v>41474.0</v>
      </c>
      <c r="C959" s="7">
        <f t="shared" si="1"/>
        <v>2013</v>
      </c>
      <c r="D959" s="14" t="str">
        <f t="shared" si="2"/>
        <v>07 - Jul</v>
      </c>
      <c r="E959" s="15" t="str">
        <f t="shared" si="3"/>
        <v>Fri</v>
      </c>
      <c r="F959" s="15">
        <f t="shared" si="4"/>
        <v>5</v>
      </c>
      <c r="G959" s="16">
        <v>41524.0</v>
      </c>
      <c r="H959" s="14">
        <f t="shared" si="5"/>
        <v>50</v>
      </c>
      <c r="I959" s="7" t="s">
        <v>399</v>
      </c>
      <c r="J959" s="7" t="s">
        <v>406</v>
      </c>
      <c r="K959" s="7" t="str">
        <f>VLOOKUP(J959,countries,2,false)</f>
        <v>Italy</v>
      </c>
      <c r="L959" s="7" t="str">
        <f>VLOOKUP($J959,countries,5,false)</f>
        <v>Europe</v>
      </c>
      <c r="M959" s="7" t="str">
        <f>VLOOKUP($J959,countries,6,false)</f>
        <v>Southern Europe</v>
      </c>
      <c r="N959" s="7">
        <v>8875.0</v>
      </c>
      <c r="O959" s="7" t="str">
        <f>VLOOKUP(N959, products, 2, FALSE)</f>
        <v>Meat</v>
      </c>
      <c r="P959" s="7" t="s">
        <v>334</v>
      </c>
      <c r="Q959" s="7">
        <v>6360.0</v>
      </c>
      <c r="R959" s="17">
        <v>421.89</v>
      </c>
      <c r="S959" s="17">
        <v>364.69</v>
      </c>
      <c r="U959" s="18">
        <f t="shared" si="6"/>
        <v>2683220.4</v>
      </c>
      <c r="V959" s="18">
        <f t="shared" si="7"/>
        <v>2319428.4</v>
      </c>
      <c r="W959" s="19">
        <f t="shared" si="8"/>
        <v>363792</v>
      </c>
    </row>
    <row r="960">
      <c r="A960" s="7">
        <v>7.27426946E8</v>
      </c>
      <c r="B960" s="12">
        <v>41623.0</v>
      </c>
      <c r="C960" s="7">
        <f t="shared" si="1"/>
        <v>2013</v>
      </c>
      <c r="D960" s="14" t="str">
        <f t="shared" si="2"/>
        <v>12 - Dec</v>
      </c>
      <c r="E960" s="15" t="str">
        <f t="shared" si="3"/>
        <v>Sun</v>
      </c>
      <c r="F960" s="15">
        <f t="shared" si="4"/>
        <v>7</v>
      </c>
      <c r="G960" s="16">
        <v>41673.0</v>
      </c>
      <c r="H960" s="14">
        <f t="shared" si="5"/>
        <v>50</v>
      </c>
      <c r="I960" s="7" t="s">
        <v>364</v>
      </c>
      <c r="J960" s="7" t="s">
        <v>67</v>
      </c>
      <c r="K960" s="7" t="str">
        <f>VLOOKUP(J960,countries,2,false)</f>
        <v>Andorra</v>
      </c>
      <c r="L960" s="7" t="str">
        <f>VLOOKUP($J960,countries,5,false)</f>
        <v>Europe</v>
      </c>
      <c r="M960" s="7" t="str">
        <f>VLOOKUP($J960,countries,6,false)</f>
        <v>Southern Europe</v>
      </c>
      <c r="N960" s="7">
        <v>5988.0</v>
      </c>
      <c r="O960" s="7" t="str">
        <f>VLOOKUP(N960, products, 2, FALSE)</f>
        <v>Vegetables</v>
      </c>
      <c r="P960" s="7" t="s">
        <v>334</v>
      </c>
      <c r="Q960" s="7">
        <v>653.0</v>
      </c>
      <c r="R960" s="17">
        <v>154.06</v>
      </c>
      <c r="S960" s="17">
        <v>90.93</v>
      </c>
      <c r="U960" s="18">
        <f t="shared" si="6"/>
        <v>100601.18</v>
      </c>
      <c r="V960" s="18">
        <f t="shared" si="7"/>
        <v>59377.29</v>
      </c>
      <c r="W960" s="19">
        <f t="shared" si="8"/>
        <v>41223.89</v>
      </c>
    </row>
    <row r="961">
      <c r="A961" s="7">
        <v>7.27821767E8</v>
      </c>
      <c r="B961" s="12">
        <v>42426.0</v>
      </c>
      <c r="C961" s="7">
        <f t="shared" si="1"/>
        <v>2016</v>
      </c>
      <c r="D961" s="14" t="str">
        <f t="shared" si="2"/>
        <v>02 - Feb</v>
      </c>
      <c r="E961" s="15" t="str">
        <f t="shared" si="3"/>
        <v>Fri</v>
      </c>
      <c r="F961" s="15">
        <f t="shared" si="4"/>
        <v>5</v>
      </c>
      <c r="G961" s="16">
        <v>42445.0</v>
      </c>
      <c r="H961" s="14">
        <f t="shared" si="5"/>
        <v>19</v>
      </c>
      <c r="I961" s="7" t="s">
        <v>364</v>
      </c>
      <c r="J961" s="7" t="s">
        <v>67</v>
      </c>
      <c r="K961" s="7" t="str">
        <f>VLOOKUP(J961,countries,2,false)</f>
        <v>Andorra</v>
      </c>
      <c r="L961" s="7" t="str">
        <f>VLOOKUP($J961,countries,5,false)</f>
        <v>Europe</v>
      </c>
      <c r="M961" s="7" t="str">
        <f>VLOOKUP($J961,countries,6,false)</f>
        <v>Southern Europe</v>
      </c>
      <c r="N961" s="7">
        <v>8293.0</v>
      </c>
      <c r="O961" s="7" t="str">
        <f>VLOOKUP(N961, products, 2, FALSE)</f>
        <v>Cosmetics</v>
      </c>
      <c r="P961" s="7" t="s">
        <v>264</v>
      </c>
      <c r="Q961" s="7">
        <v>7489.0</v>
      </c>
      <c r="R961" s="17">
        <v>437.2</v>
      </c>
      <c r="S961" s="17">
        <v>263.33</v>
      </c>
      <c r="U961" s="18">
        <f t="shared" si="6"/>
        <v>3274190.8</v>
      </c>
      <c r="V961" s="18">
        <f t="shared" si="7"/>
        <v>1972078.37</v>
      </c>
      <c r="W961" s="19">
        <f t="shared" si="8"/>
        <v>1302112.43</v>
      </c>
    </row>
    <row r="962">
      <c r="A962" s="7">
        <v>7.2799772E8</v>
      </c>
      <c r="B962" s="12">
        <v>41822.0</v>
      </c>
      <c r="C962" s="7">
        <f t="shared" si="1"/>
        <v>2014</v>
      </c>
      <c r="D962" s="14" t="str">
        <f t="shared" si="2"/>
        <v>07 - Jul</v>
      </c>
      <c r="E962" s="15" t="str">
        <f t="shared" si="3"/>
        <v>Wed</v>
      </c>
      <c r="F962" s="15">
        <f t="shared" si="4"/>
        <v>3</v>
      </c>
      <c r="G962" s="16">
        <v>41839.0</v>
      </c>
      <c r="H962" s="14">
        <f t="shared" si="5"/>
        <v>17</v>
      </c>
      <c r="I962" s="7" t="s">
        <v>305</v>
      </c>
      <c r="J962" s="7" t="s">
        <v>240</v>
      </c>
      <c r="K962" s="7" t="str">
        <f>VLOOKUP(J962,countries,2,false)</f>
        <v>Cyprus</v>
      </c>
      <c r="L962" s="7" t="str">
        <f>VLOOKUP($J962,countries,5,false)</f>
        <v>Asia</v>
      </c>
      <c r="M962" s="7" t="str">
        <f>VLOOKUP($J962,countries,6,false)</f>
        <v>Western Asia</v>
      </c>
      <c r="N962" s="7">
        <v>5988.0</v>
      </c>
      <c r="O962" s="7" t="str">
        <f>VLOOKUP(N962, products, 2, FALSE)</f>
        <v>Vegetables</v>
      </c>
      <c r="P962" s="7" t="s">
        <v>334</v>
      </c>
      <c r="Q962" s="7">
        <v>9558.0</v>
      </c>
      <c r="R962" s="17">
        <v>154.06</v>
      </c>
      <c r="S962" s="17">
        <v>90.93</v>
      </c>
      <c r="U962" s="18">
        <f t="shared" si="6"/>
        <v>1472505.48</v>
      </c>
      <c r="V962" s="18">
        <f t="shared" si="7"/>
        <v>869108.94</v>
      </c>
      <c r="W962" s="19">
        <f t="shared" si="8"/>
        <v>603396.54</v>
      </c>
    </row>
    <row r="963">
      <c r="A963" s="7">
        <v>7.2879337E8</v>
      </c>
      <c r="B963" s="12">
        <v>40721.0</v>
      </c>
      <c r="C963" s="7">
        <f t="shared" si="1"/>
        <v>2011</v>
      </c>
      <c r="D963" s="14" t="str">
        <f t="shared" si="2"/>
        <v>06 - Jun</v>
      </c>
      <c r="E963" s="15" t="str">
        <f t="shared" si="3"/>
        <v>Mon</v>
      </c>
      <c r="F963" s="15">
        <f t="shared" si="4"/>
        <v>1</v>
      </c>
      <c r="G963" s="16">
        <v>40767.0</v>
      </c>
      <c r="H963" s="14">
        <f t="shared" si="5"/>
        <v>46</v>
      </c>
      <c r="I963" s="7" t="s">
        <v>364</v>
      </c>
      <c r="J963" s="7" t="s">
        <v>41</v>
      </c>
      <c r="K963" s="7" t="str">
        <f>VLOOKUP(J963,countries,2,false)</f>
        <v>Albania</v>
      </c>
      <c r="L963" s="7" t="str">
        <f>VLOOKUP($J963,countries,5,false)</f>
        <v>Europe</v>
      </c>
      <c r="M963" s="7" t="str">
        <f>VLOOKUP($J963,countries,6,false)</f>
        <v>Southern Europe</v>
      </c>
      <c r="N963" s="7">
        <v>8293.0</v>
      </c>
      <c r="O963" s="7" t="str">
        <f>VLOOKUP(N963, products, 2, FALSE)</f>
        <v>Cosmetics</v>
      </c>
      <c r="P963" s="7" t="s">
        <v>334</v>
      </c>
      <c r="Q963" s="7">
        <v>5009.0</v>
      </c>
      <c r="R963" s="17">
        <v>437.2</v>
      </c>
      <c r="S963" s="17">
        <v>263.33</v>
      </c>
      <c r="U963" s="18">
        <f t="shared" si="6"/>
        <v>2189934.8</v>
      </c>
      <c r="V963" s="18">
        <f t="shared" si="7"/>
        <v>1319019.97</v>
      </c>
      <c r="W963" s="19">
        <f t="shared" si="8"/>
        <v>870914.83</v>
      </c>
    </row>
    <row r="964">
      <c r="A964" s="7">
        <v>7.29373586E8</v>
      </c>
      <c r="B964" s="12">
        <v>41805.0</v>
      </c>
      <c r="C964" s="7">
        <f t="shared" si="1"/>
        <v>2014</v>
      </c>
      <c r="D964" s="14" t="str">
        <f t="shared" si="2"/>
        <v>06 - Jun</v>
      </c>
      <c r="E964" s="15" t="str">
        <f t="shared" si="3"/>
        <v>Sun</v>
      </c>
      <c r="F964" s="15">
        <f t="shared" si="4"/>
        <v>7</v>
      </c>
      <c r="G964" s="16">
        <v>41825.0</v>
      </c>
      <c r="H964" s="14">
        <f t="shared" si="5"/>
        <v>20</v>
      </c>
      <c r="I964" s="7" t="s">
        <v>305</v>
      </c>
      <c r="J964" s="7" t="s">
        <v>396</v>
      </c>
      <c r="K964" s="7" t="str">
        <f>VLOOKUP(J964,countries,2,false)</f>
        <v>Ireland</v>
      </c>
      <c r="L964" s="7" t="str">
        <f>VLOOKUP($J964,countries,5,false)</f>
        <v>Europe</v>
      </c>
      <c r="M964" s="7" t="str">
        <f>VLOOKUP($J964,countries,6,false)</f>
        <v>Northern Europe</v>
      </c>
      <c r="N964" s="7">
        <v>8681.0</v>
      </c>
      <c r="O964" s="7" t="str">
        <f>VLOOKUP(N964, products, 2, FALSE)</f>
        <v>Office Supplies</v>
      </c>
      <c r="P964" s="7" t="s">
        <v>334</v>
      </c>
      <c r="Q964" s="7">
        <v>6707.0</v>
      </c>
      <c r="R964" s="17">
        <v>651.21</v>
      </c>
      <c r="S964" s="17">
        <v>524.96</v>
      </c>
      <c r="U964" s="18">
        <f t="shared" si="6"/>
        <v>4367665.47</v>
      </c>
      <c r="V964" s="18">
        <f t="shared" si="7"/>
        <v>3520906.72</v>
      </c>
      <c r="W964" s="19">
        <f t="shared" si="8"/>
        <v>846758.75</v>
      </c>
    </row>
    <row r="965">
      <c r="A965" s="7">
        <v>7.30490243E8</v>
      </c>
      <c r="B965" s="12">
        <v>40371.0</v>
      </c>
      <c r="C965" s="7">
        <f t="shared" si="1"/>
        <v>2010</v>
      </c>
      <c r="D965" s="14" t="str">
        <f t="shared" si="2"/>
        <v>07 - Jul</v>
      </c>
      <c r="E965" s="15" t="str">
        <f t="shared" si="3"/>
        <v>Mon</v>
      </c>
      <c r="F965" s="15">
        <f t="shared" si="4"/>
        <v>1</v>
      </c>
      <c r="G965" s="16">
        <v>40373.0</v>
      </c>
      <c r="H965" s="14">
        <f t="shared" si="5"/>
        <v>2</v>
      </c>
      <c r="I965" s="7" t="s">
        <v>399</v>
      </c>
      <c r="J965" s="7" t="s">
        <v>462</v>
      </c>
      <c r="K965" s="7" t="str">
        <f>VLOOKUP(J965,countries,2,false)</f>
        <v>Liechtenstein</v>
      </c>
      <c r="L965" s="7" t="str">
        <f>VLOOKUP($J965,countries,5,false)</f>
        <v>Europe</v>
      </c>
      <c r="M965" s="7" t="str">
        <f>VLOOKUP($J965,countries,6,false)</f>
        <v>Western Europe</v>
      </c>
      <c r="N965" s="7">
        <v>8875.0</v>
      </c>
      <c r="O965" s="7" t="str">
        <f>VLOOKUP(N965, products, 2, FALSE)</f>
        <v>Meat</v>
      </c>
      <c r="P965" s="7" t="s">
        <v>264</v>
      </c>
      <c r="Q965" s="7">
        <v>7151.0</v>
      </c>
      <c r="R965" s="17">
        <v>421.89</v>
      </c>
      <c r="S965" s="17">
        <v>364.69</v>
      </c>
      <c r="U965" s="18">
        <f t="shared" si="6"/>
        <v>3016935.39</v>
      </c>
      <c r="V965" s="18">
        <f t="shared" si="7"/>
        <v>2607898.19</v>
      </c>
      <c r="W965" s="19">
        <f t="shared" si="8"/>
        <v>409037.2</v>
      </c>
    </row>
    <row r="966">
      <c r="A966" s="7">
        <v>7.32703387E8</v>
      </c>
      <c r="B966" s="12">
        <v>41648.0</v>
      </c>
      <c r="C966" s="7">
        <f t="shared" si="1"/>
        <v>2014</v>
      </c>
      <c r="D966" s="14" t="str">
        <f t="shared" si="2"/>
        <v>01 - Jan</v>
      </c>
      <c r="E966" s="15" t="str">
        <f t="shared" si="3"/>
        <v>Thu</v>
      </c>
      <c r="F966" s="15">
        <f t="shared" si="4"/>
        <v>4</v>
      </c>
      <c r="G966" s="16">
        <v>41667.0</v>
      </c>
      <c r="H966" s="14">
        <f t="shared" si="5"/>
        <v>19</v>
      </c>
      <c r="I966" s="7" t="s">
        <v>399</v>
      </c>
      <c r="J966" s="7" t="s">
        <v>465</v>
      </c>
      <c r="K966" s="7" t="str">
        <f>VLOOKUP(J966,countries,2,false)</f>
        <v>Lithuania</v>
      </c>
      <c r="L966" s="7" t="str">
        <f>VLOOKUP($J966,countries,5,false)</f>
        <v>Europe</v>
      </c>
      <c r="M966" s="7" t="str">
        <f>VLOOKUP($J966,countries,6,false)</f>
        <v>Northern Europe</v>
      </c>
      <c r="N966" s="7">
        <v>1270.0</v>
      </c>
      <c r="O966" s="7" t="str">
        <f>VLOOKUP(N966, products, 2, FALSE)</f>
        <v>Beverages</v>
      </c>
      <c r="P966" s="7" t="s">
        <v>264</v>
      </c>
      <c r="Q966" s="7">
        <v>2069.0</v>
      </c>
      <c r="R966" s="17">
        <v>47.45</v>
      </c>
      <c r="S966" s="17">
        <v>31.79</v>
      </c>
      <c r="U966" s="18">
        <f t="shared" si="6"/>
        <v>98174.05</v>
      </c>
      <c r="V966" s="18">
        <f t="shared" si="7"/>
        <v>65773.51</v>
      </c>
      <c r="W966" s="19">
        <f t="shared" si="8"/>
        <v>32400.54</v>
      </c>
    </row>
    <row r="967">
      <c r="A967" s="7">
        <v>7.33636796E8</v>
      </c>
      <c r="B967" s="12">
        <v>41141.0</v>
      </c>
      <c r="C967" s="7">
        <f t="shared" si="1"/>
        <v>2012</v>
      </c>
      <c r="D967" s="14" t="str">
        <f t="shared" si="2"/>
        <v>08 - Aug</v>
      </c>
      <c r="E967" s="15" t="str">
        <f t="shared" si="3"/>
        <v>Mon</v>
      </c>
      <c r="F967" s="15">
        <f t="shared" si="4"/>
        <v>1</v>
      </c>
      <c r="G967" s="16">
        <v>41167.0</v>
      </c>
      <c r="H967" s="14">
        <f t="shared" si="5"/>
        <v>26</v>
      </c>
      <c r="I967" s="7" t="s">
        <v>232</v>
      </c>
      <c r="J967" s="7" t="s">
        <v>771</v>
      </c>
      <c r="K967" s="7" t="str">
        <f>VLOOKUP(J967,countries,2,false)</f>
        <v>Ukraine</v>
      </c>
      <c r="L967" s="7" t="str">
        <f>VLOOKUP($J967,countries,5,false)</f>
        <v>Europe</v>
      </c>
      <c r="M967" s="7" t="str">
        <f>VLOOKUP($J967,countries,6,false)</f>
        <v>Eastern Europe</v>
      </c>
      <c r="N967" s="7">
        <v>8875.0</v>
      </c>
      <c r="O967" s="7" t="str">
        <f>VLOOKUP(N967, products, 2, FALSE)</f>
        <v>Meat</v>
      </c>
      <c r="P967" s="7" t="s">
        <v>264</v>
      </c>
      <c r="Q967" s="7">
        <v>8286.0</v>
      </c>
      <c r="R967" s="17">
        <v>421.89</v>
      </c>
      <c r="S967" s="17">
        <v>364.69</v>
      </c>
      <c r="U967" s="18">
        <f t="shared" si="6"/>
        <v>3495780.54</v>
      </c>
      <c r="V967" s="18">
        <f t="shared" si="7"/>
        <v>3021821.34</v>
      </c>
      <c r="W967" s="19">
        <f t="shared" si="8"/>
        <v>473959.2</v>
      </c>
    </row>
    <row r="968">
      <c r="A968" s="7">
        <v>7.33648812E8</v>
      </c>
      <c r="B968" s="12">
        <v>41261.0</v>
      </c>
      <c r="C968" s="7">
        <f t="shared" si="1"/>
        <v>2012</v>
      </c>
      <c r="D968" s="14" t="str">
        <f t="shared" si="2"/>
        <v>12 - Dec</v>
      </c>
      <c r="E968" s="15" t="str">
        <f t="shared" si="3"/>
        <v>Tue</v>
      </c>
      <c r="F968" s="15">
        <f t="shared" si="4"/>
        <v>2</v>
      </c>
      <c r="G968" s="16">
        <v>41267.0</v>
      </c>
      <c r="H968" s="14">
        <f t="shared" si="5"/>
        <v>6</v>
      </c>
      <c r="I968" s="7" t="s">
        <v>232</v>
      </c>
      <c r="J968" s="7" t="s">
        <v>468</v>
      </c>
      <c r="K968" s="7" t="str">
        <f>VLOOKUP(J968,countries,2,false)</f>
        <v>Luxembourg</v>
      </c>
      <c r="L968" s="7" t="str">
        <f>VLOOKUP($J968,countries,5,false)</f>
        <v>Europe</v>
      </c>
      <c r="M968" s="7" t="str">
        <f>VLOOKUP($J968,countries,6,false)</f>
        <v>Western Europe</v>
      </c>
      <c r="N968" s="7">
        <v>2103.0</v>
      </c>
      <c r="O968" s="7" t="str">
        <f>VLOOKUP(N968, products, 2, FALSE)</f>
        <v>Cereal</v>
      </c>
      <c r="P968" s="7" t="s">
        <v>264</v>
      </c>
      <c r="Q968" s="7">
        <v>1842.0</v>
      </c>
      <c r="R968" s="17">
        <v>205.7</v>
      </c>
      <c r="S968" s="17">
        <v>117.11</v>
      </c>
      <c r="U968" s="18">
        <f t="shared" si="6"/>
        <v>378899.4</v>
      </c>
      <c r="V968" s="18">
        <f t="shared" si="7"/>
        <v>215716.62</v>
      </c>
      <c r="W968" s="19">
        <f t="shared" si="8"/>
        <v>163182.78</v>
      </c>
    </row>
    <row r="969">
      <c r="A969" s="7">
        <v>7.34189975E8</v>
      </c>
      <c r="B969" s="12">
        <v>41953.0</v>
      </c>
      <c r="C969" s="7">
        <f t="shared" si="1"/>
        <v>2014</v>
      </c>
      <c r="D969" s="14" t="str">
        <f t="shared" si="2"/>
        <v>11 - Nov</v>
      </c>
      <c r="E969" s="15" t="str">
        <f t="shared" si="3"/>
        <v>Mon</v>
      </c>
      <c r="F969" s="15">
        <f t="shared" si="4"/>
        <v>1</v>
      </c>
      <c r="G969" s="16">
        <v>41972.0</v>
      </c>
      <c r="H969" s="14">
        <f t="shared" si="5"/>
        <v>19</v>
      </c>
      <c r="I969" s="7" t="s">
        <v>399</v>
      </c>
      <c r="J969" s="7" t="s">
        <v>319</v>
      </c>
      <c r="K969" s="7" t="str">
        <f>VLOOKUP(J969,countries,2,false)</f>
        <v>Germany</v>
      </c>
      <c r="L969" s="7" t="str">
        <f>VLOOKUP($J969,countries,5,false)</f>
        <v>Europe</v>
      </c>
      <c r="M969" s="7" t="str">
        <f>VLOOKUP($J969,countries,6,false)</f>
        <v>Western Europe</v>
      </c>
      <c r="N969" s="7">
        <v>2103.0</v>
      </c>
      <c r="O969" s="7" t="str">
        <f>VLOOKUP(N969, products, 2, FALSE)</f>
        <v>Cereal</v>
      </c>
      <c r="P969" s="7" t="s">
        <v>264</v>
      </c>
      <c r="Q969" s="7">
        <v>1984.0</v>
      </c>
      <c r="R969" s="17">
        <v>205.7</v>
      </c>
      <c r="S969" s="17">
        <v>117.11</v>
      </c>
      <c r="U969" s="18">
        <f t="shared" si="6"/>
        <v>408108.8</v>
      </c>
      <c r="V969" s="18">
        <f t="shared" si="7"/>
        <v>232346.24</v>
      </c>
      <c r="W969" s="19">
        <f t="shared" si="8"/>
        <v>175762.56</v>
      </c>
    </row>
    <row r="970">
      <c r="A970" s="7">
        <v>7.34318292E8</v>
      </c>
      <c r="B970" s="12">
        <v>41660.0</v>
      </c>
      <c r="C970" s="7">
        <f t="shared" si="1"/>
        <v>2014</v>
      </c>
      <c r="D970" s="14" t="str">
        <f t="shared" si="2"/>
        <v>01 - Jan</v>
      </c>
      <c r="E970" s="15" t="str">
        <f t="shared" si="3"/>
        <v>Tue</v>
      </c>
      <c r="F970" s="15">
        <f t="shared" si="4"/>
        <v>2</v>
      </c>
      <c r="G970" s="16">
        <v>41702.0</v>
      </c>
      <c r="H970" s="14">
        <f t="shared" si="5"/>
        <v>42</v>
      </c>
      <c r="I970" s="7" t="s">
        <v>232</v>
      </c>
      <c r="J970" s="7" t="s">
        <v>611</v>
      </c>
      <c r="K970" s="7" t="str">
        <f>VLOOKUP(J970,countries,2,false)</f>
        <v>Portugal</v>
      </c>
      <c r="L970" s="7" t="str">
        <f>VLOOKUP($J970,countries,5,false)</f>
        <v>Europe</v>
      </c>
      <c r="M970" s="7" t="str">
        <f>VLOOKUP($J970,countries,6,false)</f>
        <v>Southern Europe</v>
      </c>
      <c r="N970" s="7">
        <v>8681.0</v>
      </c>
      <c r="O970" s="7" t="str">
        <f>VLOOKUP(N970, products, 2, FALSE)</f>
        <v>Office Supplies</v>
      </c>
      <c r="P970" s="7" t="s">
        <v>264</v>
      </c>
      <c r="Q970" s="7">
        <v>9956.0</v>
      </c>
      <c r="R970" s="17">
        <v>651.21</v>
      </c>
      <c r="S970" s="17">
        <v>524.96</v>
      </c>
      <c r="U970" s="18">
        <f t="shared" si="6"/>
        <v>6483446.76</v>
      </c>
      <c r="V970" s="18">
        <f t="shared" si="7"/>
        <v>5226501.76</v>
      </c>
      <c r="W970" s="19">
        <f t="shared" si="8"/>
        <v>1256945</v>
      </c>
    </row>
    <row r="971">
      <c r="A971" s="7">
        <v>7.35445678E8</v>
      </c>
      <c r="B971" s="12">
        <v>40729.0</v>
      </c>
      <c r="C971" s="7">
        <f t="shared" si="1"/>
        <v>2011</v>
      </c>
      <c r="D971" s="14" t="str">
        <f t="shared" si="2"/>
        <v>07 - Jul</v>
      </c>
      <c r="E971" s="15" t="str">
        <f t="shared" si="3"/>
        <v>Tue</v>
      </c>
      <c r="F971" s="15">
        <f t="shared" si="4"/>
        <v>2</v>
      </c>
      <c r="G971" s="16">
        <v>40746.0</v>
      </c>
      <c r="H971" s="14">
        <f t="shared" si="5"/>
        <v>17</v>
      </c>
      <c r="I971" s="7" t="s">
        <v>399</v>
      </c>
      <c r="J971" s="7" t="s">
        <v>608</v>
      </c>
      <c r="K971" s="7" t="str">
        <f>VLOOKUP(J971,countries,2,false)</f>
        <v>Poland</v>
      </c>
      <c r="L971" s="7" t="str">
        <f>VLOOKUP($J971,countries,5,false)</f>
        <v>Europe</v>
      </c>
      <c r="M971" s="7" t="str">
        <f>VLOOKUP($J971,countries,6,false)</f>
        <v>Eastern Europe</v>
      </c>
      <c r="N971" s="7">
        <v>1270.0</v>
      </c>
      <c r="O971" s="7" t="str">
        <f>VLOOKUP(N971, products, 2, FALSE)</f>
        <v>Beverages</v>
      </c>
      <c r="P971" s="7" t="s">
        <v>334</v>
      </c>
      <c r="Q971" s="7">
        <v>3574.0</v>
      </c>
      <c r="R971" s="17">
        <v>47.45</v>
      </c>
      <c r="S971" s="17">
        <v>31.79</v>
      </c>
      <c r="U971" s="18">
        <f t="shared" si="6"/>
        <v>169586.3</v>
      </c>
      <c r="V971" s="18">
        <f t="shared" si="7"/>
        <v>113617.46</v>
      </c>
      <c r="W971" s="19">
        <f t="shared" si="8"/>
        <v>55968.84</v>
      </c>
    </row>
    <row r="972">
      <c r="A972" s="7">
        <v>7.36240041E8</v>
      </c>
      <c r="B972" s="12">
        <v>42777.0</v>
      </c>
      <c r="C972" s="7">
        <f t="shared" si="1"/>
        <v>2017</v>
      </c>
      <c r="D972" s="14" t="str">
        <f t="shared" si="2"/>
        <v>02 - Feb</v>
      </c>
      <c r="E972" s="15" t="str">
        <f t="shared" si="3"/>
        <v>Sat</v>
      </c>
      <c r="F972" s="15">
        <f t="shared" si="4"/>
        <v>6</v>
      </c>
      <c r="G972" s="16">
        <v>42786.0</v>
      </c>
      <c r="H972" s="14">
        <f t="shared" si="5"/>
        <v>9</v>
      </c>
      <c r="I972" s="7" t="s">
        <v>364</v>
      </c>
      <c r="J972" s="7" t="s">
        <v>685</v>
      </c>
      <c r="K972" s="7" t="str">
        <f>VLOOKUP(J972,countries,2,false)</f>
        <v>Slovenia</v>
      </c>
      <c r="L972" s="7" t="str">
        <f>VLOOKUP($J972,countries,5,false)</f>
        <v>Europe</v>
      </c>
      <c r="M972" s="7" t="str">
        <f>VLOOKUP($J972,countries,6,false)</f>
        <v>Southern Europe</v>
      </c>
      <c r="N972" s="7">
        <v>7940.0</v>
      </c>
      <c r="O972" s="7" t="str">
        <f>VLOOKUP(N972, products, 2, FALSE)</f>
        <v>Household</v>
      </c>
      <c r="P972" s="7" t="s">
        <v>334</v>
      </c>
      <c r="Q972" s="7">
        <v>8644.0</v>
      </c>
      <c r="R972" s="17">
        <v>668.27</v>
      </c>
      <c r="S972" s="17">
        <v>502.54</v>
      </c>
      <c r="U972" s="18">
        <f t="shared" si="6"/>
        <v>5776525.88</v>
      </c>
      <c r="V972" s="18">
        <f t="shared" si="7"/>
        <v>4343955.76</v>
      </c>
      <c r="W972" s="19">
        <f t="shared" si="8"/>
        <v>1432570.12</v>
      </c>
    </row>
    <row r="973">
      <c r="A973" s="7">
        <v>7.37095344E8</v>
      </c>
      <c r="B973" s="12">
        <v>41486.0</v>
      </c>
      <c r="C973" s="7">
        <f t="shared" si="1"/>
        <v>2013</v>
      </c>
      <c r="D973" s="14" t="str">
        <f t="shared" si="2"/>
        <v>07 - Jul</v>
      </c>
      <c r="E973" s="15" t="str">
        <f t="shared" si="3"/>
        <v>Wed</v>
      </c>
      <c r="F973" s="15">
        <f t="shared" si="4"/>
        <v>3</v>
      </c>
      <c r="G973" s="16">
        <v>41530.0</v>
      </c>
      <c r="H973" s="14">
        <f t="shared" si="5"/>
        <v>44</v>
      </c>
      <c r="I973" s="7" t="s">
        <v>364</v>
      </c>
      <c r="J973" s="7" t="s">
        <v>90</v>
      </c>
      <c r="K973" s="7" t="str">
        <f>VLOOKUP(J973,countries,2,false)</f>
        <v>Armenia</v>
      </c>
      <c r="L973" s="7" t="str">
        <f>VLOOKUP($J973,countries,5,false)</f>
        <v>Asia</v>
      </c>
      <c r="M973" s="7" t="str">
        <f>VLOOKUP($J973,countries,6,false)</f>
        <v>Western Asia</v>
      </c>
      <c r="N973" s="7">
        <v>8969.0</v>
      </c>
      <c r="O973" s="7" t="str">
        <f>VLOOKUP(N973, products, 2, FALSE)</f>
        <v>Snacks</v>
      </c>
      <c r="P973" s="7" t="s">
        <v>334</v>
      </c>
      <c r="Q973" s="7">
        <v>1747.0</v>
      </c>
      <c r="R973" s="17">
        <v>152.58</v>
      </c>
      <c r="S973" s="17">
        <v>97.44</v>
      </c>
      <c r="U973" s="18">
        <f t="shared" si="6"/>
        <v>266557.26</v>
      </c>
      <c r="V973" s="18">
        <f t="shared" si="7"/>
        <v>170227.68</v>
      </c>
      <c r="W973" s="19">
        <f t="shared" si="8"/>
        <v>96329.58</v>
      </c>
    </row>
    <row r="974">
      <c r="A974" s="7">
        <v>7.3773607E8</v>
      </c>
      <c r="B974" s="12">
        <v>41201.0</v>
      </c>
      <c r="C974" s="7">
        <f t="shared" si="1"/>
        <v>2012</v>
      </c>
      <c r="D974" s="14" t="str">
        <f t="shared" si="2"/>
        <v>10 - Oct</v>
      </c>
      <c r="E974" s="15" t="str">
        <f t="shared" si="3"/>
        <v>Fri</v>
      </c>
      <c r="F974" s="15">
        <f t="shared" si="4"/>
        <v>5</v>
      </c>
      <c r="G974" s="16">
        <v>41216.0</v>
      </c>
      <c r="H974" s="14">
        <f t="shared" si="5"/>
        <v>15</v>
      </c>
      <c r="I974" s="7" t="s">
        <v>364</v>
      </c>
      <c r="J974" s="7" t="s">
        <v>717</v>
      </c>
      <c r="K974" s="7" t="str">
        <f>VLOOKUP(J974,countries,2,false)</f>
        <v>Sweden</v>
      </c>
      <c r="L974" s="7" t="str">
        <f>VLOOKUP($J974,countries,5,false)</f>
        <v>Europe</v>
      </c>
      <c r="M974" s="7" t="str">
        <f>VLOOKUP($J974,countries,6,false)</f>
        <v>Northern Europe</v>
      </c>
      <c r="N974" s="7">
        <v>2103.0</v>
      </c>
      <c r="O974" s="7" t="str">
        <f>VLOOKUP(N974, products, 2, FALSE)</f>
        <v>Cereal</v>
      </c>
      <c r="P974" s="7" t="s">
        <v>334</v>
      </c>
      <c r="Q974" s="7">
        <v>1352.0</v>
      </c>
      <c r="R974" s="17">
        <v>205.7</v>
      </c>
      <c r="S974" s="17">
        <v>117.11</v>
      </c>
      <c r="U974" s="18">
        <f t="shared" si="6"/>
        <v>278106.4</v>
      </c>
      <c r="V974" s="18">
        <f t="shared" si="7"/>
        <v>158332.72</v>
      </c>
      <c r="W974" s="19">
        <f t="shared" si="8"/>
        <v>119773.68</v>
      </c>
    </row>
    <row r="975">
      <c r="A975" s="7">
        <v>7.40300261E8</v>
      </c>
      <c r="B975" s="12">
        <v>42446.0</v>
      </c>
      <c r="C975" s="7">
        <f t="shared" si="1"/>
        <v>2016</v>
      </c>
      <c r="D975" s="14" t="str">
        <f t="shared" si="2"/>
        <v>03 - Mar</v>
      </c>
      <c r="E975" s="15" t="str">
        <f t="shared" si="3"/>
        <v>Thu</v>
      </c>
      <c r="F975" s="15">
        <f t="shared" si="4"/>
        <v>4</v>
      </c>
      <c r="G975" s="16">
        <v>42483.0</v>
      </c>
      <c r="H975" s="14">
        <f t="shared" si="5"/>
        <v>37</v>
      </c>
      <c r="I975" s="7" t="s">
        <v>232</v>
      </c>
      <c r="J975" s="7" t="s">
        <v>240</v>
      </c>
      <c r="K975" s="7" t="str">
        <f>VLOOKUP(J975,countries,2,false)</f>
        <v>Cyprus</v>
      </c>
      <c r="L975" s="7" t="str">
        <f>VLOOKUP($J975,countries,5,false)</f>
        <v>Asia</v>
      </c>
      <c r="M975" s="7" t="str">
        <f>VLOOKUP($J975,countries,6,false)</f>
        <v>Western Asia</v>
      </c>
      <c r="N975" s="7">
        <v>7331.0</v>
      </c>
      <c r="O975" s="7" t="str">
        <f>VLOOKUP(N975, products, 2, FALSE)</f>
        <v>Baby Food</v>
      </c>
      <c r="P975" s="7" t="s">
        <v>264</v>
      </c>
      <c r="Q975" s="7">
        <v>153.0</v>
      </c>
      <c r="R975" s="17">
        <v>255.28</v>
      </c>
      <c r="S975" s="17">
        <v>159.42</v>
      </c>
      <c r="U975" s="18">
        <f t="shared" si="6"/>
        <v>39057.84</v>
      </c>
      <c r="V975" s="18">
        <f t="shared" si="7"/>
        <v>24391.26</v>
      </c>
      <c r="W975" s="19">
        <f t="shared" si="8"/>
        <v>14666.58</v>
      </c>
    </row>
    <row r="976">
      <c r="A976" s="7">
        <v>7.41690289E8</v>
      </c>
      <c r="B976" s="12">
        <v>40991.0</v>
      </c>
      <c r="C976" s="7">
        <f t="shared" si="1"/>
        <v>2012</v>
      </c>
      <c r="D976" s="14" t="str">
        <f t="shared" si="2"/>
        <v>03 - Mar</v>
      </c>
      <c r="E976" s="15" t="str">
        <f t="shared" si="3"/>
        <v>Fri</v>
      </c>
      <c r="F976" s="15">
        <f t="shared" si="4"/>
        <v>5</v>
      </c>
      <c r="G976" s="16">
        <v>41039.0</v>
      </c>
      <c r="H976" s="14">
        <f t="shared" si="5"/>
        <v>48</v>
      </c>
      <c r="I976" s="7" t="s">
        <v>305</v>
      </c>
      <c r="J976" s="7" t="s">
        <v>623</v>
      </c>
      <c r="K976" s="7" t="str">
        <f>VLOOKUP(J976,countries,2,false)</f>
        <v>Romania</v>
      </c>
      <c r="L976" s="7" t="str">
        <f>VLOOKUP($J976,countries,5,false)</f>
        <v>Europe</v>
      </c>
      <c r="M976" s="7" t="str">
        <f>VLOOKUP($J976,countries,6,false)</f>
        <v>Eastern Europe</v>
      </c>
      <c r="N976" s="7">
        <v>8875.0</v>
      </c>
      <c r="O976" s="7" t="str">
        <f>VLOOKUP(N976, products, 2, FALSE)</f>
        <v>Meat</v>
      </c>
      <c r="P976" s="7" t="s">
        <v>334</v>
      </c>
      <c r="Q976" s="7">
        <v>1494.0</v>
      </c>
      <c r="R976" s="17">
        <v>421.89</v>
      </c>
      <c r="S976" s="17">
        <v>364.69</v>
      </c>
      <c r="U976" s="18">
        <f t="shared" si="6"/>
        <v>630303.66</v>
      </c>
      <c r="V976" s="18">
        <f t="shared" si="7"/>
        <v>544846.86</v>
      </c>
      <c r="W976" s="19">
        <f t="shared" si="8"/>
        <v>85456.8</v>
      </c>
    </row>
    <row r="977">
      <c r="A977" s="7">
        <v>7.41866242E8</v>
      </c>
      <c r="B977" s="12">
        <v>40387.0</v>
      </c>
      <c r="C977" s="7">
        <f t="shared" si="1"/>
        <v>2010</v>
      </c>
      <c r="D977" s="14" t="str">
        <f t="shared" si="2"/>
        <v>07 - Jul</v>
      </c>
      <c r="E977" s="15" t="str">
        <f t="shared" si="3"/>
        <v>Wed</v>
      </c>
      <c r="F977" s="15">
        <f t="shared" si="4"/>
        <v>3</v>
      </c>
      <c r="G977" s="16">
        <v>40434.0</v>
      </c>
      <c r="H977" s="14">
        <f t="shared" si="5"/>
        <v>47</v>
      </c>
      <c r="I977" s="7" t="s">
        <v>399</v>
      </c>
      <c r="J977" s="7" t="s">
        <v>771</v>
      </c>
      <c r="K977" s="7" t="str">
        <f>VLOOKUP(J977,countries,2,false)</f>
        <v>Ukraine</v>
      </c>
      <c r="L977" s="7" t="str">
        <f>VLOOKUP($J977,countries,5,false)</f>
        <v>Europe</v>
      </c>
      <c r="M977" s="7" t="str">
        <f>VLOOKUP($J977,countries,6,false)</f>
        <v>Eastern Europe</v>
      </c>
      <c r="N977" s="7">
        <v>7940.0</v>
      </c>
      <c r="O977" s="7" t="str">
        <f>VLOOKUP(N977, products, 2, FALSE)</f>
        <v>Household</v>
      </c>
      <c r="P977" s="7" t="s">
        <v>264</v>
      </c>
      <c r="Q977" s="7">
        <v>3562.0</v>
      </c>
      <c r="R977" s="17">
        <v>668.27</v>
      </c>
      <c r="S977" s="17">
        <v>502.54</v>
      </c>
      <c r="U977" s="18">
        <f t="shared" si="6"/>
        <v>2380377.74</v>
      </c>
      <c r="V977" s="18">
        <f t="shared" si="7"/>
        <v>1790047.48</v>
      </c>
      <c r="W977" s="19">
        <f t="shared" si="8"/>
        <v>590330.26</v>
      </c>
    </row>
    <row r="978">
      <c r="A978" s="7">
        <v>7.41964948E8</v>
      </c>
      <c r="B978" s="12">
        <v>40587.0</v>
      </c>
      <c r="C978" s="7">
        <f t="shared" si="1"/>
        <v>2011</v>
      </c>
      <c r="D978" s="14" t="str">
        <f t="shared" si="2"/>
        <v>02 - Feb</v>
      </c>
      <c r="E978" s="15" t="str">
        <f t="shared" si="3"/>
        <v>Sun</v>
      </c>
      <c r="F978" s="15">
        <f t="shared" si="4"/>
        <v>7</v>
      </c>
      <c r="G978" s="16">
        <v>40600.0</v>
      </c>
      <c r="H978" s="14">
        <f t="shared" si="5"/>
        <v>13</v>
      </c>
      <c r="I978" s="7" t="s">
        <v>305</v>
      </c>
      <c r="J978" s="7" t="s">
        <v>771</v>
      </c>
      <c r="K978" s="7" t="str">
        <f>VLOOKUP(J978,countries,2,false)</f>
        <v>Ukraine</v>
      </c>
      <c r="L978" s="7" t="str">
        <f>VLOOKUP($J978,countries,5,false)</f>
        <v>Europe</v>
      </c>
      <c r="M978" s="7" t="str">
        <f>VLOOKUP($J978,countries,6,false)</f>
        <v>Eastern Europe</v>
      </c>
      <c r="N978" s="7">
        <v>2103.0</v>
      </c>
      <c r="O978" s="7" t="str">
        <f>VLOOKUP(N978, products, 2, FALSE)</f>
        <v>Cereal</v>
      </c>
      <c r="P978" s="7" t="s">
        <v>334</v>
      </c>
      <c r="Q978" s="7">
        <v>2771.0</v>
      </c>
      <c r="R978" s="17">
        <v>205.7</v>
      </c>
      <c r="S978" s="17">
        <v>117.11</v>
      </c>
      <c r="U978" s="18">
        <f t="shared" si="6"/>
        <v>569994.7</v>
      </c>
      <c r="V978" s="18">
        <f t="shared" si="7"/>
        <v>324511.81</v>
      </c>
      <c r="W978" s="19">
        <f t="shared" si="8"/>
        <v>245482.89</v>
      </c>
    </row>
    <row r="979">
      <c r="A979" s="7">
        <v>7.4210056E8</v>
      </c>
      <c r="B979" s="12">
        <v>42739.0</v>
      </c>
      <c r="C979" s="7">
        <f t="shared" si="1"/>
        <v>2017</v>
      </c>
      <c r="D979" s="14" t="str">
        <f t="shared" si="2"/>
        <v>01 - Jan</v>
      </c>
      <c r="E979" s="15" t="str">
        <f t="shared" si="3"/>
        <v>Wed</v>
      </c>
      <c r="F979" s="15">
        <f t="shared" si="4"/>
        <v>3</v>
      </c>
      <c r="G979" s="16">
        <v>42752.0</v>
      </c>
      <c r="H979" s="14">
        <f t="shared" si="5"/>
        <v>13</v>
      </c>
      <c r="I979" s="7" t="s">
        <v>305</v>
      </c>
      <c r="J979" s="7" t="s">
        <v>656</v>
      </c>
      <c r="K979" s="7" t="str">
        <f>VLOOKUP(J979,countries,2,false)</f>
        <v>San Marino</v>
      </c>
      <c r="L979" s="7" t="str">
        <f>VLOOKUP($J979,countries,5,false)</f>
        <v>Europe</v>
      </c>
      <c r="M979" s="7" t="str">
        <f>VLOOKUP($J979,countries,6,false)</f>
        <v>Southern Europe</v>
      </c>
      <c r="N979" s="7">
        <v>8969.0</v>
      </c>
      <c r="O979" s="7" t="str">
        <f>VLOOKUP(N979, products, 2, FALSE)</f>
        <v>Snacks</v>
      </c>
      <c r="P979" s="7" t="s">
        <v>334</v>
      </c>
      <c r="Q979" s="7">
        <v>2902.0</v>
      </c>
      <c r="R979" s="17">
        <v>152.58</v>
      </c>
      <c r="S979" s="17">
        <v>97.44</v>
      </c>
      <c r="U979" s="18">
        <f t="shared" si="6"/>
        <v>442787.16</v>
      </c>
      <c r="V979" s="18">
        <f t="shared" si="7"/>
        <v>282770.88</v>
      </c>
      <c r="W979" s="19">
        <f t="shared" si="8"/>
        <v>160016.28</v>
      </c>
    </row>
    <row r="980">
      <c r="A980" s="7">
        <v>7.42569196E8</v>
      </c>
      <c r="B980" s="12">
        <v>41912.0</v>
      </c>
      <c r="C980" s="7">
        <f t="shared" si="1"/>
        <v>2014</v>
      </c>
      <c r="D980" s="14" t="str">
        <f t="shared" si="2"/>
        <v>09 - Sep</v>
      </c>
      <c r="E980" s="15" t="str">
        <f t="shared" si="3"/>
        <v>Tue</v>
      </c>
      <c r="F980" s="15">
        <f t="shared" si="4"/>
        <v>2</v>
      </c>
      <c r="G980" s="16">
        <v>41960.0</v>
      </c>
      <c r="H980" s="14">
        <f t="shared" si="5"/>
        <v>48</v>
      </c>
      <c r="I980" s="7" t="s">
        <v>232</v>
      </c>
      <c r="J980" s="7" t="s">
        <v>468</v>
      </c>
      <c r="K980" s="7" t="str">
        <f>VLOOKUP(J980,countries,2,false)</f>
        <v>Luxembourg</v>
      </c>
      <c r="L980" s="7" t="str">
        <f>VLOOKUP($J980,countries,5,false)</f>
        <v>Europe</v>
      </c>
      <c r="M980" s="7" t="str">
        <f>VLOOKUP($J980,countries,6,false)</f>
        <v>Western Europe</v>
      </c>
      <c r="N980" s="7">
        <v>5988.0</v>
      </c>
      <c r="O980" s="7" t="str">
        <f>VLOOKUP(N980, products, 2, FALSE)</f>
        <v>Vegetables</v>
      </c>
      <c r="P980" s="7" t="s">
        <v>264</v>
      </c>
      <c r="Q980" s="7">
        <v>1581.0</v>
      </c>
      <c r="R980" s="17">
        <v>154.06</v>
      </c>
      <c r="S980" s="17">
        <v>90.93</v>
      </c>
      <c r="U980" s="18">
        <f t="shared" si="6"/>
        <v>243568.86</v>
      </c>
      <c r="V980" s="18">
        <f t="shared" si="7"/>
        <v>143760.33</v>
      </c>
      <c r="W980" s="19">
        <f t="shared" si="8"/>
        <v>99808.53</v>
      </c>
    </row>
    <row r="981">
      <c r="A981" s="7">
        <v>7.42843854E8</v>
      </c>
      <c r="B981" s="12">
        <v>41508.0</v>
      </c>
      <c r="C981" s="7">
        <f t="shared" si="1"/>
        <v>2013</v>
      </c>
      <c r="D981" s="14" t="str">
        <f t="shared" si="2"/>
        <v>08 - Aug</v>
      </c>
      <c r="E981" s="15" t="str">
        <f t="shared" si="3"/>
        <v>Thu</v>
      </c>
      <c r="F981" s="15">
        <f t="shared" si="4"/>
        <v>4</v>
      </c>
      <c r="G981" s="16">
        <v>41521.0</v>
      </c>
      <c r="H981" s="14">
        <f t="shared" si="5"/>
        <v>13</v>
      </c>
      <c r="I981" s="7" t="s">
        <v>232</v>
      </c>
      <c r="J981" s="7" t="s">
        <v>608</v>
      </c>
      <c r="K981" s="7" t="str">
        <f>VLOOKUP(J981,countries,2,false)</f>
        <v>Poland</v>
      </c>
      <c r="L981" s="7" t="str">
        <f>VLOOKUP($J981,countries,5,false)</f>
        <v>Europe</v>
      </c>
      <c r="M981" s="7" t="str">
        <f>VLOOKUP($J981,countries,6,false)</f>
        <v>Eastern Europe</v>
      </c>
      <c r="N981" s="7">
        <v>1270.0</v>
      </c>
      <c r="O981" s="7" t="str">
        <f>VLOOKUP(N981, products, 2, FALSE)</f>
        <v>Beverages</v>
      </c>
      <c r="P981" s="7" t="s">
        <v>264</v>
      </c>
      <c r="Q981" s="7">
        <v>2859.0</v>
      </c>
      <c r="R981" s="17">
        <v>47.45</v>
      </c>
      <c r="S981" s="17">
        <v>31.79</v>
      </c>
      <c r="U981" s="18">
        <f t="shared" si="6"/>
        <v>135659.55</v>
      </c>
      <c r="V981" s="18">
        <f t="shared" si="7"/>
        <v>90887.61</v>
      </c>
      <c r="W981" s="19">
        <f t="shared" si="8"/>
        <v>44771.94</v>
      </c>
    </row>
    <row r="982">
      <c r="A982" s="7">
        <v>7.43619334E8</v>
      </c>
      <c r="B982" s="12">
        <v>41786.0</v>
      </c>
      <c r="C982" s="7">
        <f t="shared" si="1"/>
        <v>2014</v>
      </c>
      <c r="D982" s="14" t="str">
        <f t="shared" si="2"/>
        <v>05 - May</v>
      </c>
      <c r="E982" s="15" t="str">
        <f t="shared" si="3"/>
        <v>Tue</v>
      </c>
      <c r="F982" s="15">
        <f t="shared" si="4"/>
        <v>2</v>
      </c>
      <c r="G982" s="16">
        <v>41829.0</v>
      </c>
      <c r="H982" s="14">
        <f t="shared" si="5"/>
        <v>43</v>
      </c>
      <c r="I982" s="7" t="s">
        <v>364</v>
      </c>
      <c r="J982" s="7" t="s">
        <v>378</v>
      </c>
      <c r="K982" s="7" t="str">
        <f>VLOOKUP(J982,countries,2,false)</f>
        <v>Hungary</v>
      </c>
      <c r="L982" s="7" t="str">
        <f>VLOOKUP($J982,countries,5,false)</f>
        <v>Europe</v>
      </c>
      <c r="M982" s="7" t="str">
        <f>VLOOKUP($J982,countries,6,false)</f>
        <v>Eastern Europe</v>
      </c>
      <c r="N982" s="7">
        <v>8293.0</v>
      </c>
      <c r="O982" s="7" t="str">
        <f>VLOOKUP(N982, products, 2, FALSE)</f>
        <v>Cosmetics</v>
      </c>
      <c r="P982" s="7" t="s">
        <v>334</v>
      </c>
      <c r="Q982" s="7">
        <v>2341.0</v>
      </c>
      <c r="R982" s="17">
        <v>437.2</v>
      </c>
      <c r="S982" s="17">
        <v>263.33</v>
      </c>
      <c r="U982" s="18">
        <f t="shared" si="6"/>
        <v>1023485.2</v>
      </c>
      <c r="V982" s="18">
        <f t="shared" si="7"/>
        <v>616455.53</v>
      </c>
      <c r="W982" s="19">
        <f t="shared" si="8"/>
        <v>407029.67</v>
      </c>
    </row>
    <row r="983">
      <c r="A983" s="7">
        <v>7.43769109E8</v>
      </c>
      <c r="B983" s="12">
        <v>42500.0</v>
      </c>
      <c r="C983" s="7">
        <f t="shared" si="1"/>
        <v>2016</v>
      </c>
      <c r="D983" s="14" t="str">
        <f t="shared" si="2"/>
        <v>05 - May</v>
      </c>
      <c r="E983" s="15" t="str">
        <f t="shared" si="3"/>
        <v>Tue</v>
      </c>
      <c r="F983" s="15">
        <f t="shared" si="4"/>
        <v>2</v>
      </c>
      <c r="G983" s="16">
        <v>42501.0</v>
      </c>
      <c r="H983" s="14">
        <f t="shared" si="5"/>
        <v>1</v>
      </c>
      <c r="I983" s="7" t="s">
        <v>232</v>
      </c>
      <c r="J983" s="7" t="s">
        <v>489</v>
      </c>
      <c r="K983" s="7" t="str">
        <f>VLOOKUP(J983,countries,2,false)</f>
        <v>Malta</v>
      </c>
      <c r="L983" s="7" t="str">
        <f>VLOOKUP($J983,countries,5,false)</f>
        <v>Europe</v>
      </c>
      <c r="M983" s="7" t="str">
        <f>VLOOKUP($J983,countries,6,false)</f>
        <v>Southern Europe</v>
      </c>
      <c r="N983" s="7">
        <v>5988.0</v>
      </c>
      <c r="O983" s="7" t="str">
        <f>VLOOKUP(N983, products, 2, FALSE)</f>
        <v>Vegetables</v>
      </c>
      <c r="P983" s="7" t="s">
        <v>264</v>
      </c>
      <c r="Q983" s="7">
        <v>6662.0</v>
      </c>
      <c r="R983" s="17">
        <v>154.06</v>
      </c>
      <c r="S983" s="17">
        <v>90.93</v>
      </c>
      <c r="U983" s="18">
        <f t="shared" si="6"/>
        <v>1026347.72</v>
      </c>
      <c r="V983" s="18">
        <f t="shared" si="7"/>
        <v>605775.66</v>
      </c>
      <c r="W983" s="19">
        <f t="shared" si="8"/>
        <v>420572.06</v>
      </c>
    </row>
    <row r="984">
      <c r="A984" s="7">
        <v>7.44583642E8</v>
      </c>
      <c r="B984" s="12">
        <v>40404.0</v>
      </c>
      <c r="C984" s="7">
        <f t="shared" si="1"/>
        <v>2010</v>
      </c>
      <c r="D984" s="14" t="str">
        <f t="shared" si="2"/>
        <v>08 - Aug</v>
      </c>
      <c r="E984" s="15" t="str">
        <f t="shared" si="3"/>
        <v>Sat</v>
      </c>
      <c r="F984" s="15">
        <f t="shared" si="4"/>
        <v>6</v>
      </c>
      <c r="G984" s="16">
        <v>40447.0</v>
      </c>
      <c r="H984" s="14">
        <f t="shared" si="5"/>
        <v>43</v>
      </c>
      <c r="I984" s="7" t="s">
        <v>399</v>
      </c>
      <c r="J984" s="7" t="s">
        <v>517</v>
      </c>
      <c r="K984" s="7" t="str">
        <f>VLOOKUP(J984,countries,2,false)</f>
        <v>Spain</v>
      </c>
      <c r="L984" s="7" t="str">
        <f>VLOOKUP($J984,countries,5,false)</f>
        <v>Europe</v>
      </c>
      <c r="M984" s="7" t="str">
        <f>VLOOKUP($J984,countries,6,false)</f>
        <v>Southern Europe</v>
      </c>
      <c r="N984" s="7">
        <v>2455.0</v>
      </c>
      <c r="O984" s="7" t="str">
        <f>VLOOKUP(N984, products, 2, FALSE)</f>
        <v>Clothes</v>
      </c>
      <c r="P984" s="7" t="s">
        <v>264</v>
      </c>
      <c r="Q984" s="7">
        <v>7701.0</v>
      </c>
      <c r="R984" s="17">
        <v>109.28</v>
      </c>
      <c r="S984" s="17">
        <v>35.84</v>
      </c>
      <c r="U984" s="18">
        <f t="shared" si="6"/>
        <v>841565.28</v>
      </c>
      <c r="V984" s="18">
        <f t="shared" si="7"/>
        <v>276003.84</v>
      </c>
      <c r="W984" s="19">
        <f t="shared" si="8"/>
        <v>565561.44</v>
      </c>
    </row>
    <row r="985">
      <c r="A985" s="7">
        <v>7.44683635E8</v>
      </c>
      <c r="B985" s="12">
        <v>40222.0</v>
      </c>
      <c r="C985" s="7">
        <f t="shared" si="1"/>
        <v>2010</v>
      </c>
      <c r="D985" s="14" t="str">
        <f t="shared" si="2"/>
        <v>02 - Feb</v>
      </c>
      <c r="E985" s="15" t="str">
        <f t="shared" si="3"/>
        <v>Sat</v>
      </c>
      <c r="F985" s="15">
        <f t="shared" si="4"/>
        <v>6</v>
      </c>
      <c r="G985" s="16">
        <v>40269.0</v>
      </c>
      <c r="H985" s="14">
        <f t="shared" si="5"/>
        <v>47</v>
      </c>
      <c r="I985" s="7" t="s">
        <v>364</v>
      </c>
      <c r="J985" s="7" t="s">
        <v>468</v>
      </c>
      <c r="K985" s="7" t="str">
        <f>VLOOKUP(J985,countries,2,false)</f>
        <v>Luxembourg</v>
      </c>
      <c r="L985" s="7" t="str">
        <f>VLOOKUP($J985,countries,5,false)</f>
        <v>Europe</v>
      </c>
      <c r="M985" s="7" t="str">
        <f>VLOOKUP($J985,countries,6,false)</f>
        <v>Western Europe</v>
      </c>
      <c r="N985" s="7">
        <v>5988.0</v>
      </c>
      <c r="O985" s="7" t="str">
        <f>VLOOKUP(N985, products, 2, FALSE)</f>
        <v>Vegetables</v>
      </c>
      <c r="P985" s="7" t="s">
        <v>334</v>
      </c>
      <c r="Q985" s="7">
        <v>7291.0</v>
      </c>
      <c r="R985" s="17">
        <v>154.06</v>
      </c>
      <c r="S985" s="17">
        <v>90.93</v>
      </c>
      <c r="U985" s="18">
        <f t="shared" si="6"/>
        <v>1123251.46</v>
      </c>
      <c r="V985" s="18">
        <f t="shared" si="7"/>
        <v>662970.63</v>
      </c>
      <c r="W985" s="19">
        <f t="shared" si="8"/>
        <v>460280.83</v>
      </c>
    </row>
    <row r="986">
      <c r="A986" s="7">
        <v>7.45467269E8</v>
      </c>
      <c r="B986" s="12">
        <v>41767.0</v>
      </c>
      <c r="C986" s="7">
        <f t="shared" si="1"/>
        <v>2014</v>
      </c>
      <c r="D986" s="14" t="str">
        <f t="shared" si="2"/>
        <v>05 - May</v>
      </c>
      <c r="E986" s="15" t="str">
        <f t="shared" si="3"/>
        <v>Thu</v>
      </c>
      <c r="F986" s="15">
        <f t="shared" si="4"/>
        <v>4</v>
      </c>
      <c r="G986" s="16">
        <v>41813.0</v>
      </c>
      <c r="H986" s="14">
        <f t="shared" si="5"/>
        <v>46</v>
      </c>
      <c r="I986" s="7" t="s">
        <v>232</v>
      </c>
      <c r="J986" s="7" t="s">
        <v>626</v>
      </c>
      <c r="K986" s="7" t="str">
        <f>VLOOKUP(J986,countries,2,false)</f>
        <v>Russia</v>
      </c>
      <c r="L986" s="7" t="str">
        <f>VLOOKUP($J986,countries,5,false)</f>
        <v>Europe</v>
      </c>
      <c r="M986" s="7" t="str">
        <f>VLOOKUP($J986,countries,6,false)</f>
        <v>Eastern Europe</v>
      </c>
      <c r="N986" s="7">
        <v>2455.0</v>
      </c>
      <c r="O986" s="7" t="str">
        <f>VLOOKUP(N986, products, 2, FALSE)</f>
        <v>Clothes</v>
      </c>
      <c r="P986" s="7" t="s">
        <v>334</v>
      </c>
      <c r="Q986" s="7">
        <v>9186.0</v>
      </c>
      <c r="R986" s="17">
        <v>109.28</v>
      </c>
      <c r="S986" s="17">
        <v>35.84</v>
      </c>
      <c r="U986" s="18">
        <f t="shared" si="6"/>
        <v>1003846.08</v>
      </c>
      <c r="V986" s="18">
        <f t="shared" si="7"/>
        <v>329226.24</v>
      </c>
      <c r="W986" s="19">
        <f t="shared" si="8"/>
        <v>674619.84</v>
      </c>
    </row>
    <row r="987">
      <c r="A987" s="7">
        <v>7.46563756E8</v>
      </c>
      <c r="B987" s="12">
        <v>41712.0</v>
      </c>
      <c r="C987" s="7">
        <f t="shared" si="1"/>
        <v>2014</v>
      </c>
      <c r="D987" s="14" t="str">
        <f t="shared" si="2"/>
        <v>03 - Mar</v>
      </c>
      <c r="E987" s="15" t="str">
        <f t="shared" si="3"/>
        <v>Fri</v>
      </c>
      <c r="F987" s="15">
        <f t="shared" si="4"/>
        <v>5</v>
      </c>
      <c r="G987" s="16">
        <v>41741.0</v>
      </c>
      <c r="H987" s="14">
        <f t="shared" si="5"/>
        <v>29</v>
      </c>
      <c r="I987" s="7" t="s">
        <v>305</v>
      </c>
      <c r="J987" s="7" t="s">
        <v>233</v>
      </c>
      <c r="K987" s="7" t="str">
        <f>VLOOKUP(J987,countries,2,false)</f>
        <v>Norway</v>
      </c>
      <c r="L987" s="7" t="str">
        <f>VLOOKUP($J987,countries,5,false)</f>
        <v>Europe</v>
      </c>
      <c r="M987" s="7" t="str">
        <f>VLOOKUP($J987,countries,6,false)</f>
        <v>Northern Europe</v>
      </c>
      <c r="N987" s="7">
        <v>8293.0</v>
      </c>
      <c r="O987" s="7" t="str">
        <f>VLOOKUP(N987, products, 2, FALSE)</f>
        <v>Cosmetics</v>
      </c>
      <c r="P987" s="7" t="s">
        <v>334</v>
      </c>
      <c r="Q987" s="7">
        <v>3661.0</v>
      </c>
      <c r="R987" s="17">
        <v>437.2</v>
      </c>
      <c r="S987" s="17">
        <v>263.33</v>
      </c>
      <c r="U987" s="18">
        <f t="shared" si="6"/>
        <v>1600589.2</v>
      </c>
      <c r="V987" s="18">
        <f t="shared" si="7"/>
        <v>964051.13</v>
      </c>
      <c r="W987" s="19">
        <f t="shared" si="8"/>
        <v>636538.07</v>
      </c>
    </row>
    <row r="988">
      <c r="A988" s="7">
        <v>7.4732722E8</v>
      </c>
      <c r="B988" s="12">
        <v>41869.0</v>
      </c>
      <c r="C988" s="7">
        <f t="shared" si="1"/>
        <v>2014</v>
      </c>
      <c r="D988" s="14" t="str">
        <f t="shared" si="2"/>
        <v>08 - Aug</v>
      </c>
      <c r="E988" s="15" t="str">
        <f t="shared" si="3"/>
        <v>Mon</v>
      </c>
      <c r="F988" s="15">
        <f t="shared" si="4"/>
        <v>1</v>
      </c>
      <c r="G988" s="16">
        <v>41897.0</v>
      </c>
      <c r="H988" s="14">
        <f t="shared" si="5"/>
        <v>28</v>
      </c>
      <c r="I988" s="7" t="s">
        <v>399</v>
      </c>
      <c r="J988" s="7" t="s">
        <v>623</v>
      </c>
      <c r="K988" s="7" t="str">
        <f>VLOOKUP(J988,countries,2,false)</f>
        <v>Romania</v>
      </c>
      <c r="L988" s="7" t="str">
        <f>VLOOKUP($J988,countries,5,false)</f>
        <v>Europe</v>
      </c>
      <c r="M988" s="7" t="str">
        <f>VLOOKUP($J988,countries,6,false)</f>
        <v>Eastern Europe</v>
      </c>
      <c r="N988" s="7">
        <v>8969.0</v>
      </c>
      <c r="O988" s="7" t="str">
        <f>VLOOKUP(N988, products, 2, FALSE)</f>
        <v>Snacks</v>
      </c>
      <c r="P988" s="7" t="s">
        <v>264</v>
      </c>
      <c r="Q988" s="7">
        <v>9587.0</v>
      </c>
      <c r="R988" s="17">
        <v>152.58</v>
      </c>
      <c r="S988" s="17">
        <v>97.44</v>
      </c>
      <c r="U988" s="18">
        <f t="shared" si="6"/>
        <v>1462784.46</v>
      </c>
      <c r="V988" s="18">
        <f t="shared" si="7"/>
        <v>934157.28</v>
      </c>
      <c r="W988" s="19">
        <f t="shared" si="8"/>
        <v>528627.18</v>
      </c>
    </row>
    <row r="989">
      <c r="A989" s="7">
        <v>7.47774398E8</v>
      </c>
      <c r="B989" s="12">
        <v>42802.0</v>
      </c>
      <c r="C989" s="7">
        <f t="shared" si="1"/>
        <v>2017</v>
      </c>
      <c r="D989" s="14" t="str">
        <f t="shared" si="2"/>
        <v>03 - Mar</v>
      </c>
      <c r="E989" s="15" t="str">
        <f t="shared" si="3"/>
        <v>Wed</v>
      </c>
      <c r="F989" s="15">
        <f t="shared" si="4"/>
        <v>3</v>
      </c>
      <c r="G989" s="16">
        <v>42828.0</v>
      </c>
      <c r="H989" s="14">
        <f t="shared" si="5"/>
        <v>26</v>
      </c>
      <c r="I989" s="7" t="s">
        <v>232</v>
      </c>
      <c r="J989" s="7" t="s">
        <v>546</v>
      </c>
      <c r="K989" s="7" t="str">
        <f>VLOOKUP(J989,countries,2,false)</f>
        <v>Netherlands</v>
      </c>
      <c r="L989" s="7" t="str">
        <f>VLOOKUP($J989,countries,5,false)</f>
        <v>Europe</v>
      </c>
      <c r="M989" s="7" t="str">
        <f>VLOOKUP($J989,countries,6,false)</f>
        <v>Western Europe</v>
      </c>
      <c r="N989" s="7">
        <v>8875.0</v>
      </c>
      <c r="O989" s="7" t="str">
        <f>VLOOKUP(N989, products, 2, FALSE)</f>
        <v>Meat</v>
      </c>
      <c r="P989" s="7" t="s">
        <v>334</v>
      </c>
      <c r="Q989" s="7">
        <v>1916.0</v>
      </c>
      <c r="R989" s="17">
        <v>421.89</v>
      </c>
      <c r="S989" s="17">
        <v>364.69</v>
      </c>
      <c r="U989" s="18">
        <f t="shared" si="6"/>
        <v>808341.24</v>
      </c>
      <c r="V989" s="18">
        <f t="shared" si="7"/>
        <v>698746.04</v>
      </c>
      <c r="W989" s="19">
        <f t="shared" si="8"/>
        <v>109595.2</v>
      </c>
    </row>
    <row r="990">
      <c r="A990" s="7">
        <v>7.47826755E8</v>
      </c>
      <c r="B990" s="12">
        <v>42933.0</v>
      </c>
      <c r="C990" s="7">
        <f t="shared" si="1"/>
        <v>2017</v>
      </c>
      <c r="D990" s="14" t="str">
        <f t="shared" si="2"/>
        <v>07 - Jul</v>
      </c>
      <c r="E990" s="15" t="str">
        <f t="shared" si="3"/>
        <v>Mon</v>
      </c>
      <c r="F990" s="15">
        <f t="shared" si="4"/>
        <v>1</v>
      </c>
      <c r="G990" s="16">
        <v>42938.0</v>
      </c>
      <c r="H990" s="14">
        <f t="shared" si="5"/>
        <v>5</v>
      </c>
      <c r="I990" s="7" t="s">
        <v>305</v>
      </c>
      <c r="J990" s="7" t="s">
        <v>570</v>
      </c>
      <c r="K990" s="7" t="str">
        <f>VLOOKUP(J990,countries,2,false)</f>
        <v>Macedonia</v>
      </c>
      <c r="L990" s="7" t="str">
        <f>VLOOKUP($J990,countries,5,false)</f>
        <v>Europe</v>
      </c>
      <c r="M990" s="7" t="str">
        <f>VLOOKUP($J990,countries,6,false)</f>
        <v>Southern Europe</v>
      </c>
      <c r="N990" s="7">
        <v>8681.0</v>
      </c>
      <c r="O990" s="7" t="str">
        <f>VLOOKUP(N990, products, 2, FALSE)</f>
        <v>Office Supplies</v>
      </c>
      <c r="P990" s="7" t="s">
        <v>334</v>
      </c>
      <c r="Q990" s="7">
        <v>7410.0</v>
      </c>
      <c r="R990" s="17">
        <v>651.21</v>
      </c>
      <c r="S990" s="17">
        <v>524.96</v>
      </c>
      <c r="U990" s="18">
        <f t="shared" si="6"/>
        <v>4825466.1</v>
      </c>
      <c r="V990" s="18">
        <f t="shared" si="7"/>
        <v>3889953.6</v>
      </c>
      <c r="W990" s="19">
        <f t="shared" si="8"/>
        <v>935512.5</v>
      </c>
    </row>
    <row r="991">
      <c r="A991" s="7">
        <v>7.47955071E8</v>
      </c>
      <c r="B991" s="12">
        <v>42640.0</v>
      </c>
      <c r="C991" s="7">
        <f t="shared" si="1"/>
        <v>2016</v>
      </c>
      <c r="D991" s="14" t="str">
        <f t="shared" si="2"/>
        <v>09 - Sep</v>
      </c>
      <c r="E991" s="15" t="str">
        <f t="shared" si="3"/>
        <v>Tue</v>
      </c>
      <c r="F991" s="15">
        <f t="shared" si="4"/>
        <v>2</v>
      </c>
      <c r="G991" s="16">
        <v>42668.0</v>
      </c>
      <c r="H991" s="14">
        <f t="shared" si="5"/>
        <v>28</v>
      </c>
      <c r="I991" s="7" t="s">
        <v>399</v>
      </c>
      <c r="J991" s="7" t="s">
        <v>771</v>
      </c>
      <c r="K991" s="7" t="str">
        <f>VLOOKUP(J991,countries,2,false)</f>
        <v>Ukraine</v>
      </c>
      <c r="L991" s="7" t="str">
        <f>VLOOKUP($J991,countries,5,false)</f>
        <v>Europe</v>
      </c>
      <c r="M991" s="7" t="str">
        <f>VLOOKUP($J991,countries,6,false)</f>
        <v>Eastern Europe</v>
      </c>
      <c r="N991" s="7">
        <v>2455.0</v>
      </c>
      <c r="O991" s="7" t="str">
        <f>VLOOKUP(N991, products, 2, FALSE)</f>
        <v>Clothes</v>
      </c>
      <c r="P991" s="7" t="s">
        <v>334</v>
      </c>
      <c r="Q991" s="7">
        <v>5382.0</v>
      </c>
      <c r="R991" s="17">
        <v>109.28</v>
      </c>
      <c r="S991" s="17">
        <v>35.84</v>
      </c>
      <c r="U991" s="18">
        <f t="shared" si="6"/>
        <v>588144.96</v>
      </c>
      <c r="V991" s="18">
        <f t="shared" si="7"/>
        <v>192890.88</v>
      </c>
      <c r="W991" s="19">
        <f t="shared" si="8"/>
        <v>395254.08</v>
      </c>
    </row>
    <row r="992">
      <c r="A992" s="7">
        <v>7.48357188E8</v>
      </c>
      <c r="B992" s="12">
        <v>40355.0</v>
      </c>
      <c r="C992" s="7">
        <f t="shared" si="1"/>
        <v>2010</v>
      </c>
      <c r="D992" s="14" t="str">
        <f t="shared" si="2"/>
        <v>06 - Jun</v>
      </c>
      <c r="E992" s="15" t="str">
        <f t="shared" si="3"/>
        <v>Sat</v>
      </c>
      <c r="F992" s="15">
        <f t="shared" si="4"/>
        <v>6</v>
      </c>
      <c r="G992" s="16">
        <v>40379.0</v>
      </c>
      <c r="H992" s="14">
        <f t="shared" si="5"/>
        <v>24</v>
      </c>
      <c r="I992" s="7" t="s">
        <v>305</v>
      </c>
      <c r="J992" s="7" t="s">
        <v>406</v>
      </c>
      <c r="K992" s="7" t="str">
        <f>VLOOKUP(J992,countries,2,false)</f>
        <v>Italy</v>
      </c>
      <c r="L992" s="7" t="str">
        <f>VLOOKUP($J992,countries,5,false)</f>
        <v>Europe</v>
      </c>
      <c r="M992" s="7" t="str">
        <f>VLOOKUP($J992,countries,6,false)</f>
        <v>Southern Europe</v>
      </c>
      <c r="N992" s="7">
        <v>7331.0</v>
      </c>
      <c r="O992" s="7" t="str">
        <f>VLOOKUP(N992, products, 2, FALSE)</f>
        <v>Baby Food</v>
      </c>
      <c r="P992" s="7" t="s">
        <v>334</v>
      </c>
      <c r="Q992" s="7">
        <v>4377.0</v>
      </c>
      <c r="R992" s="17">
        <v>255.28</v>
      </c>
      <c r="S992" s="17">
        <v>159.42</v>
      </c>
      <c r="U992" s="18">
        <f t="shared" si="6"/>
        <v>1117360.56</v>
      </c>
      <c r="V992" s="18">
        <f t="shared" si="7"/>
        <v>697781.34</v>
      </c>
      <c r="W992" s="19">
        <f t="shared" si="8"/>
        <v>419579.22</v>
      </c>
    </row>
    <row r="993">
      <c r="A993" s="7">
        <v>7.50047194E8</v>
      </c>
      <c r="B993" s="12">
        <v>41121.0</v>
      </c>
      <c r="C993" s="7">
        <f t="shared" si="1"/>
        <v>2012</v>
      </c>
      <c r="D993" s="14" t="str">
        <f t="shared" si="2"/>
        <v>07 - Jul</v>
      </c>
      <c r="E993" s="15" t="str">
        <f t="shared" si="3"/>
        <v>Tue</v>
      </c>
      <c r="F993" s="15">
        <f t="shared" si="4"/>
        <v>2</v>
      </c>
      <c r="G993" s="16">
        <v>41170.0</v>
      </c>
      <c r="H993" s="14">
        <f t="shared" si="5"/>
        <v>49</v>
      </c>
      <c r="I993" s="7" t="s">
        <v>232</v>
      </c>
      <c r="J993" s="7" t="s">
        <v>101</v>
      </c>
      <c r="K993" s="7" t="str">
        <f>VLOOKUP(J993,countries,2,false)</f>
        <v>Austria</v>
      </c>
      <c r="L993" s="7" t="str">
        <f>VLOOKUP($J993,countries,5,false)</f>
        <v>Europe</v>
      </c>
      <c r="M993" s="7" t="str">
        <f>VLOOKUP($J993,countries,6,false)</f>
        <v>Western Europe</v>
      </c>
      <c r="N993" s="7">
        <v>4594.0</v>
      </c>
      <c r="O993" s="7" t="str">
        <f>VLOOKUP(N993, products, 2, FALSE)</f>
        <v>Fruits</v>
      </c>
      <c r="P993" s="7" t="s">
        <v>264</v>
      </c>
      <c r="Q993" s="7">
        <v>4487.0</v>
      </c>
      <c r="R993" s="17">
        <v>9.33</v>
      </c>
      <c r="S993" s="17">
        <v>6.92</v>
      </c>
      <c r="U993" s="18">
        <f t="shared" si="6"/>
        <v>41863.71</v>
      </c>
      <c r="V993" s="18">
        <f t="shared" si="7"/>
        <v>31050.04</v>
      </c>
      <c r="W993" s="19">
        <f t="shared" si="8"/>
        <v>10813.67</v>
      </c>
    </row>
    <row r="994">
      <c r="A994" s="7">
        <v>7.50439441E8</v>
      </c>
      <c r="B994" s="12">
        <v>42689.0</v>
      </c>
      <c r="C994" s="7">
        <f t="shared" si="1"/>
        <v>2016</v>
      </c>
      <c r="D994" s="14" t="str">
        <f t="shared" si="2"/>
        <v>11 - Nov</v>
      </c>
      <c r="E994" s="15" t="str">
        <f t="shared" si="3"/>
        <v>Tue</v>
      </c>
      <c r="F994" s="15">
        <f t="shared" si="4"/>
        <v>2</v>
      </c>
      <c r="G994" s="16">
        <v>42733.0</v>
      </c>
      <c r="H994" s="14">
        <f t="shared" si="5"/>
        <v>44</v>
      </c>
      <c r="I994" s="7" t="s">
        <v>399</v>
      </c>
      <c r="J994" s="7" t="s">
        <v>233</v>
      </c>
      <c r="K994" s="7" t="str">
        <f>VLOOKUP(J994,countries,2,false)</f>
        <v>Norway</v>
      </c>
      <c r="L994" s="7" t="str">
        <f>VLOOKUP($J994,countries,5,false)</f>
        <v>Europe</v>
      </c>
      <c r="M994" s="7" t="str">
        <f>VLOOKUP($J994,countries,6,false)</f>
        <v>Northern Europe</v>
      </c>
      <c r="N994" s="7">
        <v>8969.0</v>
      </c>
      <c r="O994" s="7" t="str">
        <f>VLOOKUP(N994, products, 2, FALSE)</f>
        <v>Snacks</v>
      </c>
      <c r="P994" s="7" t="s">
        <v>264</v>
      </c>
      <c r="Q994" s="7">
        <v>562.0</v>
      </c>
      <c r="R994" s="17">
        <v>152.58</v>
      </c>
      <c r="S994" s="17">
        <v>97.44</v>
      </c>
      <c r="U994" s="18">
        <f t="shared" si="6"/>
        <v>85749.96</v>
      </c>
      <c r="V994" s="18">
        <f t="shared" si="7"/>
        <v>54761.28</v>
      </c>
      <c r="W994" s="19">
        <f t="shared" si="8"/>
        <v>30988.68</v>
      </c>
    </row>
    <row r="995">
      <c r="A995" s="7">
        <v>7.50959146E8</v>
      </c>
      <c r="B995" s="12">
        <v>42374.0</v>
      </c>
      <c r="C995" s="7">
        <f t="shared" si="1"/>
        <v>2016</v>
      </c>
      <c r="D995" s="14" t="str">
        <f t="shared" si="2"/>
        <v>01 - Jan</v>
      </c>
      <c r="E995" s="15" t="str">
        <f t="shared" si="3"/>
        <v>Tue</v>
      </c>
      <c r="F995" s="15">
        <f t="shared" si="4"/>
        <v>2</v>
      </c>
      <c r="G995" s="16">
        <v>42394.0</v>
      </c>
      <c r="H995" s="14">
        <f t="shared" si="5"/>
        <v>20</v>
      </c>
      <c r="I995" s="7" t="s">
        <v>232</v>
      </c>
      <c r="J995" s="7" t="s">
        <v>365</v>
      </c>
      <c r="K995" s="7" t="str">
        <f>VLOOKUP(J995,countries,2,false)</f>
        <v>Montenegro</v>
      </c>
      <c r="L995" s="7" t="str">
        <f>VLOOKUP($J995,countries,5,false)</f>
        <v>Europe</v>
      </c>
      <c r="M995" s="7" t="str">
        <f>VLOOKUP($J995,countries,6,false)</f>
        <v>Southern Europe</v>
      </c>
      <c r="N995" s="7">
        <v>7331.0</v>
      </c>
      <c r="O995" s="7" t="str">
        <f>VLOOKUP(N995, products, 2, FALSE)</f>
        <v>Baby Food</v>
      </c>
      <c r="P995" s="7" t="s">
        <v>264</v>
      </c>
      <c r="Q995" s="7">
        <v>4354.0</v>
      </c>
      <c r="R995" s="17">
        <v>255.28</v>
      </c>
      <c r="S995" s="17">
        <v>159.42</v>
      </c>
      <c r="U995" s="18">
        <f t="shared" si="6"/>
        <v>1111489.12</v>
      </c>
      <c r="V995" s="18">
        <f t="shared" si="7"/>
        <v>694114.68</v>
      </c>
      <c r="W995" s="19">
        <f t="shared" si="8"/>
        <v>417374.44</v>
      </c>
    </row>
    <row r="996">
      <c r="A996" s="7">
        <v>7.52792918E8</v>
      </c>
      <c r="B996" s="12">
        <v>41028.0</v>
      </c>
      <c r="C996" s="7">
        <f t="shared" si="1"/>
        <v>2012</v>
      </c>
      <c r="D996" s="14" t="str">
        <f t="shared" si="2"/>
        <v>04 - Apr</v>
      </c>
      <c r="E996" s="15" t="str">
        <f t="shared" si="3"/>
        <v>Sun</v>
      </c>
      <c r="F996" s="15">
        <f t="shared" si="4"/>
        <v>7</v>
      </c>
      <c r="G996" s="16">
        <v>41041.0</v>
      </c>
      <c r="H996" s="14">
        <f t="shared" si="5"/>
        <v>13</v>
      </c>
      <c r="I996" s="7" t="s">
        <v>232</v>
      </c>
      <c r="J996" s="7" t="s">
        <v>233</v>
      </c>
      <c r="K996" s="7" t="str">
        <f>VLOOKUP(J996,countries,2,false)</f>
        <v>Norway</v>
      </c>
      <c r="L996" s="7" t="str">
        <f>VLOOKUP($J996,countries,5,false)</f>
        <v>Europe</v>
      </c>
      <c r="M996" s="7" t="str">
        <f>VLOOKUP($J996,countries,6,false)</f>
        <v>Northern Europe</v>
      </c>
      <c r="N996" s="7">
        <v>4594.0</v>
      </c>
      <c r="O996" s="7" t="str">
        <f>VLOOKUP(N996, products, 2, FALSE)</f>
        <v>Fruits</v>
      </c>
      <c r="P996" s="7" t="s">
        <v>334</v>
      </c>
      <c r="Q996" s="7">
        <v>7008.0</v>
      </c>
      <c r="R996" s="17">
        <v>9.33</v>
      </c>
      <c r="S996" s="17">
        <v>6.92</v>
      </c>
      <c r="U996" s="18">
        <f t="shared" si="6"/>
        <v>65384.64</v>
      </c>
      <c r="V996" s="18">
        <f t="shared" si="7"/>
        <v>48495.36</v>
      </c>
      <c r="W996" s="19">
        <f t="shared" si="8"/>
        <v>16889.28</v>
      </c>
    </row>
    <row r="997">
      <c r="A997" s="7">
        <v>7.53166282E8</v>
      </c>
      <c r="B997" s="12">
        <v>40825.0</v>
      </c>
      <c r="C997" s="7">
        <f t="shared" si="1"/>
        <v>2011</v>
      </c>
      <c r="D997" s="14" t="str">
        <f t="shared" si="2"/>
        <v>10 - Oct</v>
      </c>
      <c r="E997" s="15" t="str">
        <f t="shared" si="3"/>
        <v>Sun</v>
      </c>
      <c r="F997" s="15">
        <f t="shared" si="4"/>
        <v>7</v>
      </c>
      <c r="G997" s="16">
        <v>40872.0</v>
      </c>
      <c r="H997" s="14">
        <f t="shared" si="5"/>
        <v>47</v>
      </c>
      <c r="I997" s="7" t="s">
        <v>399</v>
      </c>
      <c r="J997" s="7" t="s">
        <v>517</v>
      </c>
      <c r="K997" s="7" t="str">
        <f>VLOOKUP(J997,countries,2,false)</f>
        <v>Spain</v>
      </c>
      <c r="L997" s="7" t="str">
        <f>VLOOKUP($J997,countries,5,false)</f>
        <v>Europe</v>
      </c>
      <c r="M997" s="7" t="str">
        <f>VLOOKUP($J997,countries,6,false)</f>
        <v>Southern Europe</v>
      </c>
      <c r="N997" s="7">
        <v>4594.0</v>
      </c>
      <c r="O997" s="7" t="str">
        <f>VLOOKUP(N997, products, 2, FALSE)</f>
        <v>Fruits</v>
      </c>
      <c r="P997" s="7" t="s">
        <v>264</v>
      </c>
      <c r="Q997" s="7">
        <v>7495.0</v>
      </c>
      <c r="R997" s="17">
        <v>9.33</v>
      </c>
      <c r="S997" s="17">
        <v>6.92</v>
      </c>
      <c r="U997" s="18">
        <f t="shared" si="6"/>
        <v>69928.35</v>
      </c>
      <c r="V997" s="18">
        <f t="shared" si="7"/>
        <v>51865.4</v>
      </c>
      <c r="W997" s="19">
        <f t="shared" si="8"/>
        <v>18062.95</v>
      </c>
    </row>
    <row r="998">
      <c r="A998" s="7">
        <v>7.54227149E8</v>
      </c>
      <c r="B998" s="12">
        <v>41202.0</v>
      </c>
      <c r="C998" s="7">
        <f t="shared" si="1"/>
        <v>2012</v>
      </c>
      <c r="D998" s="14" t="str">
        <f t="shared" si="2"/>
        <v>10 - Oct</v>
      </c>
      <c r="E998" s="15" t="str">
        <f t="shared" si="3"/>
        <v>Sat</v>
      </c>
      <c r="F998" s="15">
        <f t="shared" si="4"/>
        <v>6</v>
      </c>
      <c r="G998" s="16">
        <v>41237.0</v>
      </c>
      <c r="H998" s="14">
        <f t="shared" si="5"/>
        <v>35</v>
      </c>
      <c r="I998" s="7" t="s">
        <v>399</v>
      </c>
      <c r="J998" s="7" t="s">
        <v>516</v>
      </c>
      <c r="K998" s="7" t="str">
        <f>VLOOKUP(J998,countries,2,false)</f>
        <v>Monaco</v>
      </c>
      <c r="L998" s="7" t="str">
        <f>VLOOKUP($J998,countries,5,false)</f>
        <v>Europe</v>
      </c>
      <c r="M998" s="7" t="str">
        <f>VLOOKUP($J998,countries,6,false)</f>
        <v>Western Europe</v>
      </c>
      <c r="N998" s="7">
        <v>8681.0</v>
      </c>
      <c r="O998" s="7" t="str">
        <f>VLOOKUP(N998, products, 2, FALSE)</f>
        <v>Office Supplies</v>
      </c>
      <c r="P998" s="7" t="s">
        <v>264</v>
      </c>
      <c r="Q998" s="7">
        <v>1429.0</v>
      </c>
      <c r="R998" s="17">
        <v>651.21</v>
      </c>
      <c r="S998" s="17">
        <v>524.96</v>
      </c>
      <c r="U998" s="18">
        <f t="shared" si="6"/>
        <v>930579.09</v>
      </c>
      <c r="V998" s="18">
        <f t="shared" si="7"/>
        <v>750167.84</v>
      </c>
      <c r="W998" s="19">
        <f t="shared" si="8"/>
        <v>180411.25</v>
      </c>
    </row>
    <row r="999">
      <c r="A999" s="7">
        <v>7.54541289E8</v>
      </c>
      <c r="B999" s="12">
        <v>41985.0</v>
      </c>
      <c r="C999" s="7">
        <f t="shared" si="1"/>
        <v>2014</v>
      </c>
      <c r="D999" s="14" t="str">
        <f t="shared" si="2"/>
        <v>12 - Dec</v>
      </c>
      <c r="E999" s="15" t="str">
        <f t="shared" si="3"/>
        <v>Fri</v>
      </c>
      <c r="F999" s="15">
        <f t="shared" si="4"/>
        <v>5</v>
      </c>
      <c r="G999" s="16">
        <v>41992.0</v>
      </c>
      <c r="H999" s="14">
        <f t="shared" si="5"/>
        <v>7</v>
      </c>
      <c r="I999" s="7" t="s">
        <v>364</v>
      </c>
      <c r="J999" s="7" t="s">
        <v>67</v>
      </c>
      <c r="K999" s="7" t="str">
        <f>VLOOKUP(J999,countries,2,false)</f>
        <v>Andorra</v>
      </c>
      <c r="L999" s="7" t="str">
        <f>VLOOKUP($J999,countries,5,false)</f>
        <v>Europe</v>
      </c>
      <c r="M999" s="7" t="str">
        <f>VLOOKUP($J999,countries,6,false)</f>
        <v>Southern Europe</v>
      </c>
      <c r="N999" s="7">
        <v>3127.0</v>
      </c>
      <c r="O999" s="7" t="str">
        <f>VLOOKUP(N999, products, 2, FALSE)</f>
        <v>Personal Care</v>
      </c>
      <c r="P999" s="7" t="s">
        <v>334</v>
      </c>
      <c r="Q999" s="7">
        <v>4390.0</v>
      </c>
      <c r="R999" s="17">
        <v>81.73</v>
      </c>
      <c r="S999" s="17">
        <v>56.67</v>
      </c>
      <c r="U999" s="18">
        <f t="shared" si="6"/>
        <v>358794.7</v>
      </c>
      <c r="V999" s="18">
        <f t="shared" si="7"/>
        <v>248781.3</v>
      </c>
      <c r="W999" s="19">
        <f t="shared" si="8"/>
        <v>110013.4</v>
      </c>
    </row>
    <row r="1000">
      <c r="A1000" s="7">
        <v>7.55318915E8</v>
      </c>
      <c r="B1000" s="12">
        <v>40704.0</v>
      </c>
      <c r="C1000" s="7">
        <f t="shared" si="1"/>
        <v>2011</v>
      </c>
      <c r="D1000" s="14" t="str">
        <f t="shared" si="2"/>
        <v>06 - Jun</v>
      </c>
      <c r="E1000" s="15" t="str">
        <f t="shared" si="3"/>
        <v>Fri</v>
      </c>
      <c r="F1000" s="15">
        <f t="shared" si="4"/>
        <v>5</v>
      </c>
      <c r="G1000" s="16">
        <v>40719.0</v>
      </c>
      <c r="H1000" s="14">
        <f t="shared" si="5"/>
        <v>15</v>
      </c>
      <c r="I1000" s="7" t="s">
        <v>399</v>
      </c>
      <c r="J1000" s="7" t="s">
        <v>406</v>
      </c>
      <c r="K1000" s="7" t="str">
        <f>VLOOKUP(J1000,countries,2,false)</f>
        <v>Italy</v>
      </c>
      <c r="L1000" s="7" t="str">
        <f>VLOOKUP($J1000,countries,5,false)</f>
        <v>Europe</v>
      </c>
      <c r="M1000" s="7" t="str">
        <f>VLOOKUP($J1000,countries,6,false)</f>
        <v>Southern Europe</v>
      </c>
      <c r="N1000" s="7">
        <v>2455.0</v>
      </c>
      <c r="O1000" s="7" t="str">
        <f>VLOOKUP(N1000, products, 2, FALSE)</f>
        <v>Clothes</v>
      </c>
      <c r="P1000" s="7" t="s">
        <v>264</v>
      </c>
      <c r="Q1000" s="7">
        <v>4507.0</v>
      </c>
      <c r="R1000" s="17">
        <v>109.28</v>
      </c>
      <c r="S1000" s="17">
        <v>35.84</v>
      </c>
      <c r="U1000" s="18">
        <f t="shared" si="6"/>
        <v>492524.96</v>
      </c>
      <c r="V1000" s="18">
        <f t="shared" si="7"/>
        <v>161530.88</v>
      </c>
      <c r="W1000" s="19">
        <f t="shared" si="8"/>
        <v>330994.08</v>
      </c>
    </row>
    <row r="1001">
      <c r="A1001" s="7">
        <v>7.5560559E8</v>
      </c>
      <c r="B1001" s="12">
        <v>40421.0</v>
      </c>
      <c r="C1001" s="7">
        <f t="shared" si="1"/>
        <v>2010</v>
      </c>
      <c r="D1001" s="14" t="str">
        <f t="shared" si="2"/>
        <v>08 - Aug</v>
      </c>
      <c r="E1001" s="15" t="str">
        <f t="shared" si="3"/>
        <v>Tue</v>
      </c>
      <c r="F1001" s="15">
        <f t="shared" si="4"/>
        <v>2</v>
      </c>
      <c r="G1001" s="16">
        <v>40432.0</v>
      </c>
      <c r="H1001" s="14">
        <f t="shared" si="5"/>
        <v>11</v>
      </c>
      <c r="I1001" s="7" t="s">
        <v>232</v>
      </c>
      <c r="J1001" s="7" t="s">
        <v>243</v>
      </c>
      <c r="K1001" s="7" t="str">
        <f>VLOOKUP(J1001,countries,2,false)</f>
        <v>Czech Republic</v>
      </c>
      <c r="L1001" s="7" t="str">
        <f>VLOOKUP($J1001,countries,5,false)</f>
        <v>Europe</v>
      </c>
      <c r="M1001" s="7" t="str">
        <f>VLOOKUP($J1001,countries,6,false)</f>
        <v>Eastern Europe</v>
      </c>
      <c r="N1001" s="7">
        <v>8969.0</v>
      </c>
      <c r="O1001" s="7" t="str">
        <f>VLOOKUP(N1001, products, 2, FALSE)</f>
        <v>Snacks</v>
      </c>
      <c r="P1001" s="7" t="s">
        <v>264</v>
      </c>
      <c r="Q1001" s="7">
        <v>9340.0</v>
      </c>
      <c r="R1001" s="17">
        <v>152.58</v>
      </c>
      <c r="S1001" s="17">
        <v>97.44</v>
      </c>
      <c r="U1001" s="18">
        <f t="shared" si="6"/>
        <v>1425097.2</v>
      </c>
      <c r="V1001" s="18">
        <f t="shared" si="7"/>
        <v>910089.6</v>
      </c>
      <c r="W1001" s="19">
        <f t="shared" si="8"/>
        <v>515007.6</v>
      </c>
    </row>
    <row r="1002">
      <c r="A1002" s="7">
        <v>7.56252324E8</v>
      </c>
      <c r="B1002" s="12">
        <v>40196.0</v>
      </c>
      <c r="C1002" s="7">
        <f t="shared" si="1"/>
        <v>2010</v>
      </c>
      <c r="D1002" s="14" t="str">
        <f t="shared" si="2"/>
        <v>01 - Jan</v>
      </c>
      <c r="E1002" s="15" t="str">
        <f t="shared" si="3"/>
        <v>Mon</v>
      </c>
      <c r="F1002" s="15">
        <f t="shared" si="4"/>
        <v>1</v>
      </c>
      <c r="G1002" s="16">
        <v>40218.0</v>
      </c>
      <c r="H1002" s="14">
        <f t="shared" si="5"/>
        <v>22</v>
      </c>
      <c r="I1002" s="7" t="s">
        <v>364</v>
      </c>
      <c r="J1002" s="7" t="s">
        <v>685</v>
      </c>
      <c r="K1002" s="7" t="str">
        <f>VLOOKUP(J1002,countries,2,false)</f>
        <v>Slovenia</v>
      </c>
      <c r="L1002" s="7" t="str">
        <f>VLOOKUP($J1002,countries,5,false)</f>
        <v>Europe</v>
      </c>
      <c r="M1002" s="7" t="str">
        <f>VLOOKUP($J1002,countries,6,false)</f>
        <v>Southern Europe</v>
      </c>
      <c r="N1002" s="7">
        <v>4594.0</v>
      </c>
      <c r="O1002" s="7" t="str">
        <f>VLOOKUP(N1002, products, 2, FALSE)</f>
        <v>Fruits</v>
      </c>
      <c r="P1002" s="7" t="s">
        <v>264</v>
      </c>
      <c r="Q1002" s="7">
        <v>723.0</v>
      </c>
      <c r="R1002" s="17">
        <v>9.33</v>
      </c>
      <c r="S1002" s="17">
        <v>6.92</v>
      </c>
      <c r="U1002" s="18">
        <f t="shared" si="6"/>
        <v>6745.59</v>
      </c>
      <c r="V1002" s="18">
        <f t="shared" si="7"/>
        <v>5003.16</v>
      </c>
      <c r="W1002" s="19">
        <f t="shared" si="8"/>
        <v>1742.43</v>
      </c>
    </row>
    <row r="1003">
      <c r="A1003" s="7">
        <v>7.56395232E8</v>
      </c>
      <c r="B1003" s="12">
        <v>42026.0</v>
      </c>
      <c r="C1003" s="7">
        <f t="shared" si="1"/>
        <v>2015</v>
      </c>
      <c r="D1003" s="14" t="str">
        <f t="shared" si="2"/>
        <v>01 - Jan</v>
      </c>
      <c r="E1003" s="15" t="str">
        <f t="shared" si="3"/>
        <v>Thu</v>
      </c>
      <c r="F1003" s="15">
        <f t="shared" si="4"/>
        <v>4</v>
      </c>
      <c r="G1003" s="16">
        <v>42076.0</v>
      </c>
      <c r="H1003" s="14">
        <f t="shared" si="5"/>
        <v>50</v>
      </c>
      <c r="I1003" s="7" t="s">
        <v>399</v>
      </c>
      <c r="J1003" s="7" t="s">
        <v>243</v>
      </c>
      <c r="K1003" s="7" t="str">
        <f>VLOOKUP(J1003,countries,2,false)</f>
        <v>Czech Republic</v>
      </c>
      <c r="L1003" s="7" t="str">
        <f>VLOOKUP($J1003,countries,5,false)</f>
        <v>Europe</v>
      </c>
      <c r="M1003" s="7" t="str">
        <f>VLOOKUP($J1003,countries,6,false)</f>
        <v>Eastern Europe</v>
      </c>
      <c r="N1003" s="7">
        <v>8875.0</v>
      </c>
      <c r="O1003" s="7" t="str">
        <f>VLOOKUP(N1003, products, 2, FALSE)</f>
        <v>Meat</v>
      </c>
      <c r="P1003" s="7" t="s">
        <v>264</v>
      </c>
      <c r="Q1003" s="7">
        <v>3013.0</v>
      </c>
      <c r="R1003" s="17">
        <v>421.89</v>
      </c>
      <c r="S1003" s="17">
        <v>364.69</v>
      </c>
      <c r="U1003" s="18">
        <f t="shared" si="6"/>
        <v>1271154.57</v>
      </c>
      <c r="V1003" s="18">
        <f t="shared" si="7"/>
        <v>1098810.97</v>
      </c>
      <c r="W1003" s="19">
        <f t="shared" si="8"/>
        <v>172343.6</v>
      </c>
    </row>
    <row r="1004">
      <c r="A1004" s="7">
        <v>7.57468974E8</v>
      </c>
      <c r="B1004" s="12">
        <v>41347.0</v>
      </c>
      <c r="C1004" s="7">
        <f t="shared" si="1"/>
        <v>2013</v>
      </c>
      <c r="D1004" s="14" t="str">
        <f t="shared" si="2"/>
        <v>03 - Mar</v>
      </c>
      <c r="E1004" s="15" t="str">
        <f t="shared" si="3"/>
        <v>Thu</v>
      </c>
      <c r="F1004" s="15">
        <f t="shared" si="4"/>
        <v>4</v>
      </c>
      <c r="G1004" s="16">
        <v>41356.0</v>
      </c>
      <c r="H1004" s="14">
        <f t="shared" si="5"/>
        <v>9</v>
      </c>
      <c r="I1004" s="7" t="s">
        <v>399</v>
      </c>
      <c r="J1004" s="7" t="s">
        <v>516</v>
      </c>
      <c r="K1004" s="7" t="str">
        <f>VLOOKUP(J1004,countries,2,false)</f>
        <v>Monaco</v>
      </c>
      <c r="L1004" s="7" t="str">
        <f>VLOOKUP($J1004,countries,5,false)</f>
        <v>Europe</v>
      </c>
      <c r="M1004" s="7" t="str">
        <f>VLOOKUP($J1004,countries,6,false)</f>
        <v>Western Europe</v>
      </c>
      <c r="N1004" s="7">
        <v>1270.0</v>
      </c>
      <c r="O1004" s="7" t="str">
        <f>VLOOKUP(N1004, products, 2, FALSE)</f>
        <v>Beverages</v>
      </c>
      <c r="P1004" s="7" t="s">
        <v>264</v>
      </c>
      <c r="Q1004" s="7">
        <v>757.0</v>
      </c>
      <c r="R1004" s="17">
        <v>47.45</v>
      </c>
      <c r="S1004" s="17">
        <v>31.79</v>
      </c>
      <c r="U1004" s="18">
        <f t="shared" si="6"/>
        <v>35919.65</v>
      </c>
      <c r="V1004" s="18">
        <f t="shared" si="7"/>
        <v>24065.03</v>
      </c>
      <c r="W1004" s="19">
        <f t="shared" si="8"/>
        <v>11854.62</v>
      </c>
    </row>
    <row r="1005">
      <c r="A1005" s="7">
        <v>7.59086453E8</v>
      </c>
      <c r="B1005" s="12">
        <v>40595.0</v>
      </c>
      <c r="C1005" s="7">
        <f t="shared" si="1"/>
        <v>2011</v>
      </c>
      <c r="D1005" s="14" t="str">
        <f t="shared" si="2"/>
        <v>02 - Feb</v>
      </c>
      <c r="E1005" s="15" t="str">
        <f t="shared" si="3"/>
        <v>Mon</v>
      </c>
      <c r="F1005" s="15">
        <f t="shared" si="4"/>
        <v>1</v>
      </c>
      <c r="G1005" s="16">
        <v>40601.0</v>
      </c>
      <c r="H1005" s="14">
        <f t="shared" si="5"/>
        <v>6</v>
      </c>
      <c r="I1005" s="7" t="s">
        <v>364</v>
      </c>
      <c r="J1005" s="7" t="s">
        <v>243</v>
      </c>
      <c r="K1005" s="7" t="str">
        <f>VLOOKUP(J1005,countries,2,false)</f>
        <v>Czech Republic</v>
      </c>
      <c r="L1005" s="7" t="str">
        <f>VLOOKUP($J1005,countries,5,false)</f>
        <v>Europe</v>
      </c>
      <c r="M1005" s="7" t="str">
        <f>VLOOKUP($J1005,countries,6,false)</f>
        <v>Eastern Europe</v>
      </c>
      <c r="N1005" s="7">
        <v>7940.0</v>
      </c>
      <c r="O1005" s="7" t="str">
        <f>VLOOKUP(N1005, products, 2, FALSE)</f>
        <v>Household</v>
      </c>
      <c r="P1005" s="7" t="s">
        <v>264</v>
      </c>
      <c r="Q1005" s="7">
        <v>9405.0</v>
      </c>
      <c r="R1005" s="17">
        <v>668.27</v>
      </c>
      <c r="S1005" s="17">
        <v>502.54</v>
      </c>
      <c r="U1005" s="18">
        <f t="shared" si="6"/>
        <v>6285079.35</v>
      </c>
      <c r="V1005" s="18">
        <f t="shared" si="7"/>
        <v>4726388.7</v>
      </c>
      <c r="W1005" s="19">
        <f t="shared" si="8"/>
        <v>1558690.65</v>
      </c>
    </row>
    <row r="1006">
      <c r="A1006" s="7">
        <v>7.59594142E8</v>
      </c>
      <c r="B1006" s="12">
        <v>42926.0</v>
      </c>
      <c r="C1006" s="7">
        <f t="shared" si="1"/>
        <v>2017</v>
      </c>
      <c r="D1006" s="14" t="str">
        <f t="shared" si="2"/>
        <v>07 - Jul</v>
      </c>
      <c r="E1006" s="15" t="str">
        <f t="shared" si="3"/>
        <v>Mon</v>
      </c>
      <c r="F1006" s="15">
        <f t="shared" si="4"/>
        <v>1</v>
      </c>
      <c r="G1006" s="16">
        <v>42928.0</v>
      </c>
      <c r="H1006" s="14">
        <f t="shared" si="5"/>
        <v>2</v>
      </c>
      <c r="I1006" s="7" t="s">
        <v>305</v>
      </c>
      <c r="J1006" s="7" t="s">
        <v>570</v>
      </c>
      <c r="K1006" s="7" t="str">
        <f>VLOOKUP(J1006,countries,2,false)</f>
        <v>Macedonia</v>
      </c>
      <c r="L1006" s="7" t="str">
        <f>VLOOKUP($J1006,countries,5,false)</f>
        <v>Europe</v>
      </c>
      <c r="M1006" s="7" t="str">
        <f>VLOOKUP($J1006,countries,6,false)</f>
        <v>Southern Europe</v>
      </c>
      <c r="N1006" s="7">
        <v>5988.0</v>
      </c>
      <c r="O1006" s="7" t="str">
        <f>VLOOKUP(N1006, products, 2, FALSE)</f>
        <v>Vegetables</v>
      </c>
      <c r="P1006" s="7" t="s">
        <v>334</v>
      </c>
      <c r="Q1006" s="7">
        <v>9641.0</v>
      </c>
      <c r="R1006" s="17">
        <v>154.06</v>
      </c>
      <c r="S1006" s="17">
        <v>90.93</v>
      </c>
      <c r="U1006" s="18">
        <f t="shared" si="6"/>
        <v>1485292.46</v>
      </c>
      <c r="V1006" s="18">
        <f t="shared" si="7"/>
        <v>876656.13</v>
      </c>
      <c r="W1006" s="19">
        <f t="shared" si="8"/>
        <v>608636.33</v>
      </c>
    </row>
    <row r="1007">
      <c r="A1007" s="7">
        <v>7.60280358E8</v>
      </c>
      <c r="B1007" s="12">
        <v>41122.0</v>
      </c>
      <c r="C1007" s="7">
        <f t="shared" si="1"/>
        <v>2012</v>
      </c>
      <c r="D1007" s="14" t="str">
        <f t="shared" si="2"/>
        <v>08 - Aug</v>
      </c>
      <c r="E1007" s="15" t="str">
        <f t="shared" si="3"/>
        <v>Wed</v>
      </c>
      <c r="F1007" s="15">
        <f t="shared" si="4"/>
        <v>3</v>
      </c>
      <c r="G1007" s="16">
        <v>41142.0</v>
      </c>
      <c r="H1007" s="14">
        <f t="shared" si="5"/>
        <v>20</v>
      </c>
      <c r="I1007" s="7" t="s">
        <v>232</v>
      </c>
      <c r="J1007" s="7" t="s">
        <v>348</v>
      </c>
      <c r="K1007" s="7" t="s">
        <v>348</v>
      </c>
      <c r="L1007" s="7" t="s">
        <v>348</v>
      </c>
      <c r="M1007" s="7" t="s">
        <v>348</v>
      </c>
      <c r="N1007" s="7">
        <v>8681.0</v>
      </c>
      <c r="O1007" s="7" t="str">
        <f>VLOOKUP(N1007, products, 2, FALSE)</f>
        <v>Office Supplies</v>
      </c>
      <c r="P1007" s="7" t="s">
        <v>334</v>
      </c>
      <c r="Q1007" s="7">
        <v>2708.0</v>
      </c>
      <c r="R1007" s="17">
        <v>651.21</v>
      </c>
      <c r="S1007" s="17">
        <v>524.96</v>
      </c>
      <c r="U1007" s="18">
        <f t="shared" si="6"/>
        <v>1763476.68</v>
      </c>
      <c r="V1007" s="18">
        <f t="shared" si="7"/>
        <v>1421591.68</v>
      </c>
      <c r="W1007" s="19">
        <f t="shared" si="8"/>
        <v>341885</v>
      </c>
    </row>
    <row r="1008">
      <c r="A1008" s="7">
        <v>7.60346877E8</v>
      </c>
      <c r="B1008" s="12">
        <v>42580.0</v>
      </c>
      <c r="C1008" s="7">
        <f t="shared" si="1"/>
        <v>2016</v>
      </c>
      <c r="D1008" s="14" t="str">
        <f t="shared" si="2"/>
        <v>07 - Jul</v>
      </c>
      <c r="E1008" s="15" t="str">
        <f t="shared" si="3"/>
        <v>Fri</v>
      </c>
      <c r="F1008" s="15">
        <f t="shared" si="4"/>
        <v>5</v>
      </c>
      <c r="G1008" s="16">
        <v>42588.0</v>
      </c>
      <c r="H1008" s="14">
        <f t="shared" si="5"/>
        <v>8</v>
      </c>
      <c r="I1008" s="7" t="s">
        <v>232</v>
      </c>
      <c r="J1008" s="7" t="s">
        <v>608</v>
      </c>
      <c r="K1008" s="7" t="str">
        <f>VLOOKUP(J1008,countries,2,false)</f>
        <v>Poland</v>
      </c>
      <c r="L1008" s="7" t="str">
        <f>VLOOKUP($J1008,countries,5,false)</f>
        <v>Europe</v>
      </c>
      <c r="M1008" s="7" t="str">
        <f>VLOOKUP($J1008,countries,6,false)</f>
        <v>Eastern Europe</v>
      </c>
      <c r="N1008" s="7">
        <v>7940.0</v>
      </c>
      <c r="O1008" s="7" t="str">
        <f>VLOOKUP(N1008, products, 2, FALSE)</f>
        <v>Household</v>
      </c>
      <c r="P1008" s="7" t="s">
        <v>264</v>
      </c>
      <c r="Q1008" s="7">
        <v>2392.0</v>
      </c>
      <c r="R1008" s="17">
        <v>668.27</v>
      </c>
      <c r="S1008" s="17">
        <v>502.54</v>
      </c>
      <c r="U1008" s="18">
        <f t="shared" si="6"/>
        <v>1598501.84</v>
      </c>
      <c r="V1008" s="18">
        <f t="shared" si="7"/>
        <v>1202075.68</v>
      </c>
      <c r="W1008" s="19">
        <f t="shared" si="8"/>
        <v>396426.16</v>
      </c>
    </row>
    <row r="1009">
      <c r="A1009" s="7">
        <v>7.6061939E8</v>
      </c>
      <c r="B1009" s="12">
        <v>40970.0</v>
      </c>
      <c r="C1009" s="7">
        <f t="shared" si="1"/>
        <v>2012</v>
      </c>
      <c r="D1009" s="14" t="str">
        <f t="shared" si="2"/>
        <v>03 - Mar</v>
      </c>
      <c r="E1009" s="15" t="str">
        <f t="shared" si="3"/>
        <v>Fri</v>
      </c>
      <c r="F1009" s="15">
        <f t="shared" si="4"/>
        <v>5</v>
      </c>
      <c r="G1009" s="16">
        <v>41015.0</v>
      </c>
      <c r="H1009" s="14">
        <f t="shared" si="5"/>
        <v>45</v>
      </c>
      <c r="I1009" s="7" t="s">
        <v>305</v>
      </c>
      <c r="J1009" s="7" t="s">
        <v>146</v>
      </c>
      <c r="K1009" s="7" t="str">
        <f>VLOOKUP(J1009,countries,2,false)</f>
        <v>Bosnia and Herzegovina</v>
      </c>
      <c r="L1009" s="7" t="str">
        <f>VLOOKUP($J1009,countries,5,false)</f>
        <v>Europe</v>
      </c>
      <c r="M1009" s="7" t="str">
        <f>VLOOKUP($J1009,countries,6,false)</f>
        <v>Southern Europe</v>
      </c>
      <c r="N1009" s="7">
        <v>5988.0</v>
      </c>
      <c r="O1009" s="7" t="str">
        <f>VLOOKUP(N1009, products, 2, FALSE)</f>
        <v>Vegetables</v>
      </c>
      <c r="P1009" s="7" t="s">
        <v>264</v>
      </c>
      <c r="Q1009" s="7">
        <v>3035.0</v>
      </c>
      <c r="R1009" s="17">
        <v>154.06</v>
      </c>
      <c r="S1009" s="17">
        <v>90.93</v>
      </c>
      <c r="U1009" s="18">
        <f t="shared" si="6"/>
        <v>467572.1</v>
      </c>
      <c r="V1009" s="18">
        <f t="shared" si="7"/>
        <v>275972.55</v>
      </c>
      <c r="W1009" s="19">
        <f t="shared" si="8"/>
        <v>191599.55</v>
      </c>
    </row>
    <row r="1010">
      <c r="A1010" s="7">
        <v>7.6172403E8</v>
      </c>
      <c r="B1010" s="12">
        <v>42181.0</v>
      </c>
      <c r="C1010" s="7">
        <f t="shared" si="1"/>
        <v>2015</v>
      </c>
      <c r="D1010" s="14" t="str">
        <f t="shared" si="2"/>
        <v>06 - Jun</v>
      </c>
      <c r="E1010" s="15" t="str">
        <f t="shared" si="3"/>
        <v>Fri</v>
      </c>
      <c r="F1010" s="15">
        <f t="shared" si="4"/>
        <v>5</v>
      </c>
      <c r="G1010" s="16">
        <v>42229.0</v>
      </c>
      <c r="H1010" s="14">
        <f t="shared" si="5"/>
        <v>48</v>
      </c>
      <c r="I1010" s="7" t="s">
        <v>399</v>
      </c>
      <c r="J1010" s="7" t="s">
        <v>348</v>
      </c>
      <c r="K1010" s="7" t="s">
        <v>348</v>
      </c>
      <c r="L1010" s="7" t="s">
        <v>348</v>
      </c>
      <c r="M1010" s="7" t="s">
        <v>348</v>
      </c>
      <c r="N1010" s="7">
        <v>1270.0</v>
      </c>
      <c r="O1010" s="7" t="str">
        <f>VLOOKUP(N1010, products, 2, FALSE)</f>
        <v>Beverages</v>
      </c>
      <c r="P1010" s="7" t="s">
        <v>264</v>
      </c>
      <c r="Q1010" s="7">
        <v>9923.0</v>
      </c>
      <c r="R1010" s="17">
        <v>47.45</v>
      </c>
      <c r="S1010" s="17">
        <v>31.79</v>
      </c>
      <c r="U1010" s="18">
        <f t="shared" si="6"/>
        <v>470846.35</v>
      </c>
      <c r="V1010" s="18">
        <f t="shared" si="7"/>
        <v>315452.17</v>
      </c>
      <c r="W1010" s="19">
        <f t="shared" si="8"/>
        <v>155394.18</v>
      </c>
    </row>
    <row r="1011">
      <c r="A1011" s="7">
        <v>7.61887109E8</v>
      </c>
      <c r="B1011" s="12">
        <v>42633.0</v>
      </c>
      <c r="C1011" s="7">
        <f t="shared" si="1"/>
        <v>2016</v>
      </c>
      <c r="D1011" s="14" t="str">
        <f t="shared" si="2"/>
        <v>09 - Sep</v>
      </c>
      <c r="E1011" s="15" t="str">
        <f t="shared" si="3"/>
        <v>Tue</v>
      </c>
      <c r="F1011" s="15">
        <f t="shared" si="4"/>
        <v>2</v>
      </c>
      <c r="G1011" s="16">
        <v>42657.0</v>
      </c>
      <c r="H1011" s="14">
        <f t="shared" si="5"/>
        <v>24</v>
      </c>
      <c r="I1011" s="7" t="s">
        <v>232</v>
      </c>
      <c r="J1011" s="7" t="s">
        <v>124</v>
      </c>
      <c r="K1011" s="7" t="str">
        <f>VLOOKUP(J1011,countries,2,false)</f>
        <v>Belgium</v>
      </c>
      <c r="L1011" s="7" t="str">
        <f>VLOOKUP($J1011,countries,5,false)</f>
        <v>Europe</v>
      </c>
      <c r="M1011" s="7" t="str">
        <f>VLOOKUP($J1011,countries,6,false)</f>
        <v>Western Europe</v>
      </c>
      <c r="N1011" s="7">
        <v>2455.0</v>
      </c>
      <c r="O1011" s="7" t="str">
        <f>VLOOKUP(N1011, products, 2, FALSE)</f>
        <v>Clothes</v>
      </c>
      <c r="P1011" s="7" t="s">
        <v>334</v>
      </c>
      <c r="Q1011" s="7">
        <v>8181.0</v>
      </c>
      <c r="R1011" s="17">
        <v>109.28</v>
      </c>
      <c r="S1011" s="17">
        <v>35.84</v>
      </c>
      <c r="U1011" s="18">
        <f t="shared" si="6"/>
        <v>894019.68</v>
      </c>
      <c r="V1011" s="18">
        <f t="shared" si="7"/>
        <v>293207.04</v>
      </c>
      <c r="W1011" s="19">
        <f t="shared" si="8"/>
        <v>600812.64</v>
      </c>
    </row>
    <row r="1012">
      <c r="A1012" s="7">
        <v>7.62117564E8</v>
      </c>
      <c r="B1012" s="12">
        <v>40600.0</v>
      </c>
      <c r="C1012" s="7">
        <f t="shared" si="1"/>
        <v>2011</v>
      </c>
      <c r="D1012" s="14" t="str">
        <f t="shared" si="2"/>
        <v>02 - Feb</v>
      </c>
      <c r="E1012" s="15" t="str">
        <f t="shared" si="3"/>
        <v>Sat</v>
      </c>
      <c r="F1012" s="15">
        <f t="shared" si="4"/>
        <v>6</v>
      </c>
      <c r="G1012" s="16">
        <v>40630.0</v>
      </c>
      <c r="H1012" s="14">
        <f t="shared" si="5"/>
        <v>30</v>
      </c>
      <c r="I1012" s="7" t="s">
        <v>232</v>
      </c>
      <c r="J1012" s="7" t="s">
        <v>771</v>
      </c>
      <c r="K1012" s="7" t="str">
        <f>VLOOKUP(J1012,countries,2,false)</f>
        <v>Ukraine</v>
      </c>
      <c r="L1012" s="7" t="str">
        <f>VLOOKUP($J1012,countries,5,false)</f>
        <v>Europe</v>
      </c>
      <c r="M1012" s="7" t="str">
        <f>VLOOKUP($J1012,countries,6,false)</f>
        <v>Eastern Europe</v>
      </c>
      <c r="N1012" s="7">
        <v>3127.0</v>
      </c>
      <c r="O1012" s="7" t="str">
        <f>VLOOKUP(N1012, products, 2, FALSE)</f>
        <v>Personal Care</v>
      </c>
      <c r="P1012" s="7" t="s">
        <v>264</v>
      </c>
      <c r="Q1012" s="7">
        <v>6378.0</v>
      </c>
      <c r="R1012" s="17">
        <v>81.73</v>
      </c>
      <c r="S1012" s="17">
        <v>56.67</v>
      </c>
      <c r="U1012" s="18">
        <f t="shared" si="6"/>
        <v>521273.94</v>
      </c>
      <c r="V1012" s="18">
        <f t="shared" si="7"/>
        <v>361441.26</v>
      </c>
      <c r="W1012" s="19">
        <f t="shared" si="8"/>
        <v>159832.68</v>
      </c>
    </row>
    <row r="1013">
      <c r="A1013" s="7">
        <v>7.62655293E8</v>
      </c>
      <c r="B1013" s="12">
        <v>40467.0</v>
      </c>
      <c r="C1013" s="7">
        <f t="shared" si="1"/>
        <v>2010</v>
      </c>
      <c r="D1013" s="14" t="str">
        <f t="shared" si="2"/>
        <v>10 - Oct</v>
      </c>
      <c r="E1013" s="15" t="str">
        <f t="shared" si="3"/>
        <v>Sat</v>
      </c>
      <c r="F1013" s="15">
        <f t="shared" si="4"/>
        <v>6</v>
      </c>
      <c r="G1013" s="16">
        <v>40493.0</v>
      </c>
      <c r="H1013" s="14">
        <f t="shared" si="5"/>
        <v>26</v>
      </c>
      <c r="I1013" s="7" t="s">
        <v>399</v>
      </c>
      <c r="J1013" s="7" t="s">
        <v>296</v>
      </c>
      <c r="K1013" s="7" t="str">
        <f>VLOOKUP(J1013,countries,2,false)</f>
        <v>France</v>
      </c>
      <c r="L1013" s="7" t="str">
        <f>VLOOKUP($J1013,countries,5,false)</f>
        <v>Europe</v>
      </c>
      <c r="M1013" s="7" t="str">
        <f>VLOOKUP($J1013,countries,6,false)</f>
        <v>Western Europe</v>
      </c>
      <c r="N1013" s="7">
        <v>3127.0</v>
      </c>
      <c r="O1013" s="7" t="str">
        <f>VLOOKUP(N1013, products, 2, FALSE)</f>
        <v>Personal Care</v>
      </c>
      <c r="P1013" s="7" t="s">
        <v>264</v>
      </c>
      <c r="Q1013" s="7">
        <v>5504.0</v>
      </c>
      <c r="R1013" s="17">
        <v>81.73</v>
      </c>
      <c r="S1013" s="17">
        <v>56.67</v>
      </c>
      <c r="U1013" s="18">
        <f t="shared" si="6"/>
        <v>449841.92</v>
      </c>
      <c r="V1013" s="18">
        <f t="shared" si="7"/>
        <v>311911.68</v>
      </c>
      <c r="W1013" s="19">
        <f t="shared" si="8"/>
        <v>137930.24</v>
      </c>
    </row>
    <row r="1014">
      <c r="A1014" s="7">
        <v>7.64483058E8</v>
      </c>
      <c r="B1014" s="12">
        <v>41826.0</v>
      </c>
      <c r="C1014" s="7">
        <f t="shared" si="1"/>
        <v>2014</v>
      </c>
      <c r="D1014" s="14" t="str">
        <f t="shared" si="2"/>
        <v>07 - Jul</v>
      </c>
      <c r="E1014" s="15" t="str">
        <f t="shared" si="3"/>
        <v>Sun</v>
      </c>
      <c r="F1014" s="15">
        <f t="shared" si="4"/>
        <v>7</v>
      </c>
      <c r="G1014" s="16">
        <v>41856.0</v>
      </c>
      <c r="H1014" s="14">
        <f t="shared" si="5"/>
        <v>30</v>
      </c>
      <c r="I1014" s="7" t="s">
        <v>305</v>
      </c>
      <c r="J1014" s="7" t="s">
        <v>465</v>
      </c>
      <c r="K1014" s="7" t="str">
        <f>VLOOKUP(J1014,countries,2,false)</f>
        <v>Lithuania</v>
      </c>
      <c r="L1014" s="7" t="str">
        <f>VLOOKUP($J1014,countries,5,false)</f>
        <v>Europe</v>
      </c>
      <c r="M1014" s="7" t="str">
        <f>VLOOKUP($J1014,countries,6,false)</f>
        <v>Northern Europe</v>
      </c>
      <c r="N1014" s="7">
        <v>8875.0</v>
      </c>
      <c r="O1014" s="7" t="str">
        <f>VLOOKUP(N1014, products, 2, FALSE)</f>
        <v>Meat</v>
      </c>
      <c r="P1014" s="7" t="s">
        <v>334</v>
      </c>
      <c r="Q1014" s="7">
        <v>6380.0</v>
      </c>
      <c r="R1014" s="17">
        <v>421.89</v>
      </c>
      <c r="S1014" s="17">
        <v>364.69</v>
      </c>
      <c r="U1014" s="18">
        <f t="shared" si="6"/>
        <v>2691658.2</v>
      </c>
      <c r="V1014" s="18">
        <f t="shared" si="7"/>
        <v>2326722.2</v>
      </c>
      <c r="W1014" s="19">
        <f t="shared" si="8"/>
        <v>364936</v>
      </c>
    </row>
    <row r="1015">
      <c r="A1015" s="7">
        <v>7.64592492E8</v>
      </c>
      <c r="B1015" s="12">
        <v>42530.0</v>
      </c>
      <c r="C1015" s="7">
        <f t="shared" si="1"/>
        <v>2016</v>
      </c>
      <c r="D1015" s="14" t="str">
        <f t="shared" si="2"/>
        <v>06 - Jun</v>
      </c>
      <c r="E1015" s="15" t="str">
        <f t="shared" si="3"/>
        <v>Thu</v>
      </c>
      <c r="F1015" s="15">
        <f t="shared" si="4"/>
        <v>4</v>
      </c>
      <c r="G1015" s="16">
        <v>42570.0</v>
      </c>
      <c r="H1015" s="14">
        <f t="shared" si="5"/>
        <v>40</v>
      </c>
      <c r="I1015" s="7" t="s">
        <v>232</v>
      </c>
      <c r="J1015" s="7" t="s">
        <v>406</v>
      </c>
      <c r="K1015" s="7" t="str">
        <f>VLOOKUP(J1015,countries,2,false)</f>
        <v>Italy</v>
      </c>
      <c r="L1015" s="7" t="str">
        <f>VLOOKUP($J1015,countries,5,false)</f>
        <v>Europe</v>
      </c>
      <c r="M1015" s="7" t="str">
        <f>VLOOKUP($J1015,countries,6,false)</f>
        <v>Southern Europe</v>
      </c>
      <c r="N1015" s="7">
        <v>8681.0</v>
      </c>
      <c r="O1015" s="7" t="str">
        <f>VLOOKUP(N1015, products, 2, FALSE)</f>
        <v>Office Supplies</v>
      </c>
      <c r="P1015" s="7" t="s">
        <v>334</v>
      </c>
      <c r="Q1015" s="7">
        <v>8764.0</v>
      </c>
      <c r="R1015" s="17">
        <v>651.21</v>
      </c>
      <c r="S1015" s="17">
        <v>524.96</v>
      </c>
      <c r="U1015" s="18">
        <f t="shared" si="6"/>
        <v>5707204.44</v>
      </c>
      <c r="V1015" s="18">
        <f t="shared" si="7"/>
        <v>4600749.44</v>
      </c>
      <c r="W1015" s="19">
        <f t="shared" si="8"/>
        <v>1106455</v>
      </c>
    </row>
    <row r="1016">
      <c r="A1016" s="7">
        <v>7.6481136E8</v>
      </c>
      <c r="B1016" s="12">
        <v>41171.0</v>
      </c>
      <c r="C1016" s="7">
        <f t="shared" si="1"/>
        <v>2012</v>
      </c>
      <c r="D1016" s="14" t="str">
        <f t="shared" si="2"/>
        <v>09 - Sep</v>
      </c>
      <c r="E1016" s="15" t="str">
        <f t="shared" si="3"/>
        <v>Wed</v>
      </c>
      <c r="F1016" s="15">
        <f t="shared" si="4"/>
        <v>3</v>
      </c>
      <c r="G1016" s="16">
        <v>41182.0</v>
      </c>
      <c r="H1016" s="14">
        <f t="shared" si="5"/>
        <v>11</v>
      </c>
      <c r="I1016" s="7" t="s">
        <v>305</v>
      </c>
      <c r="J1016" s="7" t="s">
        <v>296</v>
      </c>
      <c r="K1016" s="7" t="str">
        <f>VLOOKUP(J1016,countries,2,false)</f>
        <v>France</v>
      </c>
      <c r="L1016" s="7" t="str">
        <f>VLOOKUP($J1016,countries,5,false)</f>
        <v>Europe</v>
      </c>
      <c r="M1016" s="7" t="str">
        <f>VLOOKUP($J1016,countries,6,false)</f>
        <v>Western Europe</v>
      </c>
      <c r="N1016" s="7">
        <v>2103.0</v>
      </c>
      <c r="O1016" s="7" t="str">
        <f>VLOOKUP(N1016, products, 2, FALSE)</f>
        <v>Cereal</v>
      </c>
      <c r="P1016" s="7" t="s">
        <v>264</v>
      </c>
      <c r="Q1016" s="7">
        <v>3532.0</v>
      </c>
      <c r="R1016" s="17">
        <v>205.7</v>
      </c>
      <c r="S1016" s="17">
        <v>117.11</v>
      </c>
      <c r="U1016" s="18">
        <f t="shared" si="6"/>
        <v>726532.4</v>
      </c>
      <c r="V1016" s="18">
        <f t="shared" si="7"/>
        <v>413632.52</v>
      </c>
      <c r="W1016" s="19">
        <f t="shared" si="8"/>
        <v>312899.88</v>
      </c>
    </row>
    <row r="1017">
      <c r="A1017" s="7">
        <v>7.64837539E8</v>
      </c>
      <c r="B1017" s="12">
        <v>42619.0</v>
      </c>
      <c r="C1017" s="7">
        <f t="shared" si="1"/>
        <v>2016</v>
      </c>
      <c r="D1017" s="14" t="str">
        <f t="shared" si="2"/>
        <v>09 - Sep</v>
      </c>
      <c r="E1017" s="15" t="str">
        <f t="shared" si="3"/>
        <v>Tue</v>
      </c>
      <c r="F1017" s="15">
        <f t="shared" si="4"/>
        <v>2</v>
      </c>
      <c r="G1017" s="16">
        <v>42619.0</v>
      </c>
      <c r="H1017" s="14">
        <f t="shared" si="5"/>
        <v>0</v>
      </c>
      <c r="I1017" s="7" t="s">
        <v>364</v>
      </c>
      <c r="J1017" s="7" t="s">
        <v>246</v>
      </c>
      <c r="K1017" s="7" t="str">
        <f>VLOOKUP(J1017,countries,2,false)</f>
        <v>Denmark</v>
      </c>
      <c r="L1017" s="7" t="str">
        <f>VLOOKUP($J1017,countries,5,false)</f>
        <v>Europe</v>
      </c>
      <c r="M1017" s="7" t="str">
        <f>VLOOKUP($J1017,countries,6,false)</f>
        <v>Northern Europe</v>
      </c>
      <c r="N1017" s="7">
        <v>7331.0</v>
      </c>
      <c r="O1017" s="7" t="str">
        <f>VLOOKUP(N1017, products, 2, FALSE)</f>
        <v>Baby Food</v>
      </c>
      <c r="P1017" s="7" t="s">
        <v>264</v>
      </c>
      <c r="Q1017" s="7">
        <v>1279.0</v>
      </c>
      <c r="R1017" s="17">
        <v>255.28</v>
      </c>
      <c r="S1017" s="17">
        <v>159.42</v>
      </c>
      <c r="U1017" s="18">
        <f t="shared" si="6"/>
        <v>326503.12</v>
      </c>
      <c r="V1017" s="18">
        <f t="shared" si="7"/>
        <v>203898.18</v>
      </c>
      <c r="W1017" s="19">
        <f t="shared" si="8"/>
        <v>122604.94</v>
      </c>
    </row>
    <row r="1018">
      <c r="A1018" s="7">
        <v>7.65101468E8</v>
      </c>
      <c r="B1018" s="12">
        <v>41712.0</v>
      </c>
      <c r="C1018" s="7">
        <f t="shared" si="1"/>
        <v>2014</v>
      </c>
      <c r="D1018" s="14" t="str">
        <f t="shared" si="2"/>
        <v>03 - Mar</v>
      </c>
      <c r="E1018" s="15" t="str">
        <f t="shared" si="3"/>
        <v>Fri</v>
      </c>
      <c r="F1018" s="15">
        <f t="shared" si="4"/>
        <v>5</v>
      </c>
      <c r="G1018" s="16">
        <v>41735.0</v>
      </c>
      <c r="H1018" s="14">
        <f t="shared" si="5"/>
        <v>23</v>
      </c>
      <c r="I1018" s="7" t="s">
        <v>399</v>
      </c>
      <c r="J1018" s="7" t="s">
        <v>447</v>
      </c>
      <c r="K1018" s="7" t="str">
        <f>VLOOKUP(J1018,countries,2,false)</f>
        <v>Latvia</v>
      </c>
      <c r="L1018" s="7" t="str">
        <f>VLOOKUP($J1018,countries,5,false)</f>
        <v>Europe</v>
      </c>
      <c r="M1018" s="7" t="str">
        <f>VLOOKUP($J1018,countries,6,false)</f>
        <v>Northern Europe</v>
      </c>
      <c r="N1018" s="7">
        <v>8293.0</v>
      </c>
      <c r="O1018" s="7" t="str">
        <f>VLOOKUP(N1018, products, 2, FALSE)</f>
        <v>Cosmetics</v>
      </c>
      <c r="P1018" s="7" t="s">
        <v>264</v>
      </c>
      <c r="Q1018" s="7">
        <v>9382.0</v>
      </c>
      <c r="R1018" s="17">
        <v>437.2</v>
      </c>
      <c r="S1018" s="17">
        <v>263.33</v>
      </c>
      <c r="U1018" s="18">
        <f t="shared" si="6"/>
        <v>4101810.4</v>
      </c>
      <c r="V1018" s="18">
        <f t="shared" si="7"/>
        <v>2470562.06</v>
      </c>
      <c r="W1018" s="19">
        <f t="shared" si="8"/>
        <v>1631248.34</v>
      </c>
    </row>
    <row r="1019">
      <c r="A1019" s="7">
        <v>7.65552079E8</v>
      </c>
      <c r="B1019" s="12">
        <v>40704.0</v>
      </c>
      <c r="C1019" s="7">
        <f t="shared" si="1"/>
        <v>2011</v>
      </c>
      <c r="D1019" s="14" t="str">
        <f t="shared" si="2"/>
        <v>06 - Jun</v>
      </c>
      <c r="E1019" s="15" t="str">
        <f t="shared" si="3"/>
        <v>Fri</v>
      </c>
      <c r="F1019" s="15">
        <f t="shared" si="4"/>
        <v>5</v>
      </c>
      <c r="G1019" s="16">
        <v>40741.0</v>
      </c>
      <c r="H1019" s="14">
        <f t="shared" si="5"/>
        <v>37</v>
      </c>
      <c r="I1019" s="7" t="s">
        <v>232</v>
      </c>
      <c r="J1019" s="7" t="s">
        <v>435</v>
      </c>
      <c r="K1019" s="7" t="str">
        <f>VLOOKUP(J1019,countries,2,false)</f>
        <v>Slovakia</v>
      </c>
      <c r="L1019" s="7" t="str">
        <f>VLOOKUP($J1019,countries,5,false)</f>
        <v>Europe</v>
      </c>
      <c r="M1019" s="7" t="str">
        <f>VLOOKUP($J1019,countries,6,false)</f>
        <v>Eastern Europe</v>
      </c>
      <c r="N1019" s="7">
        <v>8969.0</v>
      </c>
      <c r="O1019" s="7" t="str">
        <f>VLOOKUP(N1019, products, 2, FALSE)</f>
        <v>Snacks</v>
      </c>
      <c r="P1019" s="7" t="s">
        <v>334</v>
      </c>
      <c r="Q1019" s="7">
        <v>2727.0</v>
      </c>
      <c r="R1019" s="17">
        <v>152.58</v>
      </c>
      <c r="S1019" s="17">
        <v>97.44</v>
      </c>
      <c r="U1019" s="18">
        <f t="shared" si="6"/>
        <v>416085.66</v>
      </c>
      <c r="V1019" s="18">
        <f t="shared" si="7"/>
        <v>265718.88</v>
      </c>
      <c r="W1019" s="19">
        <f t="shared" si="8"/>
        <v>150366.78</v>
      </c>
    </row>
    <row r="1020">
      <c r="A1020" s="7">
        <v>7.6573404E8</v>
      </c>
      <c r="B1020" s="12">
        <v>42926.0</v>
      </c>
      <c r="C1020" s="7">
        <f t="shared" si="1"/>
        <v>2017</v>
      </c>
      <c r="D1020" s="14" t="str">
        <f t="shared" si="2"/>
        <v>07 - Jul</v>
      </c>
      <c r="E1020" s="15" t="str">
        <f t="shared" si="3"/>
        <v>Mon</v>
      </c>
      <c r="F1020" s="15">
        <f t="shared" si="4"/>
        <v>1</v>
      </c>
      <c r="G1020" s="16">
        <v>42951.0</v>
      </c>
      <c r="H1020" s="14">
        <f t="shared" si="5"/>
        <v>25</v>
      </c>
      <c r="I1020" s="7" t="s">
        <v>364</v>
      </c>
      <c r="J1020" s="7" t="s">
        <v>656</v>
      </c>
      <c r="K1020" s="7" t="str">
        <f>VLOOKUP(J1020,countries,2,false)</f>
        <v>San Marino</v>
      </c>
      <c r="L1020" s="7" t="str">
        <f>VLOOKUP($J1020,countries,5,false)</f>
        <v>Europe</v>
      </c>
      <c r="M1020" s="7" t="str">
        <f>VLOOKUP($J1020,countries,6,false)</f>
        <v>Southern Europe</v>
      </c>
      <c r="N1020" s="7">
        <v>4594.0</v>
      </c>
      <c r="O1020" s="7" t="str">
        <f>VLOOKUP(N1020, products, 2, FALSE)</f>
        <v>Fruits</v>
      </c>
      <c r="P1020" s="7" t="s">
        <v>264</v>
      </c>
      <c r="Q1020" s="7">
        <v>6574.0</v>
      </c>
      <c r="R1020" s="17">
        <v>9.33</v>
      </c>
      <c r="S1020" s="17">
        <v>6.92</v>
      </c>
      <c r="U1020" s="18">
        <f t="shared" si="6"/>
        <v>61335.42</v>
      </c>
      <c r="V1020" s="18">
        <f t="shared" si="7"/>
        <v>45492.08</v>
      </c>
      <c r="W1020" s="19">
        <f t="shared" si="8"/>
        <v>15843.34</v>
      </c>
    </row>
    <row r="1021">
      <c r="A1021" s="7">
        <v>7.65858924E8</v>
      </c>
      <c r="B1021" s="12">
        <v>41809.0</v>
      </c>
      <c r="C1021" s="7">
        <f t="shared" si="1"/>
        <v>2014</v>
      </c>
      <c r="D1021" s="14" t="str">
        <f t="shared" si="2"/>
        <v>06 - Jun</v>
      </c>
      <c r="E1021" s="15" t="str">
        <f t="shared" si="3"/>
        <v>Thu</v>
      </c>
      <c r="F1021" s="15">
        <f t="shared" si="4"/>
        <v>4</v>
      </c>
      <c r="G1021" s="16">
        <v>41841.0</v>
      </c>
      <c r="H1021" s="14">
        <f t="shared" si="5"/>
        <v>32</v>
      </c>
      <c r="I1021" s="7" t="s">
        <v>399</v>
      </c>
      <c r="J1021" s="7" t="s">
        <v>623</v>
      </c>
      <c r="K1021" s="7" t="str">
        <f>VLOOKUP(J1021,countries,2,false)</f>
        <v>Romania</v>
      </c>
      <c r="L1021" s="7" t="str">
        <f>VLOOKUP($J1021,countries,5,false)</f>
        <v>Europe</v>
      </c>
      <c r="M1021" s="7" t="str">
        <f>VLOOKUP($J1021,countries,6,false)</f>
        <v>Eastern Europe</v>
      </c>
      <c r="N1021" s="7">
        <v>7940.0</v>
      </c>
      <c r="O1021" s="7" t="str">
        <f>VLOOKUP(N1021, products, 2, FALSE)</f>
        <v>Household</v>
      </c>
      <c r="P1021" s="7" t="s">
        <v>334</v>
      </c>
      <c r="Q1021" s="7">
        <v>3530.0</v>
      </c>
      <c r="R1021" s="17">
        <v>668.27</v>
      </c>
      <c r="S1021" s="17">
        <v>502.54</v>
      </c>
      <c r="U1021" s="18">
        <f t="shared" si="6"/>
        <v>2358993.1</v>
      </c>
      <c r="V1021" s="18">
        <f t="shared" si="7"/>
        <v>1773966.2</v>
      </c>
      <c r="W1021" s="19">
        <f t="shared" si="8"/>
        <v>585026.9</v>
      </c>
    </row>
    <row r="1022">
      <c r="A1022" s="7">
        <v>7.66118133E8</v>
      </c>
      <c r="B1022" s="12">
        <v>40460.0</v>
      </c>
      <c r="C1022" s="7">
        <f t="shared" si="1"/>
        <v>2010</v>
      </c>
      <c r="D1022" s="14" t="str">
        <f t="shared" si="2"/>
        <v>10 - Oct</v>
      </c>
      <c r="E1022" s="15" t="str">
        <f t="shared" si="3"/>
        <v>Sat</v>
      </c>
      <c r="F1022" s="15">
        <f t="shared" si="4"/>
        <v>6</v>
      </c>
      <c r="G1022" s="16">
        <v>40461.0</v>
      </c>
      <c r="H1022" s="14">
        <f t="shared" si="5"/>
        <v>1</v>
      </c>
      <c r="I1022" s="7" t="s">
        <v>305</v>
      </c>
      <c r="J1022" s="7" t="s">
        <v>717</v>
      </c>
      <c r="K1022" s="7" t="str">
        <f>VLOOKUP(J1022,countries,2,false)</f>
        <v>Sweden</v>
      </c>
      <c r="L1022" s="7" t="str">
        <f>VLOOKUP($J1022,countries,5,false)</f>
        <v>Europe</v>
      </c>
      <c r="M1022" s="7" t="str">
        <f>VLOOKUP($J1022,countries,6,false)</f>
        <v>Northern Europe</v>
      </c>
      <c r="N1022" s="7">
        <v>7940.0</v>
      </c>
      <c r="O1022" s="7" t="str">
        <f>VLOOKUP(N1022, products, 2, FALSE)</f>
        <v>Household</v>
      </c>
      <c r="P1022" s="7" t="s">
        <v>334</v>
      </c>
      <c r="Q1022" s="7">
        <v>235.0</v>
      </c>
      <c r="R1022" s="17">
        <v>668.27</v>
      </c>
      <c r="S1022" s="17">
        <v>502.54</v>
      </c>
      <c r="U1022" s="18">
        <f t="shared" si="6"/>
        <v>157043.45</v>
      </c>
      <c r="V1022" s="18">
        <f t="shared" si="7"/>
        <v>118096.9</v>
      </c>
      <c r="W1022" s="19">
        <f t="shared" si="8"/>
        <v>38946.55</v>
      </c>
    </row>
    <row r="1023">
      <c r="A1023" s="7">
        <v>7.67490565E8</v>
      </c>
      <c r="B1023" s="12">
        <v>42385.0</v>
      </c>
      <c r="C1023" s="7">
        <f t="shared" si="1"/>
        <v>2016</v>
      </c>
      <c r="D1023" s="14" t="str">
        <f t="shared" si="2"/>
        <v>01 - Jan</v>
      </c>
      <c r="E1023" s="15" t="str">
        <f t="shared" si="3"/>
        <v>Sat</v>
      </c>
      <c r="F1023" s="15">
        <f t="shared" si="4"/>
        <v>6</v>
      </c>
      <c r="G1023" s="16">
        <v>42423.0</v>
      </c>
      <c r="H1023" s="14">
        <f t="shared" si="5"/>
        <v>38</v>
      </c>
      <c r="I1023" s="7" t="s">
        <v>399</v>
      </c>
      <c r="J1023" s="7" t="s">
        <v>546</v>
      </c>
      <c r="K1023" s="7" t="str">
        <f>VLOOKUP(J1023,countries,2,false)</f>
        <v>Netherlands</v>
      </c>
      <c r="L1023" s="7" t="str">
        <f>VLOOKUP($J1023,countries,5,false)</f>
        <v>Europe</v>
      </c>
      <c r="M1023" s="7" t="str">
        <f>VLOOKUP($J1023,countries,6,false)</f>
        <v>Western Europe</v>
      </c>
      <c r="N1023" s="7">
        <v>2455.0</v>
      </c>
      <c r="O1023" s="7" t="str">
        <f>VLOOKUP(N1023, products, 2, FALSE)</f>
        <v>Clothes</v>
      </c>
      <c r="P1023" s="7" t="s">
        <v>264</v>
      </c>
      <c r="Q1023" s="7">
        <v>6368.0</v>
      </c>
      <c r="R1023" s="17">
        <v>109.28</v>
      </c>
      <c r="S1023" s="17">
        <v>35.84</v>
      </c>
      <c r="U1023" s="18">
        <f t="shared" si="6"/>
        <v>695895.04</v>
      </c>
      <c r="V1023" s="18">
        <f t="shared" si="7"/>
        <v>228229.12</v>
      </c>
      <c r="W1023" s="19">
        <f t="shared" si="8"/>
        <v>467665.92</v>
      </c>
    </row>
    <row r="1024">
      <c r="A1024" s="7">
        <v>7.68230426E8</v>
      </c>
      <c r="B1024" s="12">
        <v>40329.0</v>
      </c>
      <c r="C1024" s="7">
        <f t="shared" si="1"/>
        <v>2010</v>
      </c>
      <c r="D1024" s="14" t="str">
        <f t="shared" si="2"/>
        <v>05 - May</v>
      </c>
      <c r="E1024" s="15" t="str">
        <f t="shared" si="3"/>
        <v>Mon</v>
      </c>
      <c r="F1024" s="15">
        <f t="shared" si="4"/>
        <v>1</v>
      </c>
      <c r="G1024" s="16">
        <v>40351.0</v>
      </c>
      <c r="H1024" s="14">
        <f t="shared" si="5"/>
        <v>22</v>
      </c>
      <c r="I1024" s="7" t="s">
        <v>305</v>
      </c>
      <c r="J1024" s="7" t="s">
        <v>165</v>
      </c>
      <c r="K1024" s="7" t="str">
        <f>VLOOKUP(J1024,countries,2,false)</f>
        <v>Bulgaria</v>
      </c>
      <c r="L1024" s="7" t="str">
        <f>VLOOKUP($J1024,countries,5,false)</f>
        <v>Europe</v>
      </c>
      <c r="M1024" s="7" t="str">
        <f>VLOOKUP($J1024,countries,6,false)</f>
        <v>Eastern Europe</v>
      </c>
      <c r="N1024" s="7">
        <v>8969.0</v>
      </c>
      <c r="O1024" s="7" t="str">
        <f>VLOOKUP(N1024, products, 2, FALSE)</f>
        <v>Snacks</v>
      </c>
      <c r="P1024" s="7" t="s">
        <v>264</v>
      </c>
      <c r="Q1024" s="7">
        <v>5310.0</v>
      </c>
      <c r="R1024" s="17">
        <v>152.58</v>
      </c>
      <c r="S1024" s="17">
        <v>97.44</v>
      </c>
      <c r="U1024" s="18">
        <f t="shared" si="6"/>
        <v>810199.8</v>
      </c>
      <c r="V1024" s="18">
        <f t="shared" si="7"/>
        <v>517406.4</v>
      </c>
      <c r="W1024" s="19">
        <f t="shared" si="8"/>
        <v>292793.4</v>
      </c>
    </row>
    <row r="1025">
      <c r="A1025" s="7">
        <v>7.68676316E8</v>
      </c>
      <c r="B1025" s="12">
        <v>41645.0</v>
      </c>
      <c r="C1025" s="7">
        <f t="shared" si="1"/>
        <v>2014</v>
      </c>
      <c r="D1025" s="14" t="str">
        <f t="shared" si="2"/>
        <v>01 - Jan</v>
      </c>
      <c r="E1025" s="15" t="str">
        <f t="shared" si="3"/>
        <v>Mon</v>
      </c>
      <c r="F1025" s="15">
        <f t="shared" si="4"/>
        <v>1</v>
      </c>
      <c r="G1025" s="16">
        <v>41678.0</v>
      </c>
      <c r="H1025" s="14">
        <f t="shared" si="5"/>
        <v>33</v>
      </c>
      <c r="I1025" s="7" t="s">
        <v>364</v>
      </c>
      <c r="J1025" s="7" t="s">
        <v>378</v>
      </c>
      <c r="K1025" s="7" t="str">
        <f>VLOOKUP(J1025,countries,2,false)</f>
        <v>Hungary</v>
      </c>
      <c r="L1025" s="7" t="str">
        <f>VLOOKUP($J1025,countries,5,false)</f>
        <v>Europe</v>
      </c>
      <c r="M1025" s="7" t="str">
        <f>VLOOKUP($J1025,countries,6,false)</f>
        <v>Eastern Europe</v>
      </c>
      <c r="N1025" s="7">
        <v>5988.0</v>
      </c>
      <c r="O1025" s="7" t="str">
        <f>VLOOKUP(N1025, products, 2, FALSE)</f>
        <v>Vegetables</v>
      </c>
      <c r="P1025" s="7" t="s">
        <v>334</v>
      </c>
      <c r="Q1025" s="7">
        <v>7259.0</v>
      </c>
      <c r="R1025" s="17">
        <v>154.06</v>
      </c>
      <c r="S1025" s="17">
        <v>90.93</v>
      </c>
      <c r="U1025" s="18">
        <f t="shared" si="6"/>
        <v>1118321.54</v>
      </c>
      <c r="V1025" s="18">
        <f t="shared" si="7"/>
        <v>660060.87</v>
      </c>
      <c r="W1025" s="19">
        <f t="shared" si="8"/>
        <v>458260.67</v>
      </c>
    </row>
    <row r="1026">
      <c r="A1026" s="7">
        <v>7.70821654E8</v>
      </c>
      <c r="B1026" s="12">
        <v>41846.0</v>
      </c>
      <c r="C1026" s="7">
        <f t="shared" si="1"/>
        <v>2014</v>
      </c>
      <c r="D1026" s="14" t="str">
        <f t="shared" si="2"/>
        <v>07 - Jul</v>
      </c>
      <c r="E1026" s="15" t="str">
        <f t="shared" si="3"/>
        <v>Sat</v>
      </c>
      <c r="F1026" s="15">
        <f t="shared" si="4"/>
        <v>6</v>
      </c>
      <c r="G1026" s="16">
        <v>41870.0</v>
      </c>
      <c r="H1026" s="14">
        <f t="shared" si="5"/>
        <v>24</v>
      </c>
      <c r="I1026" s="7" t="s">
        <v>305</v>
      </c>
      <c r="J1026" s="7" t="s">
        <v>348</v>
      </c>
      <c r="K1026" s="7" t="s">
        <v>348</v>
      </c>
      <c r="L1026" s="7" t="s">
        <v>348</v>
      </c>
      <c r="M1026" s="7" t="s">
        <v>348</v>
      </c>
      <c r="N1026" s="7">
        <v>8681.0</v>
      </c>
      <c r="O1026" s="7" t="str">
        <f>VLOOKUP(N1026, products, 2, FALSE)</f>
        <v>Office Supplies</v>
      </c>
      <c r="P1026" s="7" t="s">
        <v>334</v>
      </c>
      <c r="Q1026" s="7">
        <v>2112.0</v>
      </c>
      <c r="R1026" s="17">
        <v>651.21</v>
      </c>
      <c r="S1026" s="17">
        <v>524.96</v>
      </c>
      <c r="U1026" s="18">
        <f t="shared" si="6"/>
        <v>1375355.52</v>
      </c>
      <c r="V1026" s="18">
        <f t="shared" si="7"/>
        <v>1108715.52</v>
      </c>
      <c r="W1026" s="19">
        <f t="shared" si="8"/>
        <v>266640</v>
      </c>
    </row>
    <row r="1027">
      <c r="A1027" s="7">
        <v>7.71674382E8</v>
      </c>
      <c r="B1027" s="12">
        <v>41319.0</v>
      </c>
      <c r="C1027" s="7">
        <f t="shared" si="1"/>
        <v>2013</v>
      </c>
      <c r="D1027" s="14" t="str">
        <f t="shared" si="2"/>
        <v>02 - Feb</v>
      </c>
      <c r="E1027" s="15" t="str">
        <f t="shared" si="3"/>
        <v>Thu</v>
      </c>
      <c r="F1027" s="15">
        <f t="shared" si="4"/>
        <v>4</v>
      </c>
      <c r="G1027" s="16">
        <v>41354.0</v>
      </c>
      <c r="H1027" s="14">
        <f t="shared" si="5"/>
        <v>35</v>
      </c>
      <c r="I1027" s="7" t="s">
        <v>364</v>
      </c>
      <c r="J1027" s="7" t="s">
        <v>293</v>
      </c>
      <c r="K1027" s="7" t="str">
        <f>VLOOKUP(J1027,countries,2,false)</f>
        <v>Finland</v>
      </c>
      <c r="L1027" s="7" t="str">
        <f>VLOOKUP($J1027,countries,5,false)</f>
        <v>Europe</v>
      </c>
      <c r="M1027" s="7" t="str">
        <f>VLOOKUP($J1027,countries,6,false)</f>
        <v>Northern Europe</v>
      </c>
      <c r="N1027" s="7">
        <v>5988.0</v>
      </c>
      <c r="O1027" s="7" t="str">
        <f>VLOOKUP(N1027, products, 2, FALSE)</f>
        <v>Vegetables</v>
      </c>
      <c r="P1027" s="7" t="s">
        <v>334</v>
      </c>
      <c r="Q1027" s="7">
        <v>4453.0</v>
      </c>
      <c r="R1027" s="17">
        <v>154.06</v>
      </c>
      <c r="S1027" s="17">
        <v>90.93</v>
      </c>
      <c r="U1027" s="18">
        <f t="shared" si="6"/>
        <v>686029.18</v>
      </c>
      <c r="V1027" s="18">
        <f t="shared" si="7"/>
        <v>404911.29</v>
      </c>
      <c r="W1027" s="19">
        <f t="shared" si="8"/>
        <v>281117.89</v>
      </c>
    </row>
    <row r="1028">
      <c r="A1028" s="7">
        <v>7.72643411E8</v>
      </c>
      <c r="B1028" s="12">
        <v>40378.0</v>
      </c>
      <c r="C1028" s="7">
        <f t="shared" si="1"/>
        <v>2010</v>
      </c>
      <c r="D1028" s="14" t="str">
        <f t="shared" si="2"/>
        <v>07 - Jul</v>
      </c>
      <c r="E1028" s="15" t="str">
        <f t="shared" si="3"/>
        <v>Mon</v>
      </c>
      <c r="F1028" s="15">
        <f t="shared" si="4"/>
        <v>1</v>
      </c>
      <c r="G1028" s="16">
        <v>40415.0</v>
      </c>
      <c r="H1028" s="14">
        <f t="shared" si="5"/>
        <v>37</v>
      </c>
      <c r="I1028" s="7" t="s">
        <v>364</v>
      </c>
      <c r="J1028" s="7" t="s">
        <v>717</v>
      </c>
      <c r="K1028" s="7" t="str">
        <f>VLOOKUP(J1028,countries,2,false)</f>
        <v>Sweden</v>
      </c>
      <c r="L1028" s="7" t="str">
        <f>VLOOKUP($J1028,countries,5,false)</f>
        <v>Europe</v>
      </c>
      <c r="M1028" s="7" t="str">
        <f>VLOOKUP($J1028,countries,6,false)</f>
        <v>Northern Europe</v>
      </c>
      <c r="N1028" s="7">
        <v>2103.0</v>
      </c>
      <c r="O1028" s="7" t="str">
        <f>VLOOKUP(N1028, products, 2, FALSE)</f>
        <v>Cereal</v>
      </c>
      <c r="P1028" s="7" t="s">
        <v>264</v>
      </c>
      <c r="Q1028" s="7">
        <v>1210.0</v>
      </c>
      <c r="R1028" s="17">
        <v>205.7</v>
      </c>
      <c r="S1028" s="17">
        <v>117.11</v>
      </c>
      <c r="U1028" s="18">
        <f t="shared" si="6"/>
        <v>248897</v>
      </c>
      <c r="V1028" s="18">
        <f t="shared" si="7"/>
        <v>141703.1</v>
      </c>
      <c r="W1028" s="19">
        <f t="shared" si="8"/>
        <v>107193.9</v>
      </c>
    </row>
    <row r="1029">
      <c r="A1029" s="7">
        <v>7.72893178E8</v>
      </c>
      <c r="B1029" s="12">
        <v>40910.0</v>
      </c>
      <c r="C1029" s="7">
        <f t="shared" si="1"/>
        <v>2012</v>
      </c>
      <c r="D1029" s="14" t="str">
        <f t="shared" si="2"/>
        <v>01 - Jan</v>
      </c>
      <c r="E1029" s="15" t="str">
        <f t="shared" si="3"/>
        <v>Mon</v>
      </c>
      <c r="F1029" s="15">
        <f t="shared" si="4"/>
        <v>1</v>
      </c>
      <c r="G1029" s="16">
        <v>40910.0</v>
      </c>
      <c r="H1029" s="14">
        <f t="shared" si="5"/>
        <v>0</v>
      </c>
      <c r="I1029" s="7" t="s">
        <v>364</v>
      </c>
      <c r="J1029" s="7" t="s">
        <v>656</v>
      </c>
      <c r="K1029" s="7" t="str">
        <f>VLOOKUP(J1029,countries,2,false)</f>
        <v>San Marino</v>
      </c>
      <c r="L1029" s="7" t="str">
        <f>VLOOKUP($J1029,countries,5,false)</f>
        <v>Europe</v>
      </c>
      <c r="M1029" s="7" t="str">
        <f>VLOOKUP($J1029,countries,6,false)</f>
        <v>Southern Europe</v>
      </c>
      <c r="N1029" s="7">
        <v>1270.0</v>
      </c>
      <c r="O1029" s="7" t="str">
        <f>VLOOKUP(N1029, products, 2, FALSE)</f>
        <v>Beverages</v>
      </c>
      <c r="P1029" s="7" t="s">
        <v>334</v>
      </c>
      <c r="Q1029" s="7">
        <v>5122.0</v>
      </c>
      <c r="R1029" s="17">
        <v>47.45</v>
      </c>
      <c r="S1029" s="17">
        <v>31.79</v>
      </c>
      <c r="U1029" s="18">
        <f t="shared" si="6"/>
        <v>243038.9</v>
      </c>
      <c r="V1029" s="18">
        <f t="shared" si="7"/>
        <v>162828.38</v>
      </c>
      <c r="W1029" s="19">
        <f t="shared" si="8"/>
        <v>80210.52</v>
      </c>
    </row>
    <row r="1030">
      <c r="A1030" s="7">
        <v>7.73645913E8</v>
      </c>
      <c r="B1030" s="12">
        <v>40565.0</v>
      </c>
      <c r="C1030" s="7">
        <f t="shared" si="1"/>
        <v>2011</v>
      </c>
      <c r="D1030" s="14" t="str">
        <f t="shared" si="2"/>
        <v>01 - Jan</v>
      </c>
      <c r="E1030" s="15" t="str">
        <f t="shared" si="3"/>
        <v>Sat</v>
      </c>
      <c r="F1030" s="15">
        <f t="shared" si="4"/>
        <v>6</v>
      </c>
      <c r="G1030" s="16">
        <v>40571.0</v>
      </c>
      <c r="H1030" s="14">
        <f t="shared" si="5"/>
        <v>6</v>
      </c>
      <c r="I1030" s="7" t="s">
        <v>399</v>
      </c>
      <c r="J1030" s="7" t="s">
        <v>771</v>
      </c>
      <c r="K1030" s="7" t="str">
        <f>VLOOKUP(J1030,countries,2,false)</f>
        <v>Ukraine</v>
      </c>
      <c r="L1030" s="7" t="str">
        <f>VLOOKUP($J1030,countries,5,false)</f>
        <v>Europe</v>
      </c>
      <c r="M1030" s="7" t="str">
        <f>VLOOKUP($J1030,countries,6,false)</f>
        <v>Eastern Europe</v>
      </c>
      <c r="N1030" s="7">
        <v>8293.0</v>
      </c>
      <c r="O1030" s="7" t="str">
        <f>VLOOKUP(N1030, products, 2, FALSE)</f>
        <v>Cosmetics</v>
      </c>
      <c r="P1030" s="7" t="s">
        <v>264</v>
      </c>
      <c r="Q1030" s="7">
        <v>7873.0</v>
      </c>
      <c r="R1030" s="17">
        <v>437.2</v>
      </c>
      <c r="S1030" s="17">
        <v>263.33</v>
      </c>
      <c r="U1030" s="18">
        <f t="shared" si="6"/>
        <v>3442075.6</v>
      </c>
      <c r="V1030" s="18">
        <f t="shared" si="7"/>
        <v>2073197.09</v>
      </c>
      <c r="W1030" s="19">
        <f t="shared" si="8"/>
        <v>1368878.51</v>
      </c>
    </row>
    <row r="1031">
      <c r="A1031" s="7">
        <v>7.74698626E8</v>
      </c>
      <c r="B1031" s="12">
        <v>42441.0</v>
      </c>
      <c r="C1031" s="7">
        <f t="shared" si="1"/>
        <v>2016</v>
      </c>
      <c r="D1031" s="14" t="str">
        <f t="shared" si="2"/>
        <v>03 - Mar</v>
      </c>
      <c r="E1031" s="15" t="str">
        <f t="shared" si="3"/>
        <v>Sat</v>
      </c>
      <c r="F1031" s="15">
        <f t="shared" si="4"/>
        <v>6</v>
      </c>
      <c r="G1031" s="16">
        <v>42467.0</v>
      </c>
      <c r="H1031" s="14">
        <f t="shared" si="5"/>
        <v>26</v>
      </c>
      <c r="I1031" s="7" t="s">
        <v>364</v>
      </c>
      <c r="J1031" s="7" t="s">
        <v>165</v>
      </c>
      <c r="K1031" s="7" t="str">
        <f>VLOOKUP(J1031,countries,2,false)</f>
        <v>Bulgaria</v>
      </c>
      <c r="L1031" s="7" t="str">
        <f>VLOOKUP($J1031,countries,5,false)</f>
        <v>Europe</v>
      </c>
      <c r="M1031" s="7" t="str">
        <f>VLOOKUP($J1031,countries,6,false)</f>
        <v>Eastern Europe</v>
      </c>
      <c r="N1031" s="7">
        <v>4594.0</v>
      </c>
      <c r="O1031" s="7" t="str">
        <f>VLOOKUP(N1031, products, 2, FALSE)</f>
        <v>Fruits</v>
      </c>
      <c r="P1031" s="7" t="s">
        <v>264</v>
      </c>
      <c r="Q1031" s="7">
        <v>9394.0</v>
      </c>
      <c r="R1031" s="17">
        <v>9.33</v>
      </c>
      <c r="S1031" s="17">
        <v>6.92</v>
      </c>
      <c r="U1031" s="18">
        <f t="shared" si="6"/>
        <v>87646.02</v>
      </c>
      <c r="V1031" s="18">
        <f t="shared" si="7"/>
        <v>65006.48</v>
      </c>
      <c r="W1031" s="19">
        <f t="shared" si="8"/>
        <v>22639.54</v>
      </c>
    </row>
    <row r="1032">
      <c r="A1032" s="7">
        <v>7.74926936E8</v>
      </c>
      <c r="B1032" s="12">
        <v>41967.0</v>
      </c>
      <c r="C1032" s="7">
        <f t="shared" si="1"/>
        <v>2014</v>
      </c>
      <c r="D1032" s="14" t="str">
        <f t="shared" si="2"/>
        <v>11 - Nov</v>
      </c>
      <c r="E1032" s="15" t="str">
        <f t="shared" si="3"/>
        <v>Mon</v>
      </c>
      <c r="F1032" s="15">
        <f t="shared" si="4"/>
        <v>1</v>
      </c>
      <c r="G1032" s="16">
        <v>41970.0</v>
      </c>
      <c r="H1032" s="14">
        <f t="shared" si="5"/>
        <v>3</v>
      </c>
      <c r="I1032" s="7" t="s">
        <v>232</v>
      </c>
      <c r="J1032" s="7" t="s">
        <v>243</v>
      </c>
      <c r="K1032" s="7" t="str">
        <f>VLOOKUP(J1032,countries,2,false)</f>
        <v>Czech Republic</v>
      </c>
      <c r="L1032" s="7" t="str">
        <f>VLOOKUP($J1032,countries,5,false)</f>
        <v>Europe</v>
      </c>
      <c r="M1032" s="7" t="str">
        <f>VLOOKUP($J1032,countries,6,false)</f>
        <v>Eastern Europe</v>
      </c>
      <c r="N1032" s="7">
        <v>4594.0</v>
      </c>
      <c r="O1032" s="7" t="str">
        <f>VLOOKUP(N1032, products, 2, FALSE)</f>
        <v>Fruits</v>
      </c>
      <c r="P1032" s="7" t="s">
        <v>334</v>
      </c>
      <c r="Q1032" s="7">
        <v>6956.0</v>
      </c>
      <c r="R1032" s="17">
        <v>9.33</v>
      </c>
      <c r="S1032" s="17">
        <v>6.92</v>
      </c>
      <c r="U1032" s="18">
        <f t="shared" si="6"/>
        <v>64899.48</v>
      </c>
      <c r="V1032" s="18">
        <f t="shared" si="7"/>
        <v>48135.52</v>
      </c>
      <c r="W1032" s="19">
        <f t="shared" si="8"/>
        <v>16763.96</v>
      </c>
    </row>
    <row r="1033">
      <c r="A1033" s="7">
        <v>7.75008904E8</v>
      </c>
      <c r="B1033" s="12">
        <v>41604.0</v>
      </c>
      <c r="C1033" s="7">
        <f t="shared" si="1"/>
        <v>2013</v>
      </c>
      <c r="D1033" s="14" t="str">
        <f t="shared" si="2"/>
        <v>11 - Nov</v>
      </c>
      <c r="E1033" s="15" t="str">
        <f t="shared" si="3"/>
        <v>Tue</v>
      </c>
      <c r="F1033" s="15">
        <f t="shared" si="4"/>
        <v>2</v>
      </c>
      <c r="G1033" s="16">
        <v>41641.0</v>
      </c>
      <c r="H1033" s="14">
        <f t="shared" si="5"/>
        <v>37</v>
      </c>
      <c r="I1033" s="7" t="s">
        <v>232</v>
      </c>
      <c r="J1033" s="7" t="s">
        <v>462</v>
      </c>
      <c r="K1033" s="7" t="str">
        <f>VLOOKUP(J1033,countries,2,false)</f>
        <v>Liechtenstein</v>
      </c>
      <c r="L1033" s="7" t="str">
        <f>VLOOKUP($J1033,countries,5,false)</f>
        <v>Europe</v>
      </c>
      <c r="M1033" s="7" t="str">
        <f>VLOOKUP($J1033,countries,6,false)</f>
        <v>Western Europe</v>
      </c>
      <c r="N1033" s="7">
        <v>7331.0</v>
      </c>
      <c r="O1033" s="7" t="str">
        <f>VLOOKUP(N1033, products, 2, FALSE)</f>
        <v>Baby Food</v>
      </c>
      <c r="P1033" s="7" t="s">
        <v>264</v>
      </c>
      <c r="Q1033" s="7">
        <v>1212.0</v>
      </c>
      <c r="R1033" s="17">
        <v>255.28</v>
      </c>
      <c r="S1033" s="17">
        <v>159.42</v>
      </c>
      <c r="U1033" s="18">
        <f t="shared" si="6"/>
        <v>309399.36</v>
      </c>
      <c r="V1033" s="18">
        <f t="shared" si="7"/>
        <v>193217.04</v>
      </c>
      <c r="W1033" s="19">
        <f t="shared" si="8"/>
        <v>116182.32</v>
      </c>
    </row>
    <row r="1034">
      <c r="A1034" s="7">
        <v>7.75347936E8</v>
      </c>
      <c r="B1034" s="12">
        <v>41452.0</v>
      </c>
      <c r="C1034" s="7">
        <f t="shared" si="1"/>
        <v>2013</v>
      </c>
      <c r="D1034" s="14" t="str">
        <f t="shared" si="2"/>
        <v>06 - Jun</v>
      </c>
      <c r="E1034" s="15" t="str">
        <f t="shared" si="3"/>
        <v>Thu</v>
      </c>
      <c r="F1034" s="15">
        <f t="shared" si="4"/>
        <v>4</v>
      </c>
      <c r="G1034" s="16">
        <v>41463.0</v>
      </c>
      <c r="H1034" s="14">
        <f t="shared" si="5"/>
        <v>11</v>
      </c>
      <c r="I1034" s="7" t="s">
        <v>305</v>
      </c>
      <c r="J1034" s="7" t="s">
        <v>229</v>
      </c>
      <c r="K1034" s="7" t="str">
        <f>VLOOKUP(J1034,countries,2,false)</f>
        <v>Croatia</v>
      </c>
      <c r="L1034" s="7" t="str">
        <f>VLOOKUP($J1034,countries,5,false)</f>
        <v>Europe</v>
      </c>
      <c r="M1034" s="7" t="str">
        <f>VLOOKUP($J1034,countries,6,false)</f>
        <v>Southern Europe</v>
      </c>
      <c r="N1034" s="7">
        <v>7331.0</v>
      </c>
      <c r="O1034" s="7" t="str">
        <f>VLOOKUP(N1034, products, 2, FALSE)</f>
        <v>Baby Food</v>
      </c>
      <c r="P1034" s="7" t="s">
        <v>334</v>
      </c>
      <c r="Q1034" s="7">
        <v>1539.0</v>
      </c>
      <c r="R1034" s="17">
        <v>255.28</v>
      </c>
      <c r="S1034" s="17">
        <v>159.42</v>
      </c>
      <c r="U1034" s="18">
        <f t="shared" si="6"/>
        <v>392875.92</v>
      </c>
      <c r="V1034" s="18">
        <f t="shared" si="7"/>
        <v>245347.38</v>
      </c>
      <c r="W1034" s="19">
        <f t="shared" si="8"/>
        <v>147528.54</v>
      </c>
    </row>
    <row r="1035">
      <c r="A1035" s="7">
        <v>7.75849616E8</v>
      </c>
      <c r="B1035" s="12">
        <v>40956.0</v>
      </c>
      <c r="C1035" s="7">
        <f t="shared" si="1"/>
        <v>2012</v>
      </c>
      <c r="D1035" s="14" t="str">
        <f t="shared" si="2"/>
        <v>02 - Feb</v>
      </c>
      <c r="E1035" s="15" t="str">
        <f t="shared" si="3"/>
        <v>Fri</v>
      </c>
      <c r="F1035" s="15">
        <f t="shared" si="4"/>
        <v>5</v>
      </c>
      <c r="G1035" s="16">
        <v>40973.0</v>
      </c>
      <c r="H1035" s="14">
        <f t="shared" si="5"/>
        <v>17</v>
      </c>
      <c r="I1035" s="7" t="s">
        <v>305</v>
      </c>
      <c r="J1035" s="7" t="s">
        <v>611</v>
      </c>
      <c r="K1035" s="7" t="str">
        <f>VLOOKUP(J1035,countries,2,false)</f>
        <v>Portugal</v>
      </c>
      <c r="L1035" s="7" t="str">
        <f>VLOOKUP($J1035,countries,5,false)</f>
        <v>Europe</v>
      </c>
      <c r="M1035" s="7" t="str">
        <f>VLOOKUP($J1035,countries,6,false)</f>
        <v>Southern Europe</v>
      </c>
      <c r="N1035" s="7">
        <v>8681.0</v>
      </c>
      <c r="O1035" s="7" t="str">
        <f>VLOOKUP(N1035, products, 2, FALSE)</f>
        <v>Office Supplies</v>
      </c>
      <c r="P1035" s="7" t="s">
        <v>334</v>
      </c>
      <c r="Q1035" s="7">
        <v>9997.0</v>
      </c>
      <c r="R1035" s="17">
        <v>651.21</v>
      </c>
      <c r="S1035" s="17">
        <v>524.96</v>
      </c>
      <c r="U1035" s="18">
        <f t="shared" si="6"/>
        <v>6510146.37</v>
      </c>
      <c r="V1035" s="18">
        <f t="shared" si="7"/>
        <v>5248025.12</v>
      </c>
      <c r="W1035" s="19">
        <f t="shared" si="8"/>
        <v>1262121.25</v>
      </c>
    </row>
    <row r="1036">
      <c r="A1036" s="7">
        <v>7.7701863E8</v>
      </c>
      <c r="B1036" s="12">
        <v>42419.0</v>
      </c>
      <c r="C1036" s="7">
        <f t="shared" si="1"/>
        <v>2016</v>
      </c>
      <c r="D1036" s="14" t="str">
        <f t="shared" si="2"/>
        <v>02 - Feb</v>
      </c>
      <c r="E1036" s="15" t="str">
        <f t="shared" si="3"/>
        <v>Fri</v>
      </c>
      <c r="F1036" s="15">
        <f t="shared" si="4"/>
        <v>5</v>
      </c>
      <c r="G1036" s="16">
        <v>42448.0</v>
      </c>
      <c r="H1036" s="14">
        <f t="shared" si="5"/>
        <v>29</v>
      </c>
      <c r="I1036" s="7" t="s">
        <v>364</v>
      </c>
      <c r="J1036" s="7" t="s">
        <v>608</v>
      </c>
      <c r="K1036" s="7" t="str">
        <f>VLOOKUP(J1036,countries,2,false)</f>
        <v>Poland</v>
      </c>
      <c r="L1036" s="7" t="str">
        <f>VLOOKUP($J1036,countries,5,false)</f>
        <v>Europe</v>
      </c>
      <c r="M1036" s="7" t="str">
        <f>VLOOKUP($J1036,countries,6,false)</f>
        <v>Eastern Europe</v>
      </c>
      <c r="N1036" s="7">
        <v>5988.0</v>
      </c>
      <c r="O1036" s="7" t="str">
        <f>VLOOKUP(N1036, products, 2, FALSE)</f>
        <v>Vegetables</v>
      </c>
      <c r="P1036" s="7" t="s">
        <v>264</v>
      </c>
      <c r="Q1036" s="7">
        <v>5935.0</v>
      </c>
      <c r="R1036" s="17">
        <v>154.06</v>
      </c>
      <c r="S1036" s="17">
        <v>90.93</v>
      </c>
      <c r="U1036" s="18">
        <f t="shared" si="6"/>
        <v>914346.1</v>
      </c>
      <c r="V1036" s="18">
        <f t="shared" si="7"/>
        <v>539669.55</v>
      </c>
      <c r="W1036" s="19">
        <f t="shared" si="8"/>
        <v>374676.55</v>
      </c>
    </row>
    <row r="1037">
      <c r="A1037" s="7">
        <v>7.80590045E8</v>
      </c>
      <c r="B1037" s="12">
        <v>41527.0</v>
      </c>
      <c r="C1037" s="7">
        <f t="shared" si="1"/>
        <v>2013</v>
      </c>
      <c r="D1037" s="14" t="str">
        <f t="shared" si="2"/>
        <v>09 - Sep</v>
      </c>
      <c r="E1037" s="15" t="str">
        <f t="shared" si="3"/>
        <v>Tue</v>
      </c>
      <c r="F1037" s="15">
        <f t="shared" si="4"/>
        <v>2</v>
      </c>
      <c r="G1037" s="16">
        <v>41550.0</v>
      </c>
      <c r="H1037" s="14">
        <f t="shared" si="5"/>
        <v>23</v>
      </c>
      <c r="I1037" s="7" t="s">
        <v>399</v>
      </c>
      <c r="J1037" s="7" t="s">
        <v>165</v>
      </c>
      <c r="K1037" s="7" t="str">
        <f>VLOOKUP(J1037,countries,2,false)</f>
        <v>Bulgaria</v>
      </c>
      <c r="L1037" s="7" t="str">
        <f>VLOOKUP($J1037,countries,5,false)</f>
        <v>Europe</v>
      </c>
      <c r="M1037" s="7" t="str">
        <f>VLOOKUP($J1037,countries,6,false)</f>
        <v>Eastern Europe</v>
      </c>
      <c r="N1037" s="7">
        <v>8875.0</v>
      </c>
      <c r="O1037" s="7" t="str">
        <f>VLOOKUP(N1037, products, 2, FALSE)</f>
        <v>Meat</v>
      </c>
      <c r="P1037" s="7" t="s">
        <v>334</v>
      </c>
      <c r="Q1037" s="7">
        <v>2796.0</v>
      </c>
      <c r="R1037" s="17">
        <v>421.89</v>
      </c>
      <c r="S1037" s="17">
        <v>364.69</v>
      </c>
      <c r="U1037" s="18">
        <f t="shared" si="6"/>
        <v>1179604.44</v>
      </c>
      <c r="V1037" s="18">
        <f t="shared" si="7"/>
        <v>1019673.24</v>
      </c>
      <c r="W1037" s="19">
        <f t="shared" si="8"/>
        <v>159931.2</v>
      </c>
    </row>
    <row r="1038">
      <c r="A1038" s="7">
        <v>7.80899035E8</v>
      </c>
      <c r="B1038" s="12">
        <v>41073.0</v>
      </c>
      <c r="C1038" s="7">
        <f t="shared" si="1"/>
        <v>2012</v>
      </c>
      <c r="D1038" s="14" t="str">
        <f t="shared" si="2"/>
        <v>06 - Jun</v>
      </c>
      <c r="E1038" s="15" t="str">
        <f t="shared" si="3"/>
        <v>Wed</v>
      </c>
      <c r="F1038" s="15">
        <f t="shared" si="4"/>
        <v>3</v>
      </c>
      <c r="G1038" s="16">
        <v>41120.0</v>
      </c>
      <c r="H1038" s="14">
        <f t="shared" si="5"/>
        <v>47</v>
      </c>
      <c r="I1038" s="7" t="s">
        <v>399</v>
      </c>
      <c r="J1038" s="7" t="s">
        <v>435</v>
      </c>
      <c r="K1038" s="7" t="str">
        <f>VLOOKUP(J1038,countries,2,false)</f>
        <v>Slovakia</v>
      </c>
      <c r="L1038" s="7" t="str">
        <f>VLOOKUP($J1038,countries,5,false)</f>
        <v>Europe</v>
      </c>
      <c r="M1038" s="7" t="str">
        <f>VLOOKUP($J1038,countries,6,false)</f>
        <v>Eastern Europe</v>
      </c>
      <c r="N1038" s="7">
        <v>8293.0</v>
      </c>
      <c r="O1038" s="7" t="str">
        <f>VLOOKUP(N1038, products, 2, FALSE)</f>
        <v>Cosmetics</v>
      </c>
      <c r="P1038" s="7" t="s">
        <v>334</v>
      </c>
      <c r="Q1038" s="7">
        <v>4233.0</v>
      </c>
      <c r="R1038" s="17">
        <v>437.2</v>
      </c>
      <c r="S1038" s="17">
        <v>263.33</v>
      </c>
      <c r="U1038" s="18">
        <f t="shared" si="6"/>
        <v>1850667.6</v>
      </c>
      <c r="V1038" s="18">
        <f t="shared" si="7"/>
        <v>1114675.89</v>
      </c>
      <c r="W1038" s="19">
        <f t="shared" si="8"/>
        <v>735991.71</v>
      </c>
    </row>
    <row r="1039">
      <c r="A1039" s="7">
        <v>7.81083571E8</v>
      </c>
      <c r="B1039" s="12">
        <v>42530.0</v>
      </c>
      <c r="C1039" s="7">
        <f t="shared" si="1"/>
        <v>2016</v>
      </c>
      <c r="D1039" s="14" t="str">
        <f t="shared" si="2"/>
        <v>06 - Jun</v>
      </c>
      <c r="E1039" s="15" t="str">
        <f t="shared" si="3"/>
        <v>Thu</v>
      </c>
      <c r="F1039" s="15">
        <f t="shared" si="4"/>
        <v>4</v>
      </c>
      <c r="G1039" s="16">
        <v>42539.0</v>
      </c>
      <c r="H1039" s="14">
        <f t="shared" si="5"/>
        <v>9</v>
      </c>
      <c r="I1039" s="7" t="s">
        <v>305</v>
      </c>
      <c r="J1039" s="7" t="s">
        <v>229</v>
      </c>
      <c r="K1039" s="7" t="str">
        <f>VLOOKUP(J1039,countries,2,false)</f>
        <v>Croatia</v>
      </c>
      <c r="L1039" s="7" t="str">
        <f>VLOOKUP($J1039,countries,5,false)</f>
        <v>Europe</v>
      </c>
      <c r="M1039" s="7" t="str">
        <f>VLOOKUP($J1039,countries,6,false)</f>
        <v>Southern Europe</v>
      </c>
      <c r="N1039" s="7">
        <v>2455.0</v>
      </c>
      <c r="O1039" s="7" t="str">
        <f>VLOOKUP(N1039, products, 2, FALSE)</f>
        <v>Clothes</v>
      </c>
      <c r="P1039" s="7" t="s">
        <v>264</v>
      </c>
      <c r="Q1039" s="7">
        <v>8841.0</v>
      </c>
      <c r="R1039" s="17">
        <v>109.28</v>
      </c>
      <c r="S1039" s="17">
        <v>35.84</v>
      </c>
      <c r="U1039" s="18">
        <f t="shared" si="6"/>
        <v>966144.48</v>
      </c>
      <c r="V1039" s="18">
        <f t="shared" si="7"/>
        <v>316861.44</v>
      </c>
      <c r="W1039" s="19">
        <f t="shared" si="8"/>
        <v>649283.04</v>
      </c>
    </row>
    <row r="1040">
      <c r="A1040" s="7">
        <v>7.81416594E8</v>
      </c>
      <c r="B1040" s="12">
        <v>42317.0</v>
      </c>
      <c r="C1040" s="7">
        <f t="shared" si="1"/>
        <v>2015</v>
      </c>
      <c r="D1040" s="14" t="str">
        <f t="shared" si="2"/>
        <v>11 - Nov</v>
      </c>
      <c r="E1040" s="15" t="str">
        <f t="shared" si="3"/>
        <v>Mon</v>
      </c>
      <c r="F1040" s="15">
        <f t="shared" si="4"/>
        <v>1</v>
      </c>
      <c r="G1040" s="16">
        <v>42361.0</v>
      </c>
      <c r="H1040" s="14">
        <f t="shared" si="5"/>
        <v>44</v>
      </c>
      <c r="I1040" s="7" t="s">
        <v>232</v>
      </c>
      <c r="J1040" s="7" t="s">
        <v>90</v>
      </c>
      <c r="K1040" s="7" t="str">
        <f>VLOOKUP(J1040,countries,2,false)</f>
        <v>Armenia</v>
      </c>
      <c r="L1040" s="7" t="str">
        <f>VLOOKUP($J1040,countries,5,false)</f>
        <v>Asia</v>
      </c>
      <c r="M1040" s="7" t="str">
        <f>VLOOKUP($J1040,countries,6,false)</f>
        <v>Western Asia</v>
      </c>
      <c r="N1040" s="7">
        <v>8875.0</v>
      </c>
      <c r="O1040" s="7" t="str">
        <f>VLOOKUP(N1040, products, 2, FALSE)</f>
        <v>Meat</v>
      </c>
      <c r="P1040" s="7" t="s">
        <v>334</v>
      </c>
      <c r="Q1040" s="7">
        <v>7390.0</v>
      </c>
      <c r="R1040" s="17">
        <v>421.89</v>
      </c>
      <c r="S1040" s="17">
        <v>364.69</v>
      </c>
      <c r="U1040" s="18">
        <f t="shared" si="6"/>
        <v>3117767.1</v>
      </c>
      <c r="V1040" s="18">
        <f t="shared" si="7"/>
        <v>2695059.1</v>
      </c>
      <c r="W1040" s="19">
        <f t="shared" si="8"/>
        <v>422708</v>
      </c>
    </row>
    <row r="1041">
      <c r="A1041" s="7">
        <v>7.831169E8</v>
      </c>
      <c r="B1041" s="12">
        <v>42792.0</v>
      </c>
      <c r="C1041" s="7">
        <f t="shared" si="1"/>
        <v>2017</v>
      </c>
      <c r="D1041" s="14" t="str">
        <f t="shared" si="2"/>
        <v>02 - Feb</v>
      </c>
      <c r="E1041" s="15" t="str">
        <f t="shared" si="3"/>
        <v>Sun</v>
      </c>
      <c r="F1041" s="15">
        <f t="shared" si="4"/>
        <v>7</v>
      </c>
      <c r="G1041" s="16">
        <v>42808.0</v>
      </c>
      <c r="H1041" s="14">
        <f t="shared" si="5"/>
        <v>16</v>
      </c>
      <c r="I1041" s="7" t="s">
        <v>364</v>
      </c>
      <c r="J1041" s="7" t="s">
        <v>681</v>
      </c>
      <c r="K1041" s="7" t="str">
        <f>VLOOKUP(J1041,countries,2,false)</f>
        <v>United Kingdom</v>
      </c>
      <c r="L1041" s="7" t="str">
        <f>VLOOKUP($J1041,countries,5,false)</f>
        <v>Europe</v>
      </c>
      <c r="M1041" s="7" t="str">
        <f>VLOOKUP($J1041,countries,6,false)</f>
        <v>Northern Europe</v>
      </c>
      <c r="N1041" s="7">
        <v>2455.0</v>
      </c>
      <c r="O1041" s="7" t="str">
        <f>VLOOKUP(N1041, products, 2, FALSE)</f>
        <v>Clothes</v>
      </c>
      <c r="P1041" s="7" t="s">
        <v>264</v>
      </c>
      <c r="Q1041" s="7">
        <v>548.0</v>
      </c>
      <c r="R1041" s="17">
        <v>109.28</v>
      </c>
      <c r="S1041" s="17">
        <v>35.84</v>
      </c>
      <c r="U1041" s="18">
        <f t="shared" si="6"/>
        <v>59885.44</v>
      </c>
      <c r="V1041" s="18">
        <f t="shared" si="7"/>
        <v>19640.32</v>
      </c>
      <c r="W1041" s="19">
        <f t="shared" si="8"/>
        <v>40245.12</v>
      </c>
    </row>
    <row r="1042">
      <c r="A1042" s="7">
        <v>7.83594977E8</v>
      </c>
      <c r="B1042" s="12">
        <v>42850.0</v>
      </c>
      <c r="C1042" s="7">
        <f t="shared" si="1"/>
        <v>2017</v>
      </c>
      <c r="D1042" s="14" t="str">
        <f t="shared" si="2"/>
        <v>04 - Apr</v>
      </c>
      <c r="E1042" s="15" t="str">
        <f t="shared" si="3"/>
        <v>Tue</v>
      </c>
      <c r="F1042" s="15">
        <f t="shared" si="4"/>
        <v>2</v>
      </c>
      <c r="G1042" s="16">
        <v>42856.0</v>
      </c>
      <c r="H1042" s="14">
        <f t="shared" si="5"/>
        <v>6</v>
      </c>
      <c r="I1042" s="7" t="s">
        <v>399</v>
      </c>
      <c r="J1042" s="7" t="s">
        <v>771</v>
      </c>
      <c r="K1042" s="7" t="str">
        <f>VLOOKUP(J1042,countries,2,false)</f>
        <v>Ukraine</v>
      </c>
      <c r="L1042" s="7" t="str">
        <f>VLOOKUP($J1042,countries,5,false)</f>
        <v>Europe</v>
      </c>
      <c r="M1042" s="7" t="str">
        <f>VLOOKUP($J1042,countries,6,false)</f>
        <v>Eastern Europe</v>
      </c>
      <c r="N1042" s="7">
        <v>8875.0</v>
      </c>
      <c r="O1042" s="7" t="str">
        <f>VLOOKUP(N1042, products, 2, FALSE)</f>
        <v>Meat</v>
      </c>
      <c r="P1042" s="7" t="s">
        <v>334</v>
      </c>
      <c r="Q1042" s="7">
        <v>2022.0</v>
      </c>
      <c r="R1042" s="17">
        <v>421.89</v>
      </c>
      <c r="S1042" s="17">
        <v>364.69</v>
      </c>
      <c r="U1042" s="18">
        <f t="shared" si="6"/>
        <v>853061.58</v>
      </c>
      <c r="V1042" s="18">
        <f t="shared" si="7"/>
        <v>737403.18</v>
      </c>
      <c r="W1042" s="19">
        <f t="shared" si="8"/>
        <v>115658.4</v>
      </c>
    </row>
    <row r="1043">
      <c r="A1043" s="7">
        <v>7.83913838E8</v>
      </c>
      <c r="B1043" s="12">
        <v>41310.0</v>
      </c>
      <c r="C1043" s="7">
        <f t="shared" si="1"/>
        <v>2013</v>
      </c>
      <c r="D1043" s="14" t="str">
        <f t="shared" si="2"/>
        <v>02 - Feb</v>
      </c>
      <c r="E1043" s="15" t="str">
        <f t="shared" si="3"/>
        <v>Tue</v>
      </c>
      <c r="F1043" s="15">
        <f t="shared" si="4"/>
        <v>2</v>
      </c>
      <c r="G1043" s="16">
        <v>41342.0</v>
      </c>
      <c r="H1043" s="14">
        <f t="shared" si="5"/>
        <v>32</v>
      </c>
      <c r="I1043" s="7" t="s">
        <v>399</v>
      </c>
      <c r="J1043" s="7" t="s">
        <v>348</v>
      </c>
      <c r="K1043" s="7" t="s">
        <v>348</v>
      </c>
      <c r="L1043" s="7" t="s">
        <v>348</v>
      </c>
      <c r="M1043" s="7" t="s">
        <v>348</v>
      </c>
      <c r="N1043" s="7">
        <v>8969.0</v>
      </c>
      <c r="O1043" s="7" t="str">
        <f>VLOOKUP(N1043, products, 2, FALSE)</f>
        <v>Snacks</v>
      </c>
      <c r="P1043" s="7" t="s">
        <v>264</v>
      </c>
      <c r="Q1043" s="7">
        <v>6380.0</v>
      </c>
      <c r="R1043" s="17">
        <v>152.58</v>
      </c>
      <c r="S1043" s="17">
        <v>97.44</v>
      </c>
      <c r="U1043" s="18">
        <f t="shared" si="6"/>
        <v>973460.4</v>
      </c>
      <c r="V1043" s="18">
        <f t="shared" si="7"/>
        <v>621667.2</v>
      </c>
      <c r="W1043" s="19">
        <f t="shared" si="8"/>
        <v>351793.2</v>
      </c>
    </row>
    <row r="1044">
      <c r="A1044" s="7">
        <v>7.84397923E8</v>
      </c>
      <c r="B1044" s="12">
        <v>41428.0</v>
      </c>
      <c r="C1044" s="7">
        <f t="shared" si="1"/>
        <v>2013</v>
      </c>
      <c r="D1044" s="14" t="str">
        <f t="shared" si="2"/>
        <v>06 - Jun</v>
      </c>
      <c r="E1044" s="15" t="str">
        <f t="shared" si="3"/>
        <v>Mon</v>
      </c>
      <c r="F1044" s="15">
        <f t="shared" si="4"/>
        <v>1</v>
      </c>
      <c r="G1044" s="16">
        <v>41440.0</v>
      </c>
      <c r="H1044" s="14">
        <f t="shared" si="5"/>
        <v>12</v>
      </c>
      <c r="I1044" s="7" t="s">
        <v>305</v>
      </c>
      <c r="J1044" s="7" t="s">
        <v>246</v>
      </c>
      <c r="K1044" s="7" t="str">
        <f>VLOOKUP(J1044,countries,2,false)</f>
        <v>Denmark</v>
      </c>
      <c r="L1044" s="7" t="str">
        <f>VLOOKUP($J1044,countries,5,false)</f>
        <v>Europe</v>
      </c>
      <c r="M1044" s="7" t="str">
        <f>VLOOKUP($J1044,countries,6,false)</f>
        <v>Northern Europe</v>
      </c>
      <c r="N1044" s="7">
        <v>8969.0</v>
      </c>
      <c r="O1044" s="7" t="str">
        <f>VLOOKUP(N1044, products, 2, FALSE)</f>
        <v>Snacks</v>
      </c>
      <c r="P1044" s="7" t="s">
        <v>334</v>
      </c>
      <c r="Q1044" s="7">
        <v>9631.0</v>
      </c>
      <c r="R1044" s="17">
        <v>152.58</v>
      </c>
      <c r="S1044" s="17">
        <v>97.44</v>
      </c>
      <c r="U1044" s="18">
        <f t="shared" si="6"/>
        <v>1469497.98</v>
      </c>
      <c r="V1044" s="18">
        <f t="shared" si="7"/>
        <v>938444.64</v>
      </c>
      <c r="W1044" s="19">
        <f t="shared" si="8"/>
        <v>531053.34</v>
      </c>
    </row>
    <row r="1045">
      <c r="A1045" s="7">
        <v>7.85364806E8</v>
      </c>
      <c r="B1045" s="12">
        <v>42047.0</v>
      </c>
      <c r="C1045" s="7">
        <f t="shared" si="1"/>
        <v>2015</v>
      </c>
      <c r="D1045" s="14" t="str">
        <f t="shared" si="2"/>
        <v>02 - Feb</v>
      </c>
      <c r="E1045" s="15" t="str">
        <f t="shared" si="3"/>
        <v>Thu</v>
      </c>
      <c r="F1045" s="15">
        <f t="shared" si="4"/>
        <v>4</v>
      </c>
      <c r="G1045" s="16">
        <v>42084.0</v>
      </c>
      <c r="H1045" s="14">
        <f t="shared" si="5"/>
        <v>37</v>
      </c>
      <c r="I1045" s="7" t="s">
        <v>232</v>
      </c>
      <c r="J1045" s="7" t="s">
        <v>120</v>
      </c>
      <c r="K1045" s="7" t="str">
        <f>VLOOKUP(J1045,countries,2,false)</f>
        <v>Belarus</v>
      </c>
      <c r="L1045" s="7" t="str">
        <f>VLOOKUP($J1045,countries,5,false)</f>
        <v>Europe</v>
      </c>
      <c r="M1045" s="7" t="str">
        <f>VLOOKUP($J1045,countries,6,false)</f>
        <v>Eastern Europe</v>
      </c>
      <c r="N1045" s="7">
        <v>7940.0</v>
      </c>
      <c r="O1045" s="7" t="str">
        <f>VLOOKUP(N1045, products, 2, FALSE)</f>
        <v>Household</v>
      </c>
      <c r="P1045" s="7" t="s">
        <v>334</v>
      </c>
      <c r="Q1045" s="7">
        <v>5754.0</v>
      </c>
      <c r="R1045" s="17">
        <v>668.27</v>
      </c>
      <c r="S1045" s="17">
        <v>502.54</v>
      </c>
      <c r="U1045" s="18">
        <f t="shared" si="6"/>
        <v>3845225.58</v>
      </c>
      <c r="V1045" s="18">
        <f t="shared" si="7"/>
        <v>2891615.16</v>
      </c>
      <c r="W1045" s="19">
        <f t="shared" si="8"/>
        <v>953610.42</v>
      </c>
    </row>
    <row r="1046">
      <c r="A1046" s="7">
        <v>7.86318385E8</v>
      </c>
      <c r="B1046" s="12">
        <v>42927.0</v>
      </c>
      <c r="C1046" s="7">
        <f t="shared" si="1"/>
        <v>2017</v>
      </c>
      <c r="D1046" s="14" t="str">
        <f t="shared" si="2"/>
        <v>07 - Jul</v>
      </c>
      <c r="E1046" s="15" t="str">
        <f t="shared" si="3"/>
        <v>Tue</v>
      </c>
      <c r="F1046" s="15">
        <f t="shared" si="4"/>
        <v>2</v>
      </c>
      <c r="G1046" s="16">
        <v>42970.0</v>
      </c>
      <c r="H1046" s="14">
        <f t="shared" si="5"/>
        <v>43</v>
      </c>
      <c r="I1046" s="7" t="s">
        <v>232</v>
      </c>
      <c r="J1046" s="7" t="s">
        <v>546</v>
      </c>
      <c r="K1046" s="7" t="str">
        <f>VLOOKUP(J1046,countries,2,false)</f>
        <v>Netherlands</v>
      </c>
      <c r="L1046" s="7" t="str">
        <f>VLOOKUP($J1046,countries,5,false)</f>
        <v>Europe</v>
      </c>
      <c r="M1046" s="7" t="str">
        <f>VLOOKUP($J1046,countries,6,false)</f>
        <v>Western Europe</v>
      </c>
      <c r="N1046" s="7">
        <v>1270.0</v>
      </c>
      <c r="O1046" s="7" t="str">
        <f>VLOOKUP(N1046, products, 2, FALSE)</f>
        <v>Beverages</v>
      </c>
      <c r="P1046" s="7" t="s">
        <v>334</v>
      </c>
      <c r="Q1046" s="7">
        <v>7939.0</v>
      </c>
      <c r="R1046" s="17">
        <v>47.45</v>
      </c>
      <c r="S1046" s="17">
        <v>31.79</v>
      </c>
      <c r="U1046" s="18">
        <f t="shared" si="6"/>
        <v>376705.55</v>
      </c>
      <c r="V1046" s="18">
        <f t="shared" si="7"/>
        <v>252380.81</v>
      </c>
      <c r="W1046" s="19">
        <f t="shared" si="8"/>
        <v>124324.74</v>
      </c>
    </row>
    <row r="1047">
      <c r="A1047" s="7">
        <v>7.8948425E8</v>
      </c>
      <c r="B1047" s="12">
        <v>40729.0</v>
      </c>
      <c r="C1047" s="7">
        <f t="shared" si="1"/>
        <v>2011</v>
      </c>
      <c r="D1047" s="14" t="str">
        <f t="shared" si="2"/>
        <v>07 - Jul</v>
      </c>
      <c r="E1047" s="15" t="str">
        <f t="shared" si="3"/>
        <v>Tue</v>
      </c>
      <c r="F1047" s="15">
        <f t="shared" si="4"/>
        <v>2</v>
      </c>
      <c r="G1047" s="16">
        <v>40754.0</v>
      </c>
      <c r="H1047" s="14">
        <f t="shared" si="5"/>
        <v>25</v>
      </c>
      <c r="I1047" s="7" t="s">
        <v>232</v>
      </c>
      <c r="J1047" s="7" t="s">
        <v>243</v>
      </c>
      <c r="K1047" s="7" t="str">
        <f>VLOOKUP(J1047,countries,2,false)</f>
        <v>Czech Republic</v>
      </c>
      <c r="L1047" s="7" t="str">
        <f>VLOOKUP($J1047,countries,5,false)</f>
        <v>Europe</v>
      </c>
      <c r="M1047" s="7" t="str">
        <f>VLOOKUP($J1047,countries,6,false)</f>
        <v>Eastern Europe</v>
      </c>
      <c r="N1047" s="7">
        <v>8969.0</v>
      </c>
      <c r="O1047" s="7" t="str">
        <f>VLOOKUP(N1047, products, 2, FALSE)</f>
        <v>Snacks</v>
      </c>
      <c r="P1047" s="7" t="s">
        <v>264</v>
      </c>
      <c r="Q1047" s="7">
        <v>4789.0</v>
      </c>
      <c r="R1047" s="17">
        <v>152.58</v>
      </c>
      <c r="S1047" s="17">
        <v>97.44</v>
      </c>
      <c r="U1047" s="18">
        <f t="shared" si="6"/>
        <v>730705.62</v>
      </c>
      <c r="V1047" s="18">
        <f t="shared" si="7"/>
        <v>466640.16</v>
      </c>
      <c r="W1047" s="19">
        <f t="shared" si="8"/>
        <v>264065.46</v>
      </c>
    </row>
    <row r="1048">
      <c r="A1048" s="7">
        <v>7.89760196E8</v>
      </c>
      <c r="B1048" s="12">
        <v>42710.0</v>
      </c>
      <c r="C1048" s="7">
        <f t="shared" si="1"/>
        <v>2016</v>
      </c>
      <c r="D1048" s="14" t="str">
        <f t="shared" si="2"/>
        <v>12 - Dec</v>
      </c>
      <c r="E1048" s="15" t="str">
        <f t="shared" si="3"/>
        <v>Tue</v>
      </c>
      <c r="F1048" s="15">
        <f t="shared" si="4"/>
        <v>2</v>
      </c>
      <c r="G1048" s="16">
        <v>42737.0</v>
      </c>
      <c r="H1048" s="14">
        <f t="shared" si="5"/>
        <v>27</v>
      </c>
      <c r="I1048" s="7" t="s">
        <v>305</v>
      </c>
      <c r="J1048" s="7" t="s">
        <v>90</v>
      </c>
      <c r="K1048" s="7" t="str">
        <f>VLOOKUP(J1048,countries,2,false)</f>
        <v>Armenia</v>
      </c>
      <c r="L1048" s="7" t="str">
        <f>VLOOKUP($J1048,countries,5,false)</f>
        <v>Asia</v>
      </c>
      <c r="M1048" s="7" t="str">
        <f>VLOOKUP($J1048,countries,6,false)</f>
        <v>Western Asia</v>
      </c>
      <c r="N1048" s="7">
        <v>3127.0</v>
      </c>
      <c r="O1048" s="7" t="str">
        <f>VLOOKUP(N1048, products, 2, FALSE)</f>
        <v>Personal Care</v>
      </c>
      <c r="P1048" s="7" t="s">
        <v>264</v>
      </c>
      <c r="Q1048" s="7">
        <v>6447.0</v>
      </c>
      <c r="R1048" s="17">
        <v>81.73</v>
      </c>
      <c r="S1048" s="17">
        <v>56.67</v>
      </c>
      <c r="U1048" s="18">
        <f t="shared" si="6"/>
        <v>526913.31</v>
      </c>
      <c r="V1048" s="18">
        <f t="shared" si="7"/>
        <v>365351.49</v>
      </c>
      <c r="W1048" s="19">
        <f t="shared" si="8"/>
        <v>161561.82</v>
      </c>
    </row>
    <row r="1049">
      <c r="A1049" s="7">
        <v>7.90149009E8</v>
      </c>
      <c r="B1049" s="12">
        <v>40686.0</v>
      </c>
      <c r="C1049" s="7">
        <f t="shared" si="1"/>
        <v>2011</v>
      </c>
      <c r="D1049" s="14" t="str">
        <f t="shared" si="2"/>
        <v>05 - May</v>
      </c>
      <c r="E1049" s="15" t="str">
        <f t="shared" si="3"/>
        <v>Mon</v>
      </c>
      <c r="F1049" s="15">
        <f t="shared" si="4"/>
        <v>1</v>
      </c>
      <c r="G1049" s="16">
        <v>40692.0</v>
      </c>
      <c r="H1049" s="14">
        <f t="shared" si="5"/>
        <v>6</v>
      </c>
      <c r="I1049" s="7" t="s">
        <v>305</v>
      </c>
      <c r="J1049" s="7" t="s">
        <v>274</v>
      </c>
      <c r="K1049" s="7" t="str">
        <f>VLOOKUP(J1049,countries,2,false)</f>
        <v>Estonia</v>
      </c>
      <c r="L1049" s="7" t="str">
        <f>VLOOKUP($J1049,countries,5,false)</f>
        <v>Europe</v>
      </c>
      <c r="M1049" s="7" t="str">
        <f>VLOOKUP($J1049,countries,6,false)</f>
        <v>Northern Europe</v>
      </c>
      <c r="N1049" s="7">
        <v>8293.0</v>
      </c>
      <c r="O1049" s="7" t="str">
        <f>VLOOKUP(N1049, products, 2, FALSE)</f>
        <v>Cosmetics</v>
      </c>
      <c r="P1049" s="7" t="s">
        <v>264</v>
      </c>
      <c r="Q1049" s="7">
        <v>1505.0</v>
      </c>
      <c r="R1049" s="17">
        <v>437.2</v>
      </c>
      <c r="S1049" s="17">
        <v>263.33</v>
      </c>
      <c r="U1049" s="18">
        <f t="shared" si="6"/>
        <v>657986</v>
      </c>
      <c r="V1049" s="18">
        <f t="shared" si="7"/>
        <v>396311.65</v>
      </c>
      <c r="W1049" s="19">
        <f t="shared" si="8"/>
        <v>261674.35</v>
      </c>
    </row>
    <row r="1050">
      <c r="A1050" s="7">
        <v>7.91692674E8</v>
      </c>
      <c r="B1050" s="12">
        <v>41564.0</v>
      </c>
      <c r="C1050" s="7">
        <f t="shared" si="1"/>
        <v>2013</v>
      </c>
      <c r="D1050" s="14" t="str">
        <f t="shared" si="2"/>
        <v>10 - Oct</v>
      </c>
      <c r="E1050" s="15" t="str">
        <f t="shared" si="3"/>
        <v>Thu</v>
      </c>
      <c r="F1050" s="15">
        <f t="shared" si="4"/>
        <v>4</v>
      </c>
      <c r="G1050" s="16">
        <v>41602.0</v>
      </c>
      <c r="H1050" s="14">
        <f t="shared" si="5"/>
        <v>38</v>
      </c>
      <c r="I1050" s="7" t="s">
        <v>364</v>
      </c>
      <c r="J1050" s="7" t="s">
        <v>124</v>
      </c>
      <c r="K1050" s="7" t="str">
        <f>VLOOKUP(J1050,countries,2,false)</f>
        <v>Belgium</v>
      </c>
      <c r="L1050" s="7" t="str">
        <f>VLOOKUP($J1050,countries,5,false)</f>
        <v>Europe</v>
      </c>
      <c r="M1050" s="7" t="str">
        <f>VLOOKUP($J1050,countries,6,false)</f>
        <v>Western Europe</v>
      </c>
      <c r="N1050" s="7">
        <v>4594.0</v>
      </c>
      <c r="O1050" s="7" t="str">
        <f>VLOOKUP(N1050, products, 2, FALSE)</f>
        <v>Fruits</v>
      </c>
      <c r="P1050" s="7" t="s">
        <v>264</v>
      </c>
      <c r="Q1050" s="7">
        <v>8310.0</v>
      </c>
      <c r="R1050" s="17">
        <v>9.33</v>
      </c>
      <c r="S1050" s="17">
        <v>6.92</v>
      </c>
      <c r="U1050" s="18">
        <f t="shared" si="6"/>
        <v>77532.3</v>
      </c>
      <c r="V1050" s="18">
        <f t="shared" si="7"/>
        <v>57505.2</v>
      </c>
      <c r="W1050" s="19">
        <f t="shared" si="8"/>
        <v>20027.1</v>
      </c>
    </row>
    <row r="1051">
      <c r="A1051" s="7">
        <v>7.91890084E8</v>
      </c>
      <c r="B1051" s="12">
        <v>41965.0</v>
      </c>
      <c r="C1051" s="7">
        <f t="shared" si="1"/>
        <v>2014</v>
      </c>
      <c r="D1051" s="14" t="str">
        <f t="shared" si="2"/>
        <v>11 - Nov</v>
      </c>
      <c r="E1051" s="15" t="str">
        <f t="shared" si="3"/>
        <v>Sat</v>
      </c>
      <c r="F1051" s="15">
        <f t="shared" si="4"/>
        <v>6</v>
      </c>
      <c r="G1051" s="16">
        <v>41988.0</v>
      </c>
      <c r="H1051" s="14">
        <f t="shared" si="5"/>
        <v>23</v>
      </c>
      <c r="I1051" s="7" t="s">
        <v>399</v>
      </c>
      <c r="J1051" s="7" t="s">
        <v>124</v>
      </c>
      <c r="K1051" s="7" t="str">
        <f>VLOOKUP(J1051,countries,2,false)</f>
        <v>Belgium</v>
      </c>
      <c r="L1051" s="7" t="str">
        <f>VLOOKUP($J1051,countries,5,false)</f>
        <v>Europe</v>
      </c>
      <c r="M1051" s="7" t="str">
        <f>VLOOKUP($J1051,countries,6,false)</f>
        <v>Western Europe</v>
      </c>
      <c r="N1051" s="7">
        <v>2103.0</v>
      </c>
      <c r="O1051" s="7" t="str">
        <f>VLOOKUP(N1051, products, 2, FALSE)</f>
        <v>Cereal</v>
      </c>
      <c r="P1051" s="7" t="s">
        <v>334</v>
      </c>
      <c r="Q1051" s="7">
        <v>6728.0</v>
      </c>
      <c r="R1051" s="17">
        <v>205.7</v>
      </c>
      <c r="S1051" s="17">
        <v>117.11</v>
      </c>
      <c r="U1051" s="18">
        <f t="shared" si="6"/>
        <v>1383949.6</v>
      </c>
      <c r="V1051" s="18">
        <f t="shared" si="7"/>
        <v>787916.08</v>
      </c>
      <c r="W1051" s="19">
        <f t="shared" si="8"/>
        <v>596033.52</v>
      </c>
    </row>
    <row r="1052">
      <c r="A1052" s="7">
        <v>7.92178905E8</v>
      </c>
      <c r="B1052" s="12">
        <v>42889.0</v>
      </c>
      <c r="C1052" s="7">
        <f t="shared" si="1"/>
        <v>2017</v>
      </c>
      <c r="D1052" s="14" t="str">
        <f t="shared" si="2"/>
        <v>06 - Jun</v>
      </c>
      <c r="E1052" s="15" t="str">
        <f t="shared" si="3"/>
        <v>Sat</v>
      </c>
      <c r="F1052" s="15">
        <f t="shared" si="4"/>
        <v>6</v>
      </c>
      <c r="G1052" s="16">
        <v>42937.0</v>
      </c>
      <c r="H1052" s="14">
        <f t="shared" si="5"/>
        <v>48</v>
      </c>
      <c r="I1052" s="7" t="s">
        <v>364</v>
      </c>
      <c r="J1052" s="7" t="s">
        <v>516</v>
      </c>
      <c r="K1052" s="7" t="str">
        <f>VLOOKUP(J1052,countries,2,false)</f>
        <v>Monaco</v>
      </c>
      <c r="L1052" s="7" t="str">
        <f>VLOOKUP($J1052,countries,5,false)</f>
        <v>Europe</v>
      </c>
      <c r="M1052" s="7" t="str">
        <f>VLOOKUP($J1052,countries,6,false)</f>
        <v>Western Europe</v>
      </c>
      <c r="N1052" s="7">
        <v>2103.0</v>
      </c>
      <c r="O1052" s="7" t="str">
        <f>VLOOKUP(N1052, products, 2, FALSE)</f>
        <v>Cereal</v>
      </c>
      <c r="P1052" s="7" t="s">
        <v>264</v>
      </c>
      <c r="Q1052" s="7">
        <v>2197.0</v>
      </c>
      <c r="R1052" s="17">
        <v>205.7</v>
      </c>
      <c r="S1052" s="17">
        <v>117.11</v>
      </c>
      <c r="U1052" s="18">
        <f t="shared" si="6"/>
        <v>451922.9</v>
      </c>
      <c r="V1052" s="18">
        <f t="shared" si="7"/>
        <v>257290.67</v>
      </c>
      <c r="W1052" s="19">
        <f t="shared" si="8"/>
        <v>194632.23</v>
      </c>
    </row>
    <row r="1053">
      <c r="A1053" s="7">
        <v>7.92792594E8</v>
      </c>
      <c r="B1053" s="12">
        <v>42333.0</v>
      </c>
      <c r="C1053" s="7">
        <f t="shared" si="1"/>
        <v>2015</v>
      </c>
      <c r="D1053" s="14" t="str">
        <f t="shared" si="2"/>
        <v>11 - Nov</v>
      </c>
      <c r="E1053" s="15" t="str">
        <f t="shared" si="3"/>
        <v>Wed</v>
      </c>
      <c r="F1053" s="15">
        <f t="shared" si="4"/>
        <v>3</v>
      </c>
      <c r="G1053" s="16">
        <v>42371.0</v>
      </c>
      <c r="H1053" s="14">
        <f t="shared" si="5"/>
        <v>38</v>
      </c>
      <c r="I1053" s="7" t="s">
        <v>232</v>
      </c>
      <c r="J1053" s="7" t="s">
        <v>348</v>
      </c>
      <c r="K1053" s="7" t="s">
        <v>348</v>
      </c>
      <c r="L1053" s="7" t="s">
        <v>348</v>
      </c>
      <c r="M1053" s="7" t="s">
        <v>348</v>
      </c>
      <c r="N1053" s="7">
        <v>7940.0</v>
      </c>
      <c r="O1053" s="7" t="str">
        <f>VLOOKUP(N1053, products, 2, FALSE)</f>
        <v>Household</v>
      </c>
      <c r="P1053" s="7" t="s">
        <v>334</v>
      </c>
      <c r="Q1053" s="7">
        <v>3801.0</v>
      </c>
      <c r="R1053" s="17">
        <v>668.27</v>
      </c>
      <c r="S1053" s="17">
        <v>502.54</v>
      </c>
      <c r="U1053" s="18">
        <f t="shared" si="6"/>
        <v>2540094.27</v>
      </c>
      <c r="V1053" s="18">
        <f t="shared" si="7"/>
        <v>1910154.54</v>
      </c>
      <c r="W1053" s="19">
        <f t="shared" si="8"/>
        <v>629939.73</v>
      </c>
    </row>
    <row r="1054">
      <c r="A1054" s="7">
        <v>7.95141351E8</v>
      </c>
      <c r="B1054" s="12">
        <v>40229.0</v>
      </c>
      <c r="C1054" s="7">
        <f t="shared" si="1"/>
        <v>2010</v>
      </c>
      <c r="D1054" s="14" t="str">
        <f t="shared" si="2"/>
        <v>02 - Feb</v>
      </c>
      <c r="E1054" s="15" t="str">
        <f t="shared" si="3"/>
        <v>Sat</v>
      </c>
      <c r="F1054" s="15">
        <f t="shared" si="4"/>
        <v>6</v>
      </c>
      <c r="G1054" s="16">
        <v>40233.0</v>
      </c>
      <c r="H1054" s="14">
        <f t="shared" si="5"/>
        <v>4</v>
      </c>
      <c r="I1054" s="7" t="s">
        <v>399</v>
      </c>
      <c r="J1054" s="7" t="s">
        <v>328</v>
      </c>
      <c r="K1054" s="7" t="str">
        <f>VLOOKUP(J1054,countries,2,false)</f>
        <v>Greece</v>
      </c>
      <c r="L1054" s="7" t="str">
        <f>VLOOKUP($J1054,countries,5,false)</f>
        <v>Europe</v>
      </c>
      <c r="M1054" s="7" t="str">
        <f>VLOOKUP($J1054,countries,6,false)</f>
        <v>Southern Europe</v>
      </c>
      <c r="N1054" s="7">
        <v>1270.0</v>
      </c>
      <c r="O1054" s="7" t="str">
        <f>VLOOKUP(N1054, products, 2, FALSE)</f>
        <v>Beverages</v>
      </c>
      <c r="P1054" s="7" t="s">
        <v>334</v>
      </c>
      <c r="Q1054" s="7">
        <v>8850.0</v>
      </c>
      <c r="R1054" s="17">
        <v>47.45</v>
      </c>
      <c r="S1054" s="17">
        <v>31.79</v>
      </c>
      <c r="U1054" s="18">
        <f t="shared" si="6"/>
        <v>419932.5</v>
      </c>
      <c r="V1054" s="18">
        <f t="shared" si="7"/>
        <v>281341.5</v>
      </c>
      <c r="W1054" s="19">
        <f t="shared" si="8"/>
        <v>138591</v>
      </c>
    </row>
    <row r="1055">
      <c r="A1055" s="7">
        <v>7.96418511E8</v>
      </c>
      <c r="B1055" s="12">
        <v>42778.0</v>
      </c>
      <c r="C1055" s="7">
        <f t="shared" si="1"/>
        <v>2017</v>
      </c>
      <c r="D1055" s="14" t="str">
        <f t="shared" si="2"/>
        <v>02 - Feb</v>
      </c>
      <c r="E1055" s="15" t="str">
        <f t="shared" si="3"/>
        <v>Sun</v>
      </c>
      <c r="F1055" s="15">
        <f t="shared" si="4"/>
        <v>7</v>
      </c>
      <c r="G1055" s="16">
        <v>42817.0</v>
      </c>
      <c r="H1055" s="14">
        <f t="shared" si="5"/>
        <v>39</v>
      </c>
      <c r="I1055" s="7" t="s">
        <v>364</v>
      </c>
      <c r="J1055" s="7" t="s">
        <v>570</v>
      </c>
      <c r="K1055" s="7" t="str">
        <f>VLOOKUP(J1055,countries,2,false)</f>
        <v>Macedonia</v>
      </c>
      <c r="L1055" s="7" t="str">
        <f>VLOOKUP($J1055,countries,5,false)</f>
        <v>Europe</v>
      </c>
      <c r="M1055" s="7" t="str">
        <f>VLOOKUP($J1055,countries,6,false)</f>
        <v>Southern Europe</v>
      </c>
      <c r="N1055" s="7">
        <v>8875.0</v>
      </c>
      <c r="O1055" s="7" t="str">
        <f>VLOOKUP(N1055, products, 2, FALSE)</f>
        <v>Meat</v>
      </c>
      <c r="P1055" s="7" t="s">
        <v>264</v>
      </c>
      <c r="Q1055" s="7">
        <v>6791.0</v>
      </c>
      <c r="R1055" s="17">
        <v>421.89</v>
      </c>
      <c r="S1055" s="17">
        <v>364.69</v>
      </c>
      <c r="U1055" s="18">
        <f t="shared" si="6"/>
        <v>2865054.99</v>
      </c>
      <c r="V1055" s="18">
        <f t="shared" si="7"/>
        <v>2476609.79</v>
      </c>
      <c r="W1055" s="19">
        <f t="shared" si="8"/>
        <v>388445.2</v>
      </c>
    </row>
    <row r="1056">
      <c r="A1056" s="7">
        <v>7.97202146E8</v>
      </c>
      <c r="B1056" s="12">
        <v>41557.0</v>
      </c>
      <c r="C1056" s="7">
        <f t="shared" si="1"/>
        <v>2013</v>
      </c>
      <c r="D1056" s="14" t="str">
        <f t="shared" si="2"/>
        <v>10 - Oct</v>
      </c>
      <c r="E1056" s="15" t="str">
        <f t="shared" si="3"/>
        <v>Thu</v>
      </c>
      <c r="F1056" s="15">
        <f t="shared" si="4"/>
        <v>4</v>
      </c>
      <c r="G1056" s="16">
        <v>41595.0</v>
      </c>
      <c r="H1056" s="14">
        <f t="shared" si="5"/>
        <v>38</v>
      </c>
      <c r="I1056" s="7" t="s">
        <v>232</v>
      </c>
      <c r="J1056" s="7" t="s">
        <v>626</v>
      </c>
      <c r="K1056" s="7" t="str">
        <f>VLOOKUP(J1056,countries,2,false)</f>
        <v>Russia</v>
      </c>
      <c r="L1056" s="7" t="str">
        <f>VLOOKUP($J1056,countries,5,false)</f>
        <v>Europe</v>
      </c>
      <c r="M1056" s="7" t="str">
        <f>VLOOKUP($J1056,countries,6,false)</f>
        <v>Eastern Europe</v>
      </c>
      <c r="N1056" s="7">
        <v>1270.0</v>
      </c>
      <c r="O1056" s="7" t="str">
        <f>VLOOKUP(N1056, products, 2, FALSE)</f>
        <v>Beverages</v>
      </c>
      <c r="P1056" s="7" t="s">
        <v>264</v>
      </c>
      <c r="Q1056" s="7">
        <v>8685.0</v>
      </c>
      <c r="R1056" s="17">
        <v>47.45</v>
      </c>
      <c r="S1056" s="17">
        <v>31.79</v>
      </c>
      <c r="U1056" s="18">
        <f t="shared" si="6"/>
        <v>412103.25</v>
      </c>
      <c r="V1056" s="18">
        <f t="shared" si="7"/>
        <v>276096.15</v>
      </c>
      <c r="W1056" s="19">
        <f t="shared" si="8"/>
        <v>136007.1</v>
      </c>
    </row>
    <row r="1057">
      <c r="A1057" s="7">
        <v>7.973163E8</v>
      </c>
      <c r="B1057" s="12">
        <v>42703.0</v>
      </c>
      <c r="C1057" s="7">
        <f t="shared" si="1"/>
        <v>2016</v>
      </c>
      <c r="D1057" s="14" t="str">
        <f t="shared" si="2"/>
        <v>11 - Nov</v>
      </c>
      <c r="E1057" s="15" t="str">
        <f t="shared" si="3"/>
        <v>Tue</v>
      </c>
      <c r="F1057" s="15">
        <f t="shared" si="4"/>
        <v>2</v>
      </c>
      <c r="G1057" s="16">
        <v>42703.0</v>
      </c>
      <c r="H1057" s="14">
        <f t="shared" si="5"/>
        <v>0</v>
      </c>
      <c r="I1057" s="7" t="s">
        <v>399</v>
      </c>
      <c r="J1057" s="7" t="s">
        <v>306</v>
      </c>
      <c r="K1057" s="7" t="str">
        <f>VLOOKUP(J1057,countries,2,false)</f>
        <v>Serbia</v>
      </c>
      <c r="L1057" s="7" t="str">
        <f>VLOOKUP($J1057,countries,5,false)</f>
        <v>Europe</v>
      </c>
      <c r="M1057" s="7" t="str">
        <f>VLOOKUP($J1057,countries,6,false)</f>
        <v>Southern Europe</v>
      </c>
      <c r="N1057" s="7">
        <v>1270.0</v>
      </c>
      <c r="O1057" s="7" t="str">
        <f>VLOOKUP(N1057, products, 2, FALSE)</f>
        <v>Beverages</v>
      </c>
      <c r="P1057" s="7" t="s">
        <v>334</v>
      </c>
      <c r="Q1057" s="7">
        <v>2466.0</v>
      </c>
      <c r="R1057" s="17">
        <v>47.45</v>
      </c>
      <c r="S1057" s="17">
        <v>31.79</v>
      </c>
      <c r="U1057" s="18">
        <f t="shared" si="6"/>
        <v>117011.7</v>
      </c>
      <c r="V1057" s="18">
        <f t="shared" si="7"/>
        <v>78394.14</v>
      </c>
      <c r="W1057" s="19">
        <f t="shared" si="8"/>
        <v>38617.56</v>
      </c>
    </row>
    <row r="1058">
      <c r="A1058" s="7">
        <v>7.97461354E8</v>
      </c>
      <c r="B1058" s="12">
        <v>40208.0</v>
      </c>
      <c r="C1058" s="7">
        <f t="shared" si="1"/>
        <v>2010</v>
      </c>
      <c r="D1058" s="14" t="str">
        <f t="shared" si="2"/>
        <v>01 - Jan</v>
      </c>
      <c r="E1058" s="15" t="str">
        <f t="shared" si="3"/>
        <v>Sat</v>
      </c>
      <c r="F1058" s="15">
        <f t="shared" si="4"/>
        <v>6</v>
      </c>
      <c r="G1058" s="16">
        <v>40214.0</v>
      </c>
      <c r="H1058" s="14">
        <f t="shared" si="5"/>
        <v>6</v>
      </c>
      <c r="I1058" s="7" t="s">
        <v>399</v>
      </c>
      <c r="J1058" s="7" t="s">
        <v>720</v>
      </c>
      <c r="K1058" s="7" t="str">
        <f>VLOOKUP(J1058,countries,2,false)</f>
        <v>Switzerland</v>
      </c>
      <c r="L1058" s="7" t="str">
        <f>VLOOKUP($J1058,countries,5,false)</f>
        <v>Europe</v>
      </c>
      <c r="M1058" s="7" t="str">
        <f>VLOOKUP($J1058,countries,6,false)</f>
        <v>Western Europe</v>
      </c>
      <c r="N1058" s="7">
        <v>1270.0</v>
      </c>
      <c r="O1058" s="7" t="str">
        <f>VLOOKUP(N1058, products, 2, FALSE)</f>
        <v>Beverages</v>
      </c>
      <c r="P1058" s="7" t="s">
        <v>264</v>
      </c>
      <c r="Q1058" s="7">
        <v>5391.0</v>
      </c>
      <c r="R1058" s="17">
        <v>47.45</v>
      </c>
      <c r="S1058" s="17">
        <v>31.79</v>
      </c>
      <c r="U1058" s="18">
        <f t="shared" si="6"/>
        <v>255802.95</v>
      </c>
      <c r="V1058" s="18">
        <f t="shared" si="7"/>
        <v>171379.89</v>
      </c>
      <c r="W1058" s="19">
        <f t="shared" si="8"/>
        <v>84423.06</v>
      </c>
    </row>
    <row r="1059">
      <c r="A1059" s="7">
        <v>7.97718417E8</v>
      </c>
      <c r="B1059" s="12">
        <v>40418.0</v>
      </c>
      <c r="C1059" s="7">
        <f t="shared" si="1"/>
        <v>2010</v>
      </c>
      <c r="D1059" s="14" t="str">
        <f t="shared" si="2"/>
        <v>08 - Aug</v>
      </c>
      <c r="E1059" s="15" t="str">
        <f t="shared" si="3"/>
        <v>Sat</v>
      </c>
      <c r="F1059" s="15">
        <f t="shared" si="4"/>
        <v>6</v>
      </c>
      <c r="G1059" s="16">
        <v>40466.0</v>
      </c>
      <c r="H1059" s="14">
        <f t="shared" si="5"/>
        <v>48</v>
      </c>
      <c r="I1059" s="7" t="s">
        <v>364</v>
      </c>
      <c r="J1059" s="7" t="s">
        <v>296</v>
      </c>
      <c r="K1059" s="7" t="str">
        <f>VLOOKUP(J1059,countries,2,false)</f>
        <v>France</v>
      </c>
      <c r="L1059" s="7" t="str">
        <f>VLOOKUP($J1059,countries,5,false)</f>
        <v>Europe</v>
      </c>
      <c r="M1059" s="7" t="str">
        <f>VLOOKUP($J1059,countries,6,false)</f>
        <v>Western Europe</v>
      </c>
      <c r="N1059" s="7">
        <v>2103.0</v>
      </c>
      <c r="O1059" s="7" t="str">
        <f>VLOOKUP(N1059, products, 2, FALSE)</f>
        <v>Cereal</v>
      </c>
      <c r="P1059" s="7" t="s">
        <v>334</v>
      </c>
      <c r="Q1059" s="7">
        <v>1462.0</v>
      </c>
      <c r="R1059" s="17">
        <v>205.7</v>
      </c>
      <c r="S1059" s="17">
        <v>117.11</v>
      </c>
      <c r="U1059" s="18">
        <f t="shared" si="6"/>
        <v>300733.4</v>
      </c>
      <c r="V1059" s="18">
        <f t="shared" si="7"/>
        <v>171214.82</v>
      </c>
      <c r="W1059" s="19">
        <f t="shared" si="8"/>
        <v>129518.58</v>
      </c>
    </row>
    <row r="1060">
      <c r="A1060" s="7">
        <v>7.97788369E8</v>
      </c>
      <c r="B1060" s="12">
        <v>42701.0</v>
      </c>
      <c r="C1060" s="7">
        <f t="shared" si="1"/>
        <v>2016</v>
      </c>
      <c r="D1060" s="14" t="str">
        <f t="shared" si="2"/>
        <v>11 - Nov</v>
      </c>
      <c r="E1060" s="15" t="str">
        <f t="shared" si="3"/>
        <v>Sun</v>
      </c>
      <c r="F1060" s="15">
        <f t="shared" si="4"/>
        <v>7</v>
      </c>
      <c r="G1060" s="16">
        <v>42702.0</v>
      </c>
      <c r="H1060" s="14">
        <f t="shared" si="5"/>
        <v>1</v>
      </c>
      <c r="I1060" s="7" t="s">
        <v>364</v>
      </c>
      <c r="J1060" s="7" t="s">
        <v>348</v>
      </c>
      <c r="K1060" s="7" t="s">
        <v>348</v>
      </c>
      <c r="L1060" s="7" t="s">
        <v>348</v>
      </c>
      <c r="M1060" s="7" t="s">
        <v>348</v>
      </c>
      <c r="N1060" s="7">
        <v>8681.0</v>
      </c>
      <c r="O1060" s="7" t="str">
        <f>VLOOKUP(N1060, products, 2, FALSE)</f>
        <v>Office Supplies</v>
      </c>
      <c r="P1060" s="7" t="s">
        <v>264</v>
      </c>
      <c r="Q1060" s="7">
        <v>2162.0</v>
      </c>
      <c r="R1060" s="17">
        <v>651.21</v>
      </c>
      <c r="S1060" s="17">
        <v>524.96</v>
      </c>
      <c r="U1060" s="18">
        <f t="shared" si="6"/>
        <v>1407916.02</v>
      </c>
      <c r="V1060" s="18">
        <f t="shared" si="7"/>
        <v>1134963.52</v>
      </c>
      <c r="W1060" s="19">
        <f t="shared" si="8"/>
        <v>272952.5</v>
      </c>
    </row>
    <row r="1061">
      <c r="A1061" s="7">
        <v>7.99109733E8</v>
      </c>
      <c r="B1061" s="12">
        <v>41347.0</v>
      </c>
      <c r="C1061" s="7">
        <f t="shared" si="1"/>
        <v>2013</v>
      </c>
      <c r="D1061" s="14" t="str">
        <f t="shared" si="2"/>
        <v>03 - Mar</v>
      </c>
      <c r="E1061" s="15" t="str">
        <f t="shared" si="3"/>
        <v>Thu</v>
      </c>
      <c r="F1061" s="15">
        <f t="shared" si="4"/>
        <v>4</v>
      </c>
      <c r="G1061" s="16">
        <v>41393.0</v>
      </c>
      <c r="H1061" s="14">
        <f t="shared" si="5"/>
        <v>46</v>
      </c>
      <c r="I1061" s="7" t="s">
        <v>305</v>
      </c>
      <c r="J1061" s="7" t="s">
        <v>570</v>
      </c>
      <c r="K1061" s="7" t="str">
        <f>VLOOKUP(J1061,countries,2,false)</f>
        <v>Macedonia</v>
      </c>
      <c r="L1061" s="7" t="str">
        <f>VLOOKUP($J1061,countries,5,false)</f>
        <v>Europe</v>
      </c>
      <c r="M1061" s="7" t="str">
        <f>VLOOKUP($J1061,countries,6,false)</f>
        <v>Southern Europe</v>
      </c>
      <c r="N1061" s="7">
        <v>2455.0</v>
      </c>
      <c r="O1061" s="7" t="str">
        <f>VLOOKUP(N1061, products, 2, FALSE)</f>
        <v>Clothes</v>
      </c>
      <c r="P1061" s="7" t="s">
        <v>264</v>
      </c>
      <c r="Q1061" s="7">
        <v>3183.0</v>
      </c>
      <c r="R1061" s="17">
        <v>109.28</v>
      </c>
      <c r="S1061" s="17">
        <v>35.84</v>
      </c>
      <c r="U1061" s="18">
        <f t="shared" si="6"/>
        <v>347838.24</v>
      </c>
      <c r="V1061" s="18">
        <f t="shared" si="7"/>
        <v>114078.72</v>
      </c>
      <c r="W1061" s="19">
        <f t="shared" si="8"/>
        <v>233759.52</v>
      </c>
    </row>
    <row r="1062">
      <c r="A1062" s="7">
        <v>7.99848306E8</v>
      </c>
      <c r="B1062" s="12">
        <v>42440.0</v>
      </c>
      <c r="C1062" s="7">
        <f t="shared" si="1"/>
        <v>2016</v>
      </c>
      <c r="D1062" s="14" t="str">
        <f t="shared" si="2"/>
        <v>03 - Mar</v>
      </c>
      <c r="E1062" s="15" t="str">
        <f t="shared" si="3"/>
        <v>Fri</v>
      </c>
      <c r="F1062" s="15">
        <f t="shared" si="4"/>
        <v>5</v>
      </c>
      <c r="G1062" s="16">
        <v>42483.0</v>
      </c>
      <c r="H1062" s="14">
        <f t="shared" si="5"/>
        <v>43</v>
      </c>
      <c r="I1062" s="7" t="s">
        <v>305</v>
      </c>
      <c r="J1062" s="7" t="s">
        <v>328</v>
      </c>
      <c r="K1062" s="7" t="str">
        <f>VLOOKUP(J1062,countries,2,false)</f>
        <v>Greece</v>
      </c>
      <c r="L1062" s="7" t="str">
        <f>VLOOKUP($J1062,countries,5,false)</f>
        <v>Europe</v>
      </c>
      <c r="M1062" s="7" t="str">
        <f>VLOOKUP($J1062,countries,6,false)</f>
        <v>Southern Europe</v>
      </c>
      <c r="N1062" s="7">
        <v>7940.0</v>
      </c>
      <c r="O1062" s="7" t="str">
        <f>VLOOKUP(N1062, products, 2, FALSE)</f>
        <v>Household</v>
      </c>
      <c r="P1062" s="7" t="s">
        <v>334</v>
      </c>
      <c r="Q1062" s="7">
        <v>1743.0</v>
      </c>
      <c r="R1062" s="17">
        <v>668.27</v>
      </c>
      <c r="S1062" s="17">
        <v>502.54</v>
      </c>
      <c r="U1062" s="18">
        <f t="shared" si="6"/>
        <v>1164794.61</v>
      </c>
      <c r="V1062" s="18">
        <f t="shared" si="7"/>
        <v>875927.22</v>
      </c>
      <c r="W1062" s="19">
        <f t="shared" si="8"/>
        <v>288867.39</v>
      </c>
    </row>
    <row r="1063">
      <c r="A1063" s="7">
        <v>8.00045716E8</v>
      </c>
      <c r="B1063" s="12">
        <v>42841.0</v>
      </c>
      <c r="C1063" s="7">
        <f t="shared" si="1"/>
        <v>2017</v>
      </c>
      <c r="D1063" s="14" t="str">
        <f t="shared" si="2"/>
        <v>04 - Apr</v>
      </c>
      <c r="E1063" s="15" t="str">
        <f t="shared" si="3"/>
        <v>Sun</v>
      </c>
      <c r="F1063" s="15">
        <f t="shared" si="4"/>
        <v>7</v>
      </c>
      <c r="G1063" s="16">
        <v>42869.0</v>
      </c>
      <c r="H1063" s="14">
        <f t="shared" si="5"/>
        <v>28</v>
      </c>
      <c r="I1063" s="7" t="s">
        <v>232</v>
      </c>
      <c r="J1063" s="7" t="s">
        <v>328</v>
      </c>
      <c r="K1063" s="7" t="str">
        <f>VLOOKUP(J1063,countries,2,false)</f>
        <v>Greece</v>
      </c>
      <c r="L1063" s="7" t="str">
        <f>VLOOKUP($J1063,countries,5,false)</f>
        <v>Europe</v>
      </c>
      <c r="M1063" s="7" t="str">
        <f>VLOOKUP($J1063,countries,6,false)</f>
        <v>Southern Europe</v>
      </c>
      <c r="N1063" s="7">
        <v>3127.0</v>
      </c>
      <c r="O1063" s="7" t="str">
        <f>VLOOKUP(N1063, products, 2, FALSE)</f>
        <v>Personal Care</v>
      </c>
      <c r="P1063" s="7" t="s">
        <v>264</v>
      </c>
      <c r="Q1063" s="7">
        <v>161.0</v>
      </c>
      <c r="R1063" s="17">
        <v>81.73</v>
      </c>
      <c r="S1063" s="17">
        <v>56.67</v>
      </c>
      <c r="U1063" s="18">
        <f t="shared" si="6"/>
        <v>13158.53</v>
      </c>
      <c r="V1063" s="18">
        <f t="shared" si="7"/>
        <v>9123.87</v>
      </c>
      <c r="W1063" s="19">
        <f t="shared" si="8"/>
        <v>4034.66</v>
      </c>
    </row>
    <row r="1064">
      <c r="A1064" s="7">
        <v>8.00352561E8</v>
      </c>
      <c r="B1064" s="12">
        <v>41180.0</v>
      </c>
      <c r="C1064" s="7">
        <f t="shared" si="1"/>
        <v>2012</v>
      </c>
      <c r="D1064" s="14" t="str">
        <f t="shared" si="2"/>
        <v>09 - Sep</v>
      </c>
      <c r="E1064" s="15" t="str">
        <f t="shared" si="3"/>
        <v>Fri</v>
      </c>
      <c r="F1064" s="15">
        <f t="shared" si="4"/>
        <v>5</v>
      </c>
      <c r="G1064" s="16">
        <v>41203.0</v>
      </c>
      <c r="H1064" s="14">
        <f t="shared" si="5"/>
        <v>23</v>
      </c>
      <c r="I1064" s="7" t="s">
        <v>399</v>
      </c>
      <c r="J1064" s="7" t="s">
        <v>293</v>
      </c>
      <c r="K1064" s="7" t="str">
        <f>VLOOKUP(J1064,countries,2,false)</f>
        <v>Finland</v>
      </c>
      <c r="L1064" s="7" t="str">
        <f>VLOOKUP($J1064,countries,5,false)</f>
        <v>Europe</v>
      </c>
      <c r="M1064" s="7" t="str">
        <f>VLOOKUP($J1064,countries,6,false)</f>
        <v>Northern Europe</v>
      </c>
      <c r="N1064" s="7">
        <v>5988.0</v>
      </c>
      <c r="O1064" s="7" t="str">
        <f>VLOOKUP(N1064, products, 2, FALSE)</f>
        <v>Vegetables</v>
      </c>
      <c r="P1064" s="7" t="s">
        <v>264</v>
      </c>
      <c r="Q1064" s="7">
        <v>963.0</v>
      </c>
      <c r="R1064" s="17">
        <v>154.06</v>
      </c>
      <c r="S1064" s="17">
        <v>90.93</v>
      </c>
      <c r="U1064" s="18">
        <f t="shared" si="6"/>
        <v>148359.78</v>
      </c>
      <c r="V1064" s="18">
        <f t="shared" si="7"/>
        <v>87565.59</v>
      </c>
      <c r="W1064" s="19">
        <f t="shared" si="8"/>
        <v>60794.19</v>
      </c>
    </row>
    <row r="1065">
      <c r="A1065" s="7">
        <v>8.01352488E8</v>
      </c>
      <c r="B1065" s="12">
        <v>42130.0</v>
      </c>
      <c r="C1065" s="7">
        <f t="shared" si="1"/>
        <v>2015</v>
      </c>
      <c r="D1065" s="14" t="str">
        <f t="shared" si="2"/>
        <v>05 - May</v>
      </c>
      <c r="E1065" s="15" t="str">
        <f t="shared" si="3"/>
        <v>Wed</v>
      </c>
      <c r="F1065" s="15">
        <f t="shared" si="4"/>
        <v>3</v>
      </c>
      <c r="G1065" s="16">
        <v>42147.0</v>
      </c>
      <c r="H1065" s="14">
        <f t="shared" si="5"/>
        <v>17</v>
      </c>
      <c r="I1065" s="7" t="s">
        <v>232</v>
      </c>
      <c r="J1065" s="7" t="s">
        <v>681</v>
      </c>
      <c r="K1065" s="7" t="str">
        <f>VLOOKUP(J1065,countries,2,false)</f>
        <v>United Kingdom</v>
      </c>
      <c r="L1065" s="7" t="str">
        <f>VLOOKUP($J1065,countries,5,false)</f>
        <v>Europe</v>
      </c>
      <c r="M1065" s="7" t="str">
        <f>VLOOKUP($J1065,countries,6,false)</f>
        <v>Northern Europe</v>
      </c>
      <c r="N1065" s="7">
        <v>8293.0</v>
      </c>
      <c r="O1065" s="7" t="str">
        <f>VLOOKUP(N1065, products, 2, FALSE)</f>
        <v>Cosmetics</v>
      </c>
      <c r="P1065" s="7" t="s">
        <v>334</v>
      </c>
      <c r="Q1065" s="7">
        <v>6864.0</v>
      </c>
      <c r="R1065" s="17">
        <v>437.2</v>
      </c>
      <c r="S1065" s="17">
        <v>263.33</v>
      </c>
      <c r="U1065" s="18">
        <f t="shared" si="6"/>
        <v>3000940.8</v>
      </c>
      <c r="V1065" s="18">
        <f t="shared" si="7"/>
        <v>1807497.12</v>
      </c>
      <c r="W1065" s="19">
        <f t="shared" si="8"/>
        <v>1193443.68</v>
      </c>
    </row>
    <row r="1066">
      <c r="A1066" s="7">
        <v>8.01925837E8</v>
      </c>
      <c r="B1066" s="12">
        <v>41564.0</v>
      </c>
      <c r="C1066" s="7">
        <f t="shared" si="1"/>
        <v>2013</v>
      </c>
      <c r="D1066" s="14" t="str">
        <f t="shared" si="2"/>
        <v>10 - Oct</v>
      </c>
      <c r="E1066" s="15" t="str">
        <f t="shared" si="3"/>
        <v>Thu</v>
      </c>
      <c r="F1066" s="15">
        <f t="shared" si="4"/>
        <v>4</v>
      </c>
      <c r="G1066" s="16">
        <v>41573.0</v>
      </c>
      <c r="H1066" s="14">
        <f t="shared" si="5"/>
        <v>9</v>
      </c>
      <c r="I1066" s="7" t="s">
        <v>305</v>
      </c>
      <c r="J1066" s="7" t="s">
        <v>462</v>
      </c>
      <c r="K1066" s="7" t="str">
        <f>VLOOKUP(J1066,countries,2,false)</f>
        <v>Liechtenstein</v>
      </c>
      <c r="L1066" s="7" t="str">
        <f>VLOOKUP($J1066,countries,5,false)</f>
        <v>Europe</v>
      </c>
      <c r="M1066" s="7" t="str">
        <f>VLOOKUP($J1066,countries,6,false)</f>
        <v>Western Europe</v>
      </c>
      <c r="N1066" s="7">
        <v>5988.0</v>
      </c>
      <c r="O1066" s="7" t="str">
        <f>VLOOKUP(N1066, products, 2, FALSE)</f>
        <v>Vegetables</v>
      </c>
      <c r="P1066" s="7" t="s">
        <v>334</v>
      </c>
      <c r="Q1066" s="7">
        <v>6531.0</v>
      </c>
      <c r="R1066" s="17">
        <v>154.06</v>
      </c>
      <c r="S1066" s="17">
        <v>90.93</v>
      </c>
      <c r="U1066" s="18">
        <f t="shared" si="6"/>
        <v>1006165.86</v>
      </c>
      <c r="V1066" s="18">
        <f t="shared" si="7"/>
        <v>593863.83</v>
      </c>
      <c r="W1066" s="19">
        <f t="shared" si="8"/>
        <v>412302.03</v>
      </c>
    </row>
    <row r="1067">
      <c r="A1067" s="7">
        <v>8.05095136E8</v>
      </c>
      <c r="B1067" s="12">
        <v>40191.0</v>
      </c>
      <c r="C1067" s="7">
        <f t="shared" si="1"/>
        <v>2010</v>
      </c>
      <c r="D1067" s="14" t="str">
        <f t="shared" si="2"/>
        <v>01 - Jan</v>
      </c>
      <c r="E1067" s="15" t="str">
        <f t="shared" si="3"/>
        <v>Wed</v>
      </c>
      <c r="F1067" s="15">
        <f t="shared" si="4"/>
        <v>3</v>
      </c>
      <c r="G1067" s="16">
        <v>40198.0</v>
      </c>
      <c r="H1067" s="14">
        <f t="shared" si="5"/>
        <v>7</v>
      </c>
      <c r="I1067" s="7" t="s">
        <v>364</v>
      </c>
      <c r="J1067" s="7" t="s">
        <v>348</v>
      </c>
      <c r="K1067" s="7" t="s">
        <v>348</v>
      </c>
      <c r="L1067" s="7" t="s">
        <v>348</v>
      </c>
      <c r="M1067" s="7" t="s">
        <v>348</v>
      </c>
      <c r="N1067" s="7">
        <v>5988.0</v>
      </c>
      <c r="O1067" s="7" t="str">
        <f>VLOOKUP(N1067, products, 2, FALSE)</f>
        <v>Vegetables</v>
      </c>
      <c r="P1067" s="7" t="s">
        <v>264</v>
      </c>
      <c r="Q1067" s="7">
        <v>4396.0</v>
      </c>
      <c r="R1067" s="17">
        <v>154.06</v>
      </c>
      <c r="S1067" s="17">
        <v>90.93</v>
      </c>
      <c r="U1067" s="18">
        <f t="shared" si="6"/>
        <v>677247.76</v>
      </c>
      <c r="V1067" s="18">
        <f t="shared" si="7"/>
        <v>399728.28</v>
      </c>
      <c r="W1067" s="19">
        <f t="shared" si="8"/>
        <v>277519.48</v>
      </c>
    </row>
    <row r="1068">
      <c r="A1068" s="7">
        <v>8.05974042E8</v>
      </c>
      <c r="B1068" s="12">
        <v>41112.0</v>
      </c>
      <c r="C1068" s="7">
        <f t="shared" si="1"/>
        <v>2012</v>
      </c>
      <c r="D1068" s="14" t="str">
        <f t="shared" si="2"/>
        <v>07 - Jul</v>
      </c>
      <c r="E1068" s="15" t="str">
        <f t="shared" si="3"/>
        <v>Sun</v>
      </c>
      <c r="F1068" s="15">
        <f t="shared" si="4"/>
        <v>7</v>
      </c>
      <c r="G1068" s="16">
        <v>41118.0</v>
      </c>
      <c r="H1068" s="14">
        <f t="shared" si="5"/>
        <v>6</v>
      </c>
      <c r="I1068" s="7" t="s">
        <v>232</v>
      </c>
      <c r="J1068" s="7" t="s">
        <v>246</v>
      </c>
      <c r="K1068" s="7" t="str">
        <f>VLOOKUP(J1068,countries,2,false)</f>
        <v>Denmark</v>
      </c>
      <c r="L1068" s="7" t="str">
        <f>VLOOKUP($J1068,countries,5,false)</f>
        <v>Europe</v>
      </c>
      <c r="M1068" s="7" t="str">
        <f>VLOOKUP($J1068,countries,6,false)</f>
        <v>Northern Europe</v>
      </c>
      <c r="N1068" s="7">
        <v>8293.0</v>
      </c>
      <c r="O1068" s="7" t="str">
        <f>VLOOKUP(N1068, products, 2, FALSE)</f>
        <v>Cosmetics</v>
      </c>
      <c r="P1068" s="7" t="s">
        <v>334</v>
      </c>
      <c r="Q1068" s="7">
        <v>4484.0</v>
      </c>
      <c r="R1068" s="17">
        <v>437.2</v>
      </c>
      <c r="S1068" s="17">
        <v>263.33</v>
      </c>
      <c r="U1068" s="18">
        <f t="shared" si="6"/>
        <v>1960404.8</v>
      </c>
      <c r="V1068" s="18">
        <f t="shared" si="7"/>
        <v>1180771.72</v>
      </c>
      <c r="W1068" s="19">
        <f t="shared" si="8"/>
        <v>779633.08</v>
      </c>
    </row>
    <row r="1069">
      <c r="A1069" s="7">
        <v>8.06197631E8</v>
      </c>
      <c r="B1069" s="12">
        <v>40196.0</v>
      </c>
      <c r="C1069" s="7">
        <f t="shared" si="1"/>
        <v>2010</v>
      </c>
      <c r="D1069" s="14" t="str">
        <f t="shared" si="2"/>
        <v>01 - Jan</v>
      </c>
      <c r="E1069" s="15" t="str">
        <f t="shared" si="3"/>
        <v>Mon</v>
      </c>
      <c r="F1069" s="15">
        <f t="shared" si="4"/>
        <v>1</v>
      </c>
      <c r="G1069" s="16">
        <v>40227.0</v>
      </c>
      <c r="H1069" s="14">
        <f t="shared" si="5"/>
        <v>31</v>
      </c>
      <c r="I1069" s="7" t="s">
        <v>232</v>
      </c>
      <c r="J1069" s="7" t="s">
        <v>240</v>
      </c>
      <c r="K1069" s="7" t="str">
        <f>VLOOKUP(J1069,countries,2,false)</f>
        <v>Cyprus</v>
      </c>
      <c r="L1069" s="7" t="str">
        <f>VLOOKUP($J1069,countries,5,false)</f>
        <v>Asia</v>
      </c>
      <c r="M1069" s="7" t="str">
        <f>VLOOKUP($J1069,countries,6,false)</f>
        <v>Western Asia</v>
      </c>
      <c r="N1069" s="7">
        <v>7331.0</v>
      </c>
      <c r="O1069" s="7" t="str">
        <f>VLOOKUP(N1069, products, 2, FALSE)</f>
        <v>Baby Food</v>
      </c>
      <c r="P1069" s="7" t="s">
        <v>264</v>
      </c>
      <c r="Q1069" s="7">
        <v>649.0</v>
      </c>
      <c r="R1069" s="17">
        <v>255.28</v>
      </c>
      <c r="S1069" s="17">
        <v>159.42</v>
      </c>
      <c r="U1069" s="18">
        <f t="shared" si="6"/>
        <v>165676.72</v>
      </c>
      <c r="V1069" s="18">
        <f t="shared" si="7"/>
        <v>103463.58</v>
      </c>
      <c r="W1069" s="19">
        <f t="shared" si="8"/>
        <v>62213.14</v>
      </c>
    </row>
    <row r="1070">
      <c r="A1070" s="7">
        <v>8.06662404E8</v>
      </c>
      <c r="B1070" s="12">
        <v>40516.0</v>
      </c>
      <c r="C1070" s="7">
        <f t="shared" si="1"/>
        <v>2010</v>
      </c>
      <c r="D1070" s="14" t="str">
        <f t="shared" si="2"/>
        <v>12 - Dec</v>
      </c>
      <c r="E1070" s="15" t="str">
        <f t="shared" si="3"/>
        <v>Sat</v>
      </c>
      <c r="F1070" s="15">
        <f t="shared" si="4"/>
        <v>6</v>
      </c>
      <c r="G1070" s="16">
        <v>40519.0</v>
      </c>
      <c r="H1070" s="14">
        <f t="shared" si="5"/>
        <v>3</v>
      </c>
      <c r="I1070" s="7" t="s">
        <v>399</v>
      </c>
      <c r="J1070" s="7" t="s">
        <v>517</v>
      </c>
      <c r="K1070" s="7" t="str">
        <f>VLOOKUP(J1070,countries,2,false)</f>
        <v>Spain</v>
      </c>
      <c r="L1070" s="7" t="str">
        <f>VLOOKUP($J1070,countries,5,false)</f>
        <v>Europe</v>
      </c>
      <c r="M1070" s="7" t="str">
        <f>VLOOKUP($J1070,countries,6,false)</f>
        <v>Southern Europe</v>
      </c>
      <c r="N1070" s="7">
        <v>2103.0</v>
      </c>
      <c r="O1070" s="7" t="str">
        <f>VLOOKUP(N1070, products, 2, FALSE)</f>
        <v>Cereal</v>
      </c>
      <c r="P1070" s="7" t="s">
        <v>334</v>
      </c>
      <c r="Q1070" s="7">
        <v>8186.0</v>
      </c>
      <c r="R1070" s="17">
        <v>205.7</v>
      </c>
      <c r="S1070" s="17">
        <v>117.11</v>
      </c>
      <c r="U1070" s="18">
        <f t="shared" si="6"/>
        <v>1683860.2</v>
      </c>
      <c r="V1070" s="18">
        <f t="shared" si="7"/>
        <v>958662.46</v>
      </c>
      <c r="W1070" s="19">
        <f t="shared" si="8"/>
        <v>725197.74</v>
      </c>
    </row>
    <row r="1071">
      <c r="A1071" s="7">
        <v>8.10752236E8</v>
      </c>
      <c r="B1071" s="12">
        <v>42457.0</v>
      </c>
      <c r="C1071" s="7">
        <f t="shared" si="1"/>
        <v>2016</v>
      </c>
      <c r="D1071" s="14" t="str">
        <f t="shared" si="2"/>
        <v>03 - Mar</v>
      </c>
      <c r="E1071" s="15" t="str">
        <f t="shared" si="3"/>
        <v>Mon</v>
      </c>
      <c r="F1071" s="15">
        <f t="shared" si="4"/>
        <v>1</v>
      </c>
      <c r="G1071" s="16">
        <v>42494.0</v>
      </c>
      <c r="H1071" s="14">
        <f t="shared" si="5"/>
        <v>37</v>
      </c>
      <c r="I1071" s="7" t="s">
        <v>364</v>
      </c>
      <c r="J1071" s="7" t="s">
        <v>348</v>
      </c>
      <c r="K1071" s="7" t="s">
        <v>348</v>
      </c>
      <c r="L1071" s="7" t="s">
        <v>348</v>
      </c>
      <c r="M1071" s="7" t="s">
        <v>348</v>
      </c>
      <c r="N1071" s="7">
        <v>5988.0</v>
      </c>
      <c r="O1071" s="7" t="str">
        <f>VLOOKUP(N1071, products, 2, FALSE)</f>
        <v>Vegetables</v>
      </c>
      <c r="P1071" s="7" t="s">
        <v>264</v>
      </c>
      <c r="Q1071" s="7">
        <v>8458.0</v>
      </c>
      <c r="R1071" s="17">
        <v>154.06</v>
      </c>
      <c r="S1071" s="17">
        <v>90.93</v>
      </c>
      <c r="U1071" s="18">
        <f t="shared" si="6"/>
        <v>1303039.48</v>
      </c>
      <c r="V1071" s="18">
        <f t="shared" si="7"/>
        <v>769085.94</v>
      </c>
      <c r="W1071" s="19">
        <f t="shared" si="8"/>
        <v>533953.54</v>
      </c>
    </row>
    <row r="1072">
      <c r="A1072" s="7">
        <v>8.1197704E8</v>
      </c>
      <c r="B1072" s="12">
        <v>42109.0</v>
      </c>
      <c r="C1072" s="7">
        <f t="shared" si="1"/>
        <v>2015</v>
      </c>
      <c r="D1072" s="14" t="str">
        <f t="shared" si="2"/>
        <v>04 - Apr</v>
      </c>
      <c r="E1072" s="15" t="str">
        <f t="shared" si="3"/>
        <v>Wed</v>
      </c>
      <c r="F1072" s="15">
        <f t="shared" si="4"/>
        <v>3</v>
      </c>
      <c r="G1072" s="16">
        <v>42152.0</v>
      </c>
      <c r="H1072" s="14">
        <f t="shared" si="5"/>
        <v>43</v>
      </c>
      <c r="I1072" s="7" t="s">
        <v>232</v>
      </c>
      <c r="J1072" s="7" t="s">
        <v>720</v>
      </c>
      <c r="K1072" s="7" t="str">
        <f>VLOOKUP(J1072,countries,2,false)</f>
        <v>Switzerland</v>
      </c>
      <c r="L1072" s="7" t="str">
        <f>VLOOKUP($J1072,countries,5,false)</f>
        <v>Europe</v>
      </c>
      <c r="M1072" s="7" t="str">
        <f>VLOOKUP($J1072,countries,6,false)</f>
        <v>Western Europe</v>
      </c>
      <c r="N1072" s="7">
        <v>8293.0</v>
      </c>
      <c r="O1072" s="7" t="str">
        <f>VLOOKUP(N1072, products, 2, FALSE)</f>
        <v>Cosmetics</v>
      </c>
      <c r="P1072" s="7" t="s">
        <v>264</v>
      </c>
      <c r="Q1072" s="7">
        <v>905.0</v>
      </c>
      <c r="R1072" s="17">
        <v>437.2</v>
      </c>
      <c r="S1072" s="17">
        <v>263.33</v>
      </c>
      <c r="U1072" s="18">
        <f t="shared" si="6"/>
        <v>395666</v>
      </c>
      <c r="V1072" s="18">
        <f t="shared" si="7"/>
        <v>238313.65</v>
      </c>
      <c r="W1072" s="19">
        <f t="shared" si="8"/>
        <v>157352.35</v>
      </c>
    </row>
    <row r="1073">
      <c r="A1073" s="7">
        <v>8.12632358E8</v>
      </c>
      <c r="B1073" s="12">
        <v>41181.0</v>
      </c>
      <c r="C1073" s="7">
        <f t="shared" si="1"/>
        <v>2012</v>
      </c>
      <c r="D1073" s="14" t="str">
        <f t="shared" si="2"/>
        <v>09 - Sep</v>
      </c>
      <c r="E1073" s="15" t="str">
        <f t="shared" si="3"/>
        <v>Sat</v>
      </c>
      <c r="F1073" s="15">
        <f t="shared" si="4"/>
        <v>6</v>
      </c>
      <c r="G1073" s="16">
        <v>41199.0</v>
      </c>
      <c r="H1073" s="14">
        <f t="shared" si="5"/>
        <v>18</v>
      </c>
      <c r="I1073" s="7" t="s">
        <v>305</v>
      </c>
      <c r="J1073" s="7" t="s">
        <v>623</v>
      </c>
      <c r="K1073" s="7" t="str">
        <f>VLOOKUP(J1073,countries,2,false)</f>
        <v>Romania</v>
      </c>
      <c r="L1073" s="7" t="str">
        <f>VLOOKUP($J1073,countries,5,false)</f>
        <v>Europe</v>
      </c>
      <c r="M1073" s="7" t="str">
        <f>VLOOKUP($J1073,countries,6,false)</f>
        <v>Eastern Europe</v>
      </c>
      <c r="N1073" s="7">
        <v>2103.0</v>
      </c>
      <c r="O1073" s="7" t="str">
        <f>VLOOKUP(N1073, products, 2, FALSE)</f>
        <v>Cereal</v>
      </c>
      <c r="P1073" s="7" t="s">
        <v>334</v>
      </c>
      <c r="Q1073" s="7">
        <v>4828.0</v>
      </c>
      <c r="R1073" s="17">
        <v>205.7</v>
      </c>
      <c r="S1073" s="17">
        <v>117.11</v>
      </c>
      <c r="U1073" s="18">
        <f t="shared" si="6"/>
        <v>993119.6</v>
      </c>
      <c r="V1073" s="18">
        <f t="shared" si="7"/>
        <v>565407.08</v>
      </c>
      <c r="W1073" s="19">
        <f t="shared" si="8"/>
        <v>427712.52</v>
      </c>
    </row>
    <row r="1074">
      <c r="A1074" s="7">
        <v>8.12637078E8</v>
      </c>
      <c r="B1074" s="12">
        <v>41623.0</v>
      </c>
      <c r="C1074" s="7">
        <f t="shared" si="1"/>
        <v>2013</v>
      </c>
      <c r="D1074" s="14" t="str">
        <f t="shared" si="2"/>
        <v>12 - Dec</v>
      </c>
      <c r="E1074" s="15" t="str">
        <f t="shared" si="3"/>
        <v>Sun</v>
      </c>
      <c r="F1074" s="15">
        <f t="shared" si="4"/>
        <v>7</v>
      </c>
      <c r="G1074" s="16">
        <v>41644.0</v>
      </c>
      <c r="H1074" s="14">
        <f t="shared" si="5"/>
        <v>21</v>
      </c>
      <c r="I1074" s="7" t="s">
        <v>232</v>
      </c>
      <c r="J1074" s="7" t="s">
        <v>685</v>
      </c>
      <c r="K1074" s="7" t="str">
        <f>VLOOKUP(J1074,countries,2,false)</f>
        <v>Slovenia</v>
      </c>
      <c r="L1074" s="7" t="str">
        <f>VLOOKUP($J1074,countries,5,false)</f>
        <v>Europe</v>
      </c>
      <c r="M1074" s="7" t="str">
        <f>VLOOKUP($J1074,countries,6,false)</f>
        <v>Southern Europe</v>
      </c>
      <c r="N1074" s="7">
        <v>4594.0</v>
      </c>
      <c r="O1074" s="7" t="str">
        <f>VLOOKUP(N1074, products, 2, FALSE)</f>
        <v>Fruits</v>
      </c>
      <c r="P1074" s="7" t="s">
        <v>334</v>
      </c>
      <c r="Q1074" s="7">
        <v>6225.0</v>
      </c>
      <c r="R1074" s="17">
        <v>9.33</v>
      </c>
      <c r="S1074" s="17">
        <v>6.92</v>
      </c>
      <c r="U1074" s="18">
        <f t="shared" si="6"/>
        <v>58079.25</v>
      </c>
      <c r="V1074" s="18">
        <f t="shared" si="7"/>
        <v>43077</v>
      </c>
      <c r="W1074" s="19">
        <f t="shared" si="8"/>
        <v>15002.25</v>
      </c>
    </row>
    <row r="1075">
      <c r="A1075" s="7">
        <v>8.13973891E8</v>
      </c>
      <c r="B1075" s="12">
        <v>41214.0</v>
      </c>
      <c r="C1075" s="7">
        <f t="shared" si="1"/>
        <v>2012</v>
      </c>
      <c r="D1075" s="14" t="str">
        <f t="shared" si="2"/>
        <v>11 - Nov</v>
      </c>
      <c r="E1075" s="15" t="str">
        <f t="shared" si="3"/>
        <v>Thu</v>
      </c>
      <c r="F1075" s="15">
        <f t="shared" si="4"/>
        <v>4</v>
      </c>
      <c r="G1075" s="16">
        <v>41226.0</v>
      </c>
      <c r="H1075" s="14">
        <f t="shared" si="5"/>
        <v>12</v>
      </c>
      <c r="I1075" s="7" t="s">
        <v>305</v>
      </c>
      <c r="J1075" s="7" t="s">
        <v>348</v>
      </c>
      <c r="K1075" s="7" t="s">
        <v>348</v>
      </c>
      <c r="L1075" s="7" t="s">
        <v>348</v>
      </c>
      <c r="M1075" s="7" t="s">
        <v>348</v>
      </c>
      <c r="N1075" s="7">
        <v>8293.0</v>
      </c>
      <c r="O1075" s="7" t="str">
        <f>VLOOKUP(N1075, products, 2, FALSE)</f>
        <v>Cosmetics</v>
      </c>
      <c r="P1075" s="7" t="s">
        <v>334</v>
      </c>
      <c r="Q1075" s="7">
        <v>1818.0</v>
      </c>
      <c r="R1075" s="17">
        <v>437.2</v>
      </c>
      <c r="S1075" s="17">
        <v>263.33</v>
      </c>
      <c r="U1075" s="18">
        <f t="shared" si="6"/>
        <v>794829.6</v>
      </c>
      <c r="V1075" s="18">
        <f t="shared" si="7"/>
        <v>478733.94</v>
      </c>
      <c r="W1075" s="19">
        <f t="shared" si="8"/>
        <v>316095.66</v>
      </c>
    </row>
    <row r="1076">
      <c r="A1076" s="7">
        <v>8.15755307E8</v>
      </c>
      <c r="B1076" s="12">
        <v>42503.0</v>
      </c>
      <c r="C1076" s="7">
        <f t="shared" si="1"/>
        <v>2016</v>
      </c>
      <c r="D1076" s="14" t="str">
        <f t="shared" si="2"/>
        <v>05 - May</v>
      </c>
      <c r="E1076" s="15" t="str">
        <f t="shared" si="3"/>
        <v>Fri</v>
      </c>
      <c r="F1076" s="15">
        <f t="shared" si="4"/>
        <v>5</v>
      </c>
      <c r="G1076" s="16">
        <v>42530.0</v>
      </c>
      <c r="H1076" s="14">
        <f t="shared" si="5"/>
        <v>27</v>
      </c>
      <c r="I1076" s="7" t="s">
        <v>364</v>
      </c>
      <c r="J1076" s="7" t="s">
        <v>348</v>
      </c>
      <c r="K1076" s="7" t="s">
        <v>348</v>
      </c>
      <c r="L1076" s="7" t="s">
        <v>348</v>
      </c>
      <c r="M1076" s="7" t="s">
        <v>348</v>
      </c>
      <c r="N1076" s="7">
        <v>8875.0</v>
      </c>
      <c r="O1076" s="7" t="str">
        <f>VLOOKUP(N1076, products, 2, FALSE)</f>
        <v>Meat</v>
      </c>
      <c r="P1076" s="7" t="s">
        <v>334</v>
      </c>
      <c r="Q1076" s="7">
        <v>8978.0</v>
      </c>
      <c r="R1076" s="17">
        <v>421.89</v>
      </c>
      <c r="S1076" s="17">
        <v>364.69</v>
      </c>
      <c r="U1076" s="18">
        <f t="shared" si="6"/>
        <v>3787728.42</v>
      </c>
      <c r="V1076" s="18">
        <f t="shared" si="7"/>
        <v>3274186.82</v>
      </c>
      <c r="W1076" s="19">
        <f t="shared" si="8"/>
        <v>513541.6</v>
      </c>
    </row>
    <row r="1077">
      <c r="A1077" s="7">
        <v>8.15917098E8</v>
      </c>
      <c r="B1077" s="12">
        <v>40571.0</v>
      </c>
      <c r="C1077" s="7">
        <f t="shared" si="1"/>
        <v>2011</v>
      </c>
      <c r="D1077" s="14" t="str">
        <f t="shared" si="2"/>
        <v>01 - Jan</v>
      </c>
      <c r="E1077" s="15" t="str">
        <f t="shared" si="3"/>
        <v>Fri</v>
      </c>
      <c r="F1077" s="15">
        <f t="shared" si="4"/>
        <v>5</v>
      </c>
      <c r="G1077" s="16">
        <v>40587.0</v>
      </c>
      <c r="H1077" s="14">
        <f t="shared" si="5"/>
        <v>16</v>
      </c>
      <c r="I1077" s="7" t="s">
        <v>232</v>
      </c>
      <c r="J1077" s="7" t="s">
        <v>396</v>
      </c>
      <c r="K1077" s="7" t="str">
        <f>VLOOKUP(J1077,countries,2,false)</f>
        <v>Ireland</v>
      </c>
      <c r="L1077" s="7" t="str">
        <f>VLOOKUP($J1077,countries,5,false)</f>
        <v>Europe</v>
      </c>
      <c r="M1077" s="7" t="str">
        <f>VLOOKUP($J1077,countries,6,false)</f>
        <v>Northern Europe</v>
      </c>
      <c r="N1077" s="7">
        <v>8293.0</v>
      </c>
      <c r="O1077" s="7" t="str">
        <f>VLOOKUP(N1077, products, 2, FALSE)</f>
        <v>Cosmetics</v>
      </c>
      <c r="P1077" s="7" t="s">
        <v>264</v>
      </c>
      <c r="Q1077" s="7">
        <v>6856.0</v>
      </c>
      <c r="R1077" s="17">
        <v>437.2</v>
      </c>
      <c r="S1077" s="17">
        <v>263.33</v>
      </c>
      <c r="U1077" s="18">
        <f t="shared" si="6"/>
        <v>2997443.2</v>
      </c>
      <c r="V1077" s="18">
        <f t="shared" si="7"/>
        <v>1805390.48</v>
      </c>
      <c r="W1077" s="19">
        <f t="shared" si="8"/>
        <v>1192052.72</v>
      </c>
    </row>
    <row r="1078">
      <c r="A1078" s="7">
        <v>8.17006289E8</v>
      </c>
      <c r="B1078" s="12">
        <v>40838.0</v>
      </c>
      <c r="C1078" s="7">
        <f t="shared" si="1"/>
        <v>2011</v>
      </c>
      <c r="D1078" s="14" t="str">
        <f t="shared" si="2"/>
        <v>10 - Oct</v>
      </c>
      <c r="E1078" s="15" t="str">
        <f t="shared" si="3"/>
        <v>Sat</v>
      </c>
      <c r="F1078" s="15">
        <f t="shared" si="4"/>
        <v>6</v>
      </c>
      <c r="G1078" s="16">
        <v>40861.0</v>
      </c>
      <c r="H1078" s="14">
        <f t="shared" si="5"/>
        <v>23</v>
      </c>
      <c r="I1078" s="7" t="s">
        <v>399</v>
      </c>
      <c r="J1078" s="7" t="s">
        <v>517</v>
      </c>
      <c r="K1078" s="7" t="str">
        <f>VLOOKUP(J1078,countries,2,false)</f>
        <v>Spain</v>
      </c>
      <c r="L1078" s="7" t="str">
        <f>VLOOKUP($J1078,countries,5,false)</f>
        <v>Europe</v>
      </c>
      <c r="M1078" s="7" t="str">
        <f>VLOOKUP($J1078,countries,6,false)</f>
        <v>Southern Europe</v>
      </c>
      <c r="N1078" s="7">
        <v>4594.0</v>
      </c>
      <c r="O1078" s="7" t="str">
        <f>VLOOKUP(N1078, products, 2, FALSE)</f>
        <v>Fruits</v>
      </c>
      <c r="P1078" s="7" t="s">
        <v>264</v>
      </c>
      <c r="Q1078" s="7">
        <v>9172.0</v>
      </c>
      <c r="R1078" s="17">
        <v>9.33</v>
      </c>
      <c r="S1078" s="17">
        <v>6.92</v>
      </c>
      <c r="U1078" s="18">
        <f t="shared" si="6"/>
        <v>85574.76</v>
      </c>
      <c r="V1078" s="18">
        <f t="shared" si="7"/>
        <v>63470.24</v>
      </c>
      <c r="W1078" s="19">
        <f t="shared" si="8"/>
        <v>22104.52</v>
      </c>
    </row>
    <row r="1079">
      <c r="A1079" s="7">
        <v>8.17061221E8</v>
      </c>
      <c r="B1079" s="12">
        <v>40204.0</v>
      </c>
      <c r="C1079" s="7">
        <f t="shared" si="1"/>
        <v>2010</v>
      </c>
      <c r="D1079" s="14" t="str">
        <f t="shared" si="2"/>
        <v>01 - Jan</v>
      </c>
      <c r="E1079" s="15" t="str">
        <f t="shared" si="3"/>
        <v>Tue</v>
      </c>
      <c r="F1079" s="15">
        <f t="shared" si="4"/>
        <v>2</v>
      </c>
      <c r="G1079" s="16">
        <v>40230.0</v>
      </c>
      <c r="H1079" s="14">
        <f t="shared" si="5"/>
        <v>26</v>
      </c>
      <c r="I1079" s="7" t="s">
        <v>305</v>
      </c>
      <c r="J1079" s="7" t="s">
        <v>165</v>
      </c>
      <c r="K1079" s="7" t="str">
        <f>VLOOKUP(J1079,countries,2,false)</f>
        <v>Bulgaria</v>
      </c>
      <c r="L1079" s="7" t="str">
        <f>VLOOKUP($J1079,countries,5,false)</f>
        <v>Europe</v>
      </c>
      <c r="M1079" s="7" t="str">
        <f>VLOOKUP($J1079,countries,6,false)</f>
        <v>Eastern Europe</v>
      </c>
      <c r="N1079" s="7">
        <v>5988.0</v>
      </c>
      <c r="O1079" s="7" t="str">
        <f>VLOOKUP(N1079, products, 2, FALSE)</f>
        <v>Vegetables</v>
      </c>
      <c r="P1079" s="7" t="s">
        <v>334</v>
      </c>
      <c r="Q1079" s="7">
        <v>5427.0</v>
      </c>
      <c r="R1079" s="17">
        <v>154.06</v>
      </c>
      <c r="S1079" s="17">
        <v>90.93</v>
      </c>
      <c r="U1079" s="18">
        <f t="shared" si="6"/>
        <v>836083.62</v>
      </c>
      <c r="V1079" s="18">
        <f t="shared" si="7"/>
        <v>493477.11</v>
      </c>
      <c r="W1079" s="19">
        <f t="shared" si="8"/>
        <v>342606.51</v>
      </c>
    </row>
    <row r="1080">
      <c r="A1080" s="7">
        <v>8.18976962E8</v>
      </c>
      <c r="B1080" s="12">
        <v>41261.0</v>
      </c>
      <c r="C1080" s="7">
        <f t="shared" si="1"/>
        <v>2012</v>
      </c>
      <c r="D1080" s="14" t="str">
        <f t="shared" si="2"/>
        <v>12 - Dec</v>
      </c>
      <c r="E1080" s="15" t="str">
        <f t="shared" si="3"/>
        <v>Tue</v>
      </c>
      <c r="F1080" s="15">
        <f t="shared" si="4"/>
        <v>2</v>
      </c>
      <c r="G1080" s="16">
        <v>41264.0</v>
      </c>
      <c r="H1080" s="14">
        <f t="shared" si="5"/>
        <v>3</v>
      </c>
      <c r="I1080" s="7" t="s">
        <v>305</v>
      </c>
      <c r="J1080" s="7" t="s">
        <v>348</v>
      </c>
      <c r="K1080" s="7" t="s">
        <v>348</v>
      </c>
      <c r="L1080" s="7" t="s">
        <v>348</v>
      </c>
      <c r="M1080" s="7" t="s">
        <v>348</v>
      </c>
      <c r="N1080" s="7">
        <v>5988.0</v>
      </c>
      <c r="O1080" s="7" t="str">
        <f>VLOOKUP(N1080, products, 2, FALSE)</f>
        <v>Vegetables</v>
      </c>
      <c r="P1080" s="7" t="s">
        <v>334</v>
      </c>
      <c r="Q1080" s="7">
        <v>2337.0</v>
      </c>
      <c r="R1080" s="17">
        <v>154.06</v>
      </c>
      <c r="S1080" s="17">
        <v>90.93</v>
      </c>
      <c r="U1080" s="18">
        <f t="shared" si="6"/>
        <v>360038.22</v>
      </c>
      <c r="V1080" s="18">
        <f t="shared" si="7"/>
        <v>212503.41</v>
      </c>
      <c r="W1080" s="19">
        <f t="shared" si="8"/>
        <v>147534.81</v>
      </c>
    </row>
    <row r="1081">
      <c r="A1081" s="7">
        <v>8.19037473E8</v>
      </c>
      <c r="B1081" s="12">
        <v>42658.0</v>
      </c>
      <c r="C1081" s="7">
        <f t="shared" si="1"/>
        <v>2016</v>
      </c>
      <c r="D1081" s="14" t="str">
        <f t="shared" si="2"/>
        <v>10 - Oct</v>
      </c>
      <c r="E1081" s="15" t="str">
        <f t="shared" si="3"/>
        <v>Sat</v>
      </c>
      <c r="F1081" s="15">
        <f t="shared" si="4"/>
        <v>6</v>
      </c>
      <c r="G1081" s="16">
        <v>42658.0</v>
      </c>
      <c r="H1081" s="14">
        <f t="shared" si="5"/>
        <v>0</v>
      </c>
      <c r="I1081" s="7" t="s">
        <v>364</v>
      </c>
      <c r="J1081" s="7" t="s">
        <v>720</v>
      </c>
      <c r="K1081" s="7" t="str">
        <f>VLOOKUP(J1081,countries,2,false)</f>
        <v>Switzerland</v>
      </c>
      <c r="L1081" s="7" t="str">
        <f>VLOOKUP($J1081,countries,5,false)</f>
        <v>Europe</v>
      </c>
      <c r="M1081" s="7" t="str">
        <f>VLOOKUP($J1081,countries,6,false)</f>
        <v>Western Europe</v>
      </c>
      <c r="N1081" s="7">
        <v>5988.0</v>
      </c>
      <c r="O1081" s="7" t="str">
        <f>VLOOKUP(N1081, products, 2, FALSE)</f>
        <v>Vegetables</v>
      </c>
      <c r="P1081" s="7" t="s">
        <v>264</v>
      </c>
      <c r="Q1081" s="7">
        <v>244.0</v>
      </c>
      <c r="R1081" s="17">
        <v>154.06</v>
      </c>
      <c r="S1081" s="17">
        <v>90.93</v>
      </c>
      <c r="U1081" s="18">
        <f t="shared" si="6"/>
        <v>37590.64</v>
      </c>
      <c r="V1081" s="18">
        <f t="shared" si="7"/>
        <v>22186.92</v>
      </c>
      <c r="W1081" s="19">
        <f t="shared" si="8"/>
        <v>15403.72</v>
      </c>
    </row>
    <row r="1082">
      <c r="A1082" s="7">
        <v>8.19152915E8</v>
      </c>
      <c r="B1082" s="12">
        <v>40656.0</v>
      </c>
      <c r="C1082" s="7">
        <f t="shared" si="1"/>
        <v>2011</v>
      </c>
      <c r="D1082" s="14" t="str">
        <f t="shared" si="2"/>
        <v>04 - Apr</v>
      </c>
      <c r="E1082" s="15" t="str">
        <f t="shared" si="3"/>
        <v>Sat</v>
      </c>
      <c r="F1082" s="15">
        <f t="shared" si="4"/>
        <v>6</v>
      </c>
      <c r="G1082" s="16">
        <v>40657.0</v>
      </c>
      <c r="H1082" s="14">
        <f t="shared" si="5"/>
        <v>1</v>
      </c>
      <c r="I1082" s="7" t="s">
        <v>399</v>
      </c>
      <c r="J1082" s="7" t="s">
        <v>365</v>
      </c>
      <c r="K1082" s="7" t="str">
        <f>VLOOKUP(J1082,countries,2,false)</f>
        <v>Montenegro</v>
      </c>
      <c r="L1082" s="7" t="str">
        <f>VLOOKUP($J1082,countries,5,false)</f>
        <v>Europe</v>
      </c>
      <c r="M1082" s="7" t="str">
        <f>VLOOKUP($J1082,countries,6,false)</f>
        <v>Southern Europe</v>
      </c>
      <c r="N1082" s="7">
        <v>8681.0</v>
      </c>
      <c r="O1082" s="7" t="str">
        <f>VLOOKUP(N1082, products, 2, FALSE)</f>
        <v>Office Supplies</v>
      </c>
      <c r="P1082" s="7" t="s">
        <v>334</v>
      </c>
      <c r="Q1082" s="7">
        <v>4406.0</v>
      </c>
      <c r="R1082" s="17">
        <v>651.21</v>
      </c>
      <c r="S1082" s="17">
        <v>524.96</v>
      </c>
      <c r="U1082" s="18">
        <f t="shared" si="6"/>
        <v>2869231.26</v>
      </c>
      <c r="V1082" s="18">
        <f t="shared" si="7"/>
        <v>2312973.76</v>
      </c>
      <c r="W1082" s="19">
        <f t="shared" si="8"/>
        <v>556257.5</v>
      </c>
    </row>
    <row r="1083">
      <c r="A1083" s="7">
        <v>8.19516837E8</v>
      </c>
      <c r="B1083" s="12">
        <v>42334.0</v>
      </c>
      <c r="C1083" s="7">
        <f t="shared" si="1"/>
        <v>2015</v>
      </c>
      <c r="D1083" s="14" t="str">
        <f t="shared" si="2"/>
        <v>11 - Nov</v>
      </c>
      <c r="E1083" s="15" t="str">
        <f t="shared" si="3"/>
        <v>Thu</v>
      </c>
      <c r="F1083" s="15">
        <f t="shared" si="4"/>
        <v>4</v>
      </c>
      <c r="G1083" s="16">
        <v>42363.0</v>
      </c>
      <c r="H1083" s="14">
        <f t="shared" si="5"/>
        <v>29</v>
      </c>
      <c r="I1083" s="7" t="s">
        <v>305</v>
      </c>
      <c r="J1083" s="7" t="s">
        <v>489</v>
      </c>
      <c r="K1083" s="7" t="str">
        <f>VLOOKUP(J1083,countries,2,false)</f>
        <v>Malta</v>
      </c>
      <c r="L1083" s="7" t="str">
        <f>VLOOKUP($J1083,countries,5,false)</f>
        <v>Europe</v>
      </c>
      <c r="M1083" s="7" t="str">
        <f>VLOOKUP($J1083,countries,6,false)</f>
        <v>Southern Europe</v>
      </c>
      <c r="N1083" s="7">
        <v>8293.0</v>
      </c>
      <c r="O1083" s="7" t="str">
        <f>VLOOKUP(N1083, products, 2, FALSE)</f>
        <v>Cosmetics</v>
      </c>
      <c r="P1083" s="7" t="s">
        <v>334</v>
      </c>
      <c r="Q1083" s="7">
        <v>2098.0</v>
      </c>
      <c r="R1083" s="17">
        <v>437.2</v>
      </c>
      <c r="S1083" s="17">
        <v>263.33</v>
      </c>
      <c r="U1083" s="18">
        <f t="shared" si="6"/>
        <v>917245.6</v>
      </c>
      <c r="V1083" s="18">
        <f t="shared" si="7"/>
        <v>552466.34</v>
      </c>
      <c r="W1083" s="19">
        <f t="shared" si="8"/>
        <v>364779.26</v>
      </c>
    </row>
    <row r="1084">
      <c r="A1084" s="7">
        <v>8.20195758E8</v>
      </c>
      <c r="B1084" s="12">
        <v>40852.0</v>
      </c>
      <c r="C1084" s="7">
        <f t="shared" si="1"/>
        <v>2011</v>
      </c>
      <c r="D1084" s="14" t="str">
        <f t="shared" si="2"/>
        <v>11 - Nov</v>
      </c>
      <c r="E1084" s="15" t="str">
        <f t="shared" si="3"/>
        <v>Sat</v>
      </c>
      <c r="F1084" s="15">
        <f t="shared" si="4"/>
        <v>6</v>
      </c>
      <c r="G1084" s="16">
        <v>40871.0</v>
      </c>
      <c r="H1084" s="14">
        <f t="shared" si="5"/>
        <v>19</v>
      </c>
      <c r="I1084" s="7" t="s">
        <v>364</v>
      </c>
      <c r="J1084" s="7" t="s">
        <v>348</v>
      </c>
      <c r="K1084" s="7" t="s">
        <v>348</v>
      </c>
      <c r="L1084" s="7" t="s">
        <v>348</v>
      </c>
      <c r="M1084" s="7" t="s">
        <v>348</v>
      </c>
      <c r="N1084" s="7">
        <v>8969.0</v>
      </c>
      <c r="O1084" s="7" t="str">
        <f>VLOOKUP(N1084, products, 2, FALSE)</f>
        <v>Snacks</v>
      </c>
      <c r="P1084" s="7" t="s">
        <v>334</v>
      </c>
      <c r="Q1084" s="7">
        <v>3006.0</v>
      </c>
      <c r="R1084" s="17">
        <v>152.58</v>
      </c>
      <c r="S1084" s="17">
        <v>97.44</v>
      </c>
      <c r="U1084" s="18">
        <f t="shared" si="6"/>
        <v>458655.48</v>
      </c>
      <c r="V1084" s="18">
        <f t="shared" si="7"/>
        <v>292904.64</v>
      </c>
      <c r="W1084" s="19">
        <f t="shared" si="8"/>
        <v>165750.84</v>
      </c>
    </row>
    <row r="1085">
      <c r="A1085" s="7">
        <v>8.20437371E8</v>
      </c>
      <c r="B1085" s="12">
        <v>42883.0</v>
      </c>
      <c r="C1085" s="7">
        <f t="shared" si="1"/>
        <v>2017</v>
      </c>
      <c r="D1085" s="14" t="str">
        <f t="shared" si="2"/>
        <v>05 - May</v>
      </c>
      <c r="E1085" s="15" t="str">
        <f t="shared" si="3"/>
        <v>Sun</v>
      </c>
      <c r="F1085" s="15">
        <f t="shared" si="4"/>
        <v>7</v>
      </c>
      <c r="G1085" s="16">
        <v>42897.0</v>
      </c>
      <c r="H1085" s="14">
        <f t="shared" si="5"/>
        <v>14</v>
      </c>
      <c r="I1085" s="7" t="s">
        <v>399</v>
      </c>
      <c r="J1085" s="7" t="s">
        <v>319</v>
      </c>
      <c r="K1085" s="7" t="str">
        <f>VLOOKUP(J1085,countries,2,false)</f>
        <v>Germany</v>
      </c>
      <c r="L1085" s="7" t="str">
        <f>VLOOKUP($J1085,countries,5,false)</f>
        <v>Europe</v>
      </c>
      <c r="M1085" s="7" t="str">
        <f>VLOOKUP($J1085,countries,6,false)</f>
        <v>Western Europe</v>
      </c>
      <c r="N1085" s="7">
        <v>8875.0</v>
      </c>
      <c r="O1085" s="7" t="str">
        <f>VLOOKUP(N1085, products, 2, FALSE)</f>
        <v>Meat</v>
      </c>
      <c r="P1085" s="7" t="s">
        <v>264</v>
      </c>
      <c r="Q1085" s="7">
        <v>4505.0</v>
      </c>
      <c r="R1085" s="17">
        <v>421.89</v>
      </c>
      <c r="S1085" s="17">
        <v>364.69</v>
      </c>
      <c r="U1085" s="18">
        <f t="shared" si="6"/>
        <v>1900614.45</v>
      </c>
      <c r="V1085" s="18">
        <f t="shared" si="7"/>
        <v>1642928.45</v>
      </c>
      <c r="W1085" s="19">
        <f t="shared" si="8"/>
        <v>257686</v>
      </c>
    </row>
    <row r="1086">
      <c r="A1086" s="7">
        <v>8.21131742E8</v>
      </c>
      <c r="B1086" s="12">
        <v>42347.0</v>
      </c>
      <c r="C1086" s="7">
        <f t="shared" si="1"/>
        <v>2015</v>
      </c>
      <c r="D1086" s="14" t="str">
        <f t="shared" si="2"/>
        <v>12 - Dec</v>
      </c>
      <c r="E1086" s="15" t="str">
        <f t="shared" si="3"/>
        <v>Wed</v>
      </c>
      <c r="F1086" s="15">
        <f t="shared" si="4"/>
        <v>3</v>
      </c>
      <c r="G1086" s="16">
        <v>42347.0</v>
      </c>
      <c r="H1086" s="14">
        <f t="shared" si="5"/>
        <v>0</v>
      </c>
      <c r="I1086" s="7" t="s">
        <v>399</v>
      </c>
      <c r="J1086" s="7" t="s">
        <v>656</v>
      </c>
      <c r="K1086" s="7" t="str">
        <f>VLOOKUP(J1086,countries,2,false)</f>
        <v>San Marino</v>
      </c>
      <c r="L1086" s="7" t="str">
        <f>VLOOKUP($J1086,countries,5,false)</f>
        <v>Europe</v>
      </c>
      <c r="M1086" s="7" t="str">
        <f>VLOOKUP($J1086,countries,6,false)</f>
        <v>Southern Europe</v>
      </c>
      <c r="N1086" s="7">
        <v>7940.0</v>
      </c>
      <c r="O1086" s="7" t="str">
        <f>VLOOKUP(N1086, products, 2, FALSE)</f>
        <v>Household</v>
      </c>
      <c r="P1086" s="7" t="s">
        <v>334</v>
      </c>
      <c r="Q1086" s="7">
        <v>9985.0</v>
      </c>
      <c r="R1086" s="17">
        <v>668.27</v>
      </c>
      <c r="S1086" s="17">
        <v>502.54</v>
      </c>
      <c r="U1086" s="18">
        <f t="shared" si="6"/>
        <v>6672675.95</v>
      </c>
      <c r="V1086" s="18">
        <f t="shared" si="7"/>
        <v>5017861.9</v>
      </c>
      <c r="W1086" s="19">
        <f t="shared" si="8"/>
        <v>1654814.05</v>
      </c>
    </row>
    <row r="1087">
      <c r="A1087" s="7">
        <v>8.21916663E8</v>
      </c>
      <c r="B1087" s="12">
        <v>40744.0</v>
      </c>
      <c r="C1087" s="7">
        <f t="shared" si="1"/>
        <v>2011</v>
      </c>
      <c r="D1087" s="14" t="str">
        <f t="shared" si="2"/>
        <v>07 - Jul</v>
      </c>
      <c r="E1087" s="15" t="str">
        <f t="shared" si="3"/>
        <v>Wed</v>
      </c>
      <c r="F1087" s="15">
        <f t="shared" si="4"/>
        <v>3</v>
      </c>
      <c r="G1087" s="16">
        <v>40781.0</v>
      </c>
      <c r="H1087" s="14">
        <f t="shared" si="5"/>
        <v>37</v>
      </c>
      <c r="I1087" s="7" t="s">
        <v>364</v>
      </c>
      <c r="J1087" s="7" t="s">
        <v>233</v>
      </c>
      <c r="K1087" s="7" t="str">
        <f>VLOOKUP(J1087,countries,2,false)</f>
        <v>Norway</v>
      </c>
      <c r="L1087" s="7" t="str">
        <f>VLOOKUP($J1087,countries,5,false)</f>
        <v>Europe</v>
      </c>
      <c r="M1087" s="7" t="str">
        <f>VLOOKUP($J1087,countries,6,false)</f>
        <v>Northern Europe</v>
      </c>
      <c r="N1087" s="7">
        <v>8293.0</v>
      </c>
      <c r="O1087" s="7" t="str">
        <f>VLOOKUP(N1087, products, 2, FALSE)</f>
        <v>Cosmetics</v>
      </c>
      <c r="P1087" s="7" t="s">
        <v>264</v>
      </c>
      <c r="Q1087" s="7">
        <v>2260.0</v>
      </c>
      <c r="R1087" s="17">
        <v>437.2</v>
      </c>
      <c r="S1087" s="17">
        <v>263.33</v>
      </c>
      <c r="U1087" s="18">
        <f t="shared" si="6"/>
        <v>988072</v>
      </c>
      <c r="V1087" s="18">
        <f t="shared" si="7"/>
        <v>595125.8</v>
      </c>
      <c r="W1087" s="19">
        <f t="shared" si="8"/>
        <v>392946.2</v>
      </c>
    </row>
    <row r="1088">
      <c r="A1088" s="7">
        <v>8.23236739E8</v>
      </c>
      <c r="B1088" s="12">
        <v>42538.0</v>
      </c>
      <c r="C1088" s="7">
        <f t="shared" si="1"/>
        <v>2016</v>
      </c>
      <c r="D1088" s="14" t="str">
        <f t="shared" si="2"/>
        <v>06 - Jun</v>
      </c>
      <c r="E1088" s="15" t="str">
        <f t="shared" si="3"/>
        <v>Fri</v>
      </c>
      <c r="F1088" s="15">
        <f t="shared" si="4"/>
        <v>5</v>
      </c>
      <c r="G1088" s="16">
        <v>42583.0</v>
      </c>
      <c r="H1088" s="14">
        <f t="shared" si="5"/>
        <v>45</v>
      </c>
      <c r="I1088" s="7" t="s">
        <v>232</v>
      </c>
      <c r="J1088" s="7" t="s">
        <v>570</v>
      </c>
      <c r="K1088" s="7" t="str">
        <f>VLOOKUP(J1088,countries,2,false)</f>
        <v>Macedonia</v>
      </c>
      <c r="L1088" s="7" t="str">
        <f>VLOOKUP($J1088,countries,5,false)</f>
        <v>Europe</v>
      </c>
      <c r="M1088" s="7" t="str">
        <f>VLOOKUP($J1088,countries,6,false)</f>
        <v>Southern Europe</v>
      </c>
      <c r="N1088" s="7">
        <v>8681.0</v>
      </c>
      <c r="O1088" s="7" t="str">
        <f>VLOOKUP(N1088, products, 2, FALSE)</f>
        <v>Office Supplies</v>
      </c>
      <c r="P1088" s="7" t="s">
        <v>264</v>
      </c>
      <c r="Q1088" s="7">
        <v>2900.0</v>
      </c>
      <c r="R1088" s="17">
        <v>651.21</v>
      </c>
      <c r="S1088" s="17">
        <v>524.96</v>
      </c>
      <c r="U1088" s="18">
        <f t="shared" si="6"/>
        <v>1888509</v>
      </c>
      <c r="V1088" s="18">
        <f t="shared" si="7"/>
        <v>1522384</v>
      </c>
      <c r="W1088" s="19">
        <f t="shared" si="8"/>
        <v>366125</v>
      </c>
    </row>
    <row r="1089">
      <c r="A1089" s="7">
        <v>8.23505389E8</v>
      </c>
      <c r="B1089" s="12">
        <v>42074.0</v>
      </c>
      <c r="C1089" s="7">
        <f t="shared" si="1"/>
        <v>2015</v>
      </c>
      <c r="D1089" s="14" t="str">
        <f t="shared" si="2"/>
        <v>03 - Mar</v>
      </c>
      <c r="E1089" s="15" t="str">
        <f t="shared" si="3"/>
        <v>Wed</v>
      </c>
      <c r="F1089" s="15">
        <f t="shared" si="4"/>
        <v>3</v>
      </c>
      <c r="G1089" s="16">
        <v>42093.0</v>
      </c>
      <c r="H1089" s="14">
        <f t="shared" si="5"/>
        <v>19</v>
      </c>
      <c r="I1089" s="7" t="s">
        <v>399</v>
      </c>
      <c r="J1089" s="7" t="s">
        <v>771</v>
      </c>
      <c r="K1089" s="7" t="str">
        <f>VLOOKUP(J1089,countries,2,false)</f>
        <v>Ukraine</v>
      </c>
      <c r="L1089" s="7" t="str">
        <f>VLOOKUP($J1089,countries,5,false)</f>
        <v>Europe</v>
      </c>
      <c r="M1089" s="7" t="str">
        <f>VLOOKUP($J1089,countries,6,false)</f>
        <v>Eastern Europe</v>
      </c>
      <c r="N1089" s="7">
        <v>2455.0</v>
      </c>
      <c r="O1089" s="7" t="str">
        <f>VLOOKUP(N1089, products, 2, FALSE)</f>
        <v>Clothes</v>
      </c>
      <c r="P1089" s="7" t="s">
        <v>264</v>
      </c>
      <c r="Q1089" s="7">
        <v>2400.0</v>
      </c>
      <c r="R1089" s="17">
        <v>109.28</v>
      </c>
      <c r="S1089" s="17">
        <v>35.84</v>
      </c>
      <c r="U1089" s="18">
        <f t="shared" si="6"/>
        <v>262272</v>
      </c>
      <c r="V1089" s="18">
        <f t="shared" si="7"/>
        <v>86016</v>
      </c>
      <c r="W1089" s="19">
        <f t="shared" si="8"/>
        <v>176256</v>
      </c>
    </row>
    <row r="1090">
      <c r="A1090" s="7">
        <v>8.25065791E8</v>
      </c>
      <c r="B1090" s="12">
        <v>40748.0</v>
      </c>
      <c r="C1090" s="7">
        <f t="shared" si="1"/>
        <v>2011</v>
      </c>
      <c r="D1090" s="14" t="str">
        <f t="shared" si="2"/>
        <v>07 - Jul</v>
      </c>
      <c r="E1090" s="15" t="str">
        <f t="shared" si="3"/>
        <v>Sun</v>
      </c>
      <c r="F1090" s="15">
        <f t="shared" si="4"/>
        <v>7</v>
      </c>
      <c r="G1090" s="16">
        <v>40783.0</v>
      </c>
      <c r="H1090" s="14">
        <f t="shared" si="5"/>
        <v>35</v>
      </c>
      <c r="I1090" s="7" t="s">
        <v>305</v>
      </c>
      <c r="J1090" s="7" t="s">
        <v>447</v>
      </c>
      <c r="K1090" s="7" t="str">
        <f>VLOOKUP(J1090,countries,2,false)</f>
        <v>Latvia</v>
      </c>
      <c r="L1090" s="7" t="str">
        <f>VLOOKUP($J1090,countries,5,false)</f>
        <v>Europe</v>
      </c>
      <c r="M1090" s="7" t="str">
        <f>VLOOKUP($J1090,countries,6,false)</f>
        <v>Northern Europe</v>
      </c>
      <c r="N1090" s="7">
        <v>8875.0</v>
      </c>
      <c r="O1090" s="7" t="str">
        <f>VLOOKUP(N1090, products, 2, FALSE)</f>
        <v>Meat</v>
      </c>
      <c r="P1090" s="7" t="s">
        <v>334</v>
      </c>
      <c r="Q1090" s="7">
        <v>4157.0</v>
      </c>
      <c r="R1090" s="17">
        <v>421.89</v>
      </c>
      <c r="S1090" s="17">
        <v>364.69</v>
      </c>
      <c r="U1090" s="18">
        <f t="shared" si="6"/>
        <v>1753796.73</v>
      </c>
      <c r="V1090" s="18">
        <f t="shared" si="7"/>
        <v>1516016.33</v>
      </c>
      <c r="W1090" s="19">
        <f t="shared" si="8"/>
        <v>237780.4</v>
      </c>
    </row>
    <row r="1091">
      <c r="A1091" s="7">
        <v>8.26677262E8</v>
      </c>
      <c r="B1091" s="12">
        <v>42702.0</v>
      </c>
      <c r="C1091" s="7">
        <f t="shared" si="1"/>
        <v>2016</v>
      </c>
      <c r="D1091" s="14" t="str">
        <f t="shared" si="2"/>
        <v>11 - Nov</v>
      </c>
      <c r="E1091" s="15" t="str">
        <f t="shared" si="3"/>
        <v>Mon</v>
      </c>
      <c r="F1091" s="15">
        <f t="shared" si="4"/>
        <v>1</v>
      </c>
      <c r="G1091" s="16">
        <v>42744.0</v>
      </c>
      <c r="H1091" s="14">
        <f t="shared" si="5"/>
        <v>42</v>
      </c>
      <c r="I1091" s="7" t="s">
        <v>232</v>
      </c>
      <c r="J1091" s="7" t="s">
        <v>274</v>
      </c>
      <c r="K1091" s="7" t="str">
        <f>VLOOKUP(J1091,countries,2,false)</f>
        <v>Estonia</v>
      </c>
      <c r="L1091" s="7" t="str">
        <f>VLOOKUP($J1091,countries,5,false)</f>
        <v>Europe</v>
      </c>
      <c r="M1091" s="7" t="str">
        <f>VLOOKUP($J1091,countries,6,false)</f>
        <v>Northern Europe</v>
      </c>
      <c r="N1091" s="7">
        <v>1270.0</v>
      </c>
      <c r="O1091" s="7" t="str">
        <f>VLOOKUP(N1091, products, 2, FALSE)</f>
        <v>Beverages</v>
      </c>
      <c r="P1091" s="7" t="s">
        <v>264</v>
      </c>
      <c r="Q1091" s="7">
        <v>1027.0</v>
      </c>
      <c r="R1091" s="17">
        <v>47.45</v>
      </c>
      <c r="S1091" s="17">
        <v>31.79</v>
      </c>
      <c r="U1091" s="18">
        <f t="shared" si="6"/>
        <v>48731.15</v>
      </c>
      <c r="V1091" s="18">
        <f t="shared" si="7"/>
        <v>32648.33</v>
      </c>
      <c r="W1091" s="19">
        <f t="shared" si="8"/>
        <v>16082.82</v>
      </c>
    </row>
    <row r="1092">
      <c r="A1092" s="7">
        <v>8.26936471E8</v>
      </c>
      <c r="B1092" s="12">
        <v>41353.0</v>
      </c>
      <c r="C1092" s="7">
        <f t="shared" si="1"/>
        <v>2013</v>
      </c>
      <c r="D1092" s="14" t="str">
        <f t="shared" si="2"/>
        <v>03 - Mar</v>
      </c>
      <c r="E1092" s="15" t="str">
        <f t="shared" si="3"/>
        <v>Wed</v>
      </c>
      <c r="F1092" s="15">
        <f t="shared" si="4"/>
        <v>3</v>
      </c>
      <c r="G1092" s="16">
        <v>41363.0</v>
      </c>
      <c r="H1092" s="14">
        <f t="shared" si="5"/>
        <v>10</v>
      </c>
      <c r="I1092" s="7" t="s">
        <v>399</v>
      </c>
      <c r="J1092" s="7" t="s">
        <v>381</v>
      </c>
      <c r="K1092" s="7" t="str">
        <f>VLOOKUP(J1092,countries,2,false)</f>
        <v>Iceland</v>
      </c>
      <c r="L1092" s="7" t="str">
        <f>VLOOKUP($J1092,countries,5,false)</f>
        <v>Europe</v>
      </c>
      <c r="M1092" s="7" t="str">
        <f>VLOOKUP($J1092,countries,6,false)</f>
        <v>Northern Europe</v>
      </c>
      <c r="N1092" s="7">
        <v>7331.0</v>
      </c>
      <c r="O1092" s="7" t="str">
        <f>VLOOKUP(N1092, products, 2, FALSE)</f>
        <v>Baby Food</v>
      </c>
      <c r="P1092" s="7" t="s">
        <v>264</v>
      </c>
      <c r="Q1092" s="7">
        <v>7733.0</v>
      </c>
      <c r="R1092" s="17">
        <v>255.28</v>
      </c>
      <c r="S1092" s="17">
        <v>159.42</v>
      </c>
      <c r="U1092" s="18">
        <f t="shared" si="6"/>
        <v>1974080.24</v>
      </c>
      <c r="V1092" s="18">
        <f t="shared" si="7"/>
        <v>1232794.86</v>
      </c>
      <c r="W1092" s="19">
        <f t="shared" si="8"/>
        <v>741285.38</v>
      </c>
    </row>
    <row r="1093">
      <c r="A1093" s="7">
        <v>8.26968657E8</v>
      </c>
      <c r="B1093" s="12">
        <v>42861.0</v>
      </c>
      <c r="C1093" s="7">
        <f t="shared" si="1"/>
        <v>2017</v>
      </c>
      <c r="D1093" s="14" t="str">
        <f t="shared" si="2"/>
        <v>05 - May</v>
      </c>
      <c r="E1093" s="15" t="str">
        <f t="shared" si="3"/>
        <v>Sat</v>
      </c>
      <c r="F1093" s="15">
        <f t="shared" si="4"/>
        <v>6</v>
      </c>
      <c r="G1093" s="16">
        <v>42901.0</v>
      </c>
      <c r="H1093" s="14">
        <f t="shared" si="5"/>
        <v>40</v>
      </c>
      <c r="I1093" s="7" t="s">
        <v>399</v>
      </c>
      <c r="J1093" s="7" t="s">
        <v>165</v>
      </c>
      <c r="K1093" s="7" t="str">
        <f>VLOOKUP(J1093,countries,2,false)</f>
        <v>Bulgaria</v>
      </c>
      <c r="L1093" s="7" t="str">
        <f>VLOOKUP($J1093,countries,5,false)</f>
        <v>Europe</v>
      </c>
      <c r="M1093" s="7" t="str">
        <f>VLOOKUP($J1093,countries,6,false)</f>
        <v>Eastern Europe</v>
      </c>
      <c r="N1093" s="7">
        <v>8293.0</v>
      </c>
      <c r="O1093" s="7" t="str">
        <f>VLOOKUP(N1093, products, 2, FALSE)</f>
        <v>Cosmetics</v>
      </c>
      <c r="P1093" s="7" t="s">
        <v>334</v>
      </c>
      <c r="Q1093" s="7">
        <v>7258.0</v>
      </c>
      <c r="R1093" s="17">
        <v>437.2</v>
      </c>
      <c r="S1093" s="17">
        <v>263.33</v>
      </c>
      <c r="U1093" s="18">
        <f t="shared" si="6"/>
        <v>3173197.6</v>
      </c>
      <c r="V1093" s="18">
        <f t="shared" si="7"/>
        <v>1911249.14</v>
      </c>
      <c r="W1093" s="19">
        <f t="shared" si="8"/>
        <v>1261948.46</v>
      </c>
    </row>
    <row r="1094">
      <c r="A1094" s="7">
        <v>8.28993833E8</v>
      </c>
      <c r="B1094" s="12">
        <v>41856.0</v>
      </c>
      <c r="C1094" s="7">
        <f t="shared" si="1"/>
        <v>2014</v>
      </c>
      <c r="D1094" s="14" t="str">
        <f t="shared" si="2"/>
        <v>08 - Aug</v>
      </c>
      <c r="E1094" s="15" t="str">
        <f t="shared" si="3"/>
        <v>Tue</v>
      </c>
      <c r="F1094" s="15">
        <f t="shared" si="4"/>
        <v>2</v>
      </c>
      <c r="G1094" s="16">
        <v>41884.0</v>
      </c>
      <c r="H1094" s="14">
        <f t="shared" si="5"/>
        <v>28</v>
      </c>
      <c r="I1094" s="7" t="s">
        <v>232</v>
      </c>
      <c r="J1094" s="7" t="s">
        <v>381</v>
      </c>
      <c r="K1094" s="7" t="str">
        <f>VLOOKUP(J1094,countries,2,false)</f>
        <v>Iceland</v>
      </c>
      <c r="L1094" s="7" t="str">
        <f>VLOOKUP($J1094,countries,5,false)</f>
        <v>Europe</v>
      </c>
      <c r="M1094" s="7" t="str">
        <f>VLOOKUP($J1094,countries,6,false)</f>
        <v>Northern Europe</v>
      </c>
      <c r="N1094" s="7">
        <v>7331.0</v>
      </c>
      <c r="O1094" s="7" t="str">
        <f>VLOOKUP(N1094, products, 2, FALSE)</f>
        <v>Baby Food</v>
      </c>
      <c r="P1094" s="7" t="s">
        <v>334</v>
      </c>
      <c r="Q1094" s="7">
        <v>6552.0</v>
      </c>
      <c r="R1094" s="17">
        <v>255.28</v>
      </c>
      <c r="S1094" s="17">
        <v>159.42</v>
      </c>
      <c r="U1094" s="18">
        <f t="shared" si="6"/>
        <v>1672594.56</v>
      </c>
      <c r="V1094" s="18">
        <f t="shared" si="7"/>
        <v>1044519.84</v>
      </c>
      <c r="W1094" s="19">
        <f t="shared" si="8"/>
        <v>628074.72</v>
      </c>
    </row>
    <row r="1095">
      <c r="A1095" s="7">
        <v>8.29356467E8</v>
      </c>
      <c r="B1095" s="12">
        <v>41150.0</v>
      </c>
      <c r="C1095" s="7">
        <f t="shared" si="1"/>
        <v>2012</v>
      </c>
      <c r="D1095" s="14" t="str">
        <f t="shared" si="2"/>
        <v>08 - Aug</v>
      </c>
      <c r="E1095" s="15" t="str">
        <f t="shared" si="3"/>
        <v>Wed</v>
      </c>
      <c r="F1095" s="15">
        <f t="shared" si="4"/>
        <v>3</v>
      </c>
      <c r="G1095" s="16">
        <v>41168.0</v>
      </c>
      <c r="H1095" s="14">
        <f t="shared" si="5"/>
        <v>18</v>
      </c>
      <c r="I1095" s="7" t="s">
        <v>364</v>
      </c>
      <c r="J1095" s="7" t="s">
        <v>365</v>
      </c>
      <c r="K1095" s="7" t="str">
        <f>VLOOKUP(J1095,countries,2,false)</f>
        <v>Montenegro</v>
      </c>
      <c r="L1095" s="7" t="str">
        <f>VLOOKUP($J1095,countries,5,false)</f>
        <v>Europe</v>
      </c>
      <c r="M1095" s="7" t="str">
        <f>VLOOKUP($J1095,countries,6,false)</f>
        <v>Southern Europe</v>
      </c>
      <c r="N1095" s="7">
        <v>7940.0</v>
      </c>
      <c r="O1095" s="7" t="str">
        <f>VLOOKUP(N1095, products, 2, FALSE)</f>
        <v>Household</v>
      </c>
      <c r="P1095" s="7" t="s">
        <v>264</v>
      </c>
      <c r="Q1095" s="7">
        <v>3864.0</v>
      </c>
      <c r="R1095" s="17">
        <v>668.27</v>
      </c>
      <c r="S1095" s="17">
        <v>502.54</v>
      </c>
      <c r="U1095" s="18">
        <f t="shared" si="6"/>
        <v>2582195.28</v>
      </c>
      <c r="V1095" s="18">
        <f t="shared" si="7"/>
        <v>1941814.56</v>
      </c>
      <c r="W1095" s="19">
        <f t="shared" si="8"/>
        <v>640380.72</v>
      </c>
    </row>
    <row r="1096">
      <c r="A1096" s="7">
        <v>8.30172288E8</v>
      </c>
      <c r="B1096" s="12">
        <v>41438.0</v>
      </c>
      <c r="C1096" s="7">
        <f t="shared" si="1"/>
        <v>2013</v>
      </c>
      <c r="D1096" s="14" t="str">
        <f t="shared" si="2"/>
        <v>06 - Jun</v>
      </c>
      <c r="E1096" s="15" t="str">
        <f t="shared" si="3"/>
        <v>Thu</v>
      </c>
      <c r="F1096" s="15">
        <f t="shared" si="4"/>
        <v>4</v>
      </c>
      <c r="G1096" s="16">
        <v>41484.0</v>
      </c>
      <c r="H1096" s="14">
        <f t="shared" si="5"/>
        <v>46</v>
      </c>
      <c r="I1096" s="7" t="s">
        <v>399</v>
      </c>
      <c r="J1096" s="7" t="s">
        <v>348</v>
      </c>
      <c r="K1096" s="7" t="s">
        <v>348</v>
      </c>
      <c r="L1096" s="7" t="s">
        <v>348</v>
      </c>
      <c r="M1096" s="7" t="s">
        <v>348</v>
      </c>
      <c r="N1096" s="7">
        <v>8293.0</v>
      </c>
      <c r="O1096" s="7" t="str">
        <f>VLOOKUP(N1096, products, 2, FALSE)</f>
        <v>Cosmetics</v>
      </c>
      <c r="P1096" s="7" t="s">
        <v>264</v>
      </c>
      <c r="Q1096" s="7">
        <v>5283.0</v>
      </c>
      <c r="R1096" s="17">
        <v>437.2</v>
      </c>
      <c r="S1096" s="17">
        <v>263.33</v>
      </c>
      <c r="U1096" s="18">
        <f t="shared" si="6"/>
        <v>2309727.6</v>
      </c>
      <c r="V1096" s="18">
        <f t="shared" si="7"/>
        <v>1391172.39</v>
      </c>
      <c r="W1096" s="19">
        <f t="shared" si="8"/>
        <v>918555.21</v>
      </c>
    </row>
    <row r="1097">
      <c r="A1097" s="7">
        <v>8.31143891E8</v>
      </c>
      <c r="B1097" s="12">
        <v>42499.0</v>
      </c>
      <c r="C1097" s="7">
        <f t="shared" si="1"/>
        <v>2016</v>
      </c>
      <c r="D1097" s="14" t="str">
        <f t="shared" si="2"/>
        <v>05 - May</v>
      </c>
      <c r="E1097" s="15" t="str">
        <f t="shared" si="3"/>
        <v>Mon</v>
      </c>
      <c r="F1097" s="15">
        <f t="shared" si="4"/>
        <v>1</v>
      </c>
      <c r="G1097" s="16">
        <v>42522.0</v>
      </c>
      <c r="H1097" s="14">
        <f t="shared" si="5"/>
        <v>23</v>
      </c>
      <c r="I1097" s="7" t="s">
        <v>232</v>
      </c>
      <c r="J1097" s="7" t="s">
        <v>489</v>
      </c>
      <c r="K1097" s="7" t="str">
        <f>VLOOKUP(J1097,countries,2,false)</f>
        <v>Malta</v>
      </c>
      <c r="L1097" s="7" t="str">
        <f>VLOOKUP($J1097,countries,5,false)</f>
        <v>Europe</v>
      </c>
      <c r="M1097" s="7" t="str">
        <f>VLOOKUP($J1097,countries,6,false)</f>
        <v>Southern Europe</v>
      </c>
      <c r="N1097" s="7">
        <v>4594.0</v>
      </c>
      <c r="O1097" s="7" t="str">
        <f>VLOOKUP(N1097, products, 2, FALSE)</f>
        <v>Fruits</v>
      </c>
      <c r="P1097" s="7" t="s">
        <v>264</v>
      </c>
      <c r="Q1097" s="7">
        <v>2802.0</v>
      </c>
      <c r="R1097" s="17">
        <v>9.33</v>
      </c>
      <c r="S1097" s="17">
        <v>6.92</v>
      </c>
      <c r="U1097" s="18">
        <f t="shared" si="6"/>
        <v>26142.66</v>
      </c>
      <c r="V1097" s="18">
        <f t="shared" si="7"/>
        <v>19389.84</v>
      </c>
      <c r="W1097" s="19">
        <f t="shared" si="8"/>
        <v>6752.82</v>
      </c>
    </row>
    <row r="1098">
      <c r="A1098" s="7">
        <v>8.3205713E8</v>
      </c>
      <c r="B1098" s="12">
        <v>40604.0</v>
      </c>
      <c r="C1098" s="7">
        <f t="shared" si="1"/>
        <v>2011</v>
      </c>
      <c r="D1098" s="14" t="str">
        <f t="shared" si="2"/>
        <v>03 - Mar</v>
      </c>
      <c r="E1098" s="15" t="str">
        <f t="shared" si="3"/>
        <v>Wed</v>
      </c>
      <c r="F1098" s="15">
        <f t="shared" si="4"/>
        <v>3</v>
      </c>
      <c r="G1098" s="16">
        <v>40635.0</v>
      </c>
      <c r="H1098" s="14">
        <f t="shared" si="5"/>
        <v>31</v>
      </c>
      <c r="I1098" s="7" t="s">
        <v>305</v>
      </c>
      <c r="J1098" s="7" t="s">
        <v>517</v>
      </c>
      <c r="K1098" s="7" t="str">
        <f>VLOOKUP(J1098,countries,2,false)</f>
        <v>Spain</v>
      </c>
      <c r="L1098" s="7" t="str">
        <f>VLOOKUP($J1098,countries,5,false)</f>
        <v>Europe</v>
      </c>
      <c r="M1098" s="7" t="str">
        <f>VLOOKUP($J1098,countries,6,false)</f>
        <v>Southern Europe</v>
      </c>
      <c r="N1098" s="7">
        <v>8293.0</v>
      </c>
      <c r="O1098" s="7" t="str">
        <f>VLOOKUP(N1098, products, 2, FALSE)</f>
        <v>Cosmetics</v>
      </c>
      <c r="P1098" s="7" t="s">
        <v>264</v>
      </c>
      <c r="Q1098" s="7">
        <v>3050.0</v>
      </c>
      <c r="R1098" s="17">
        <v>437.2</v>
      </c>
      <c r="S1098" s="17">
        <v>263.33</v>
      </c>
      <c r="U1098" s="18">
        <f t="shared" si="6"/>
        <v>1333460</v>
      </c>
      <c r="V1098" s="18">
        <f t="shared" si="7"/>
        <v>803156.5</v>
      </c>
      <c r="W1098" s="19">
        <f t="shared" si="8"/>
        <v>530303.5</v>
      </c>
    </row>
    <row r="1099">
      <c r="A1099" s="7">
        <v>8.33473765E8</v>
      </c>
      <c r="B1099" s="12">
        <v>41392.0</v>
      </c>
      <c r="C1099" s="7">
        <f t="shared" si="1"/>
        <v>2013</v>
      </c>
      <c r="D1099" s="14" t="str">
        <f t="shared" si="2"/>
        <v>04 - Apr</v>
      </c>
      <c r="E1099" s="15" t="str">
        <f t="shared" si="3"/>
        <v>Sun</v>
      </c>
      <c r="F1099" s="15">
        <f t="shared" si="4"/>
        <v>7</v>
      </c>
      <c r="G1099" s="16">
        <v>41419.0</v>
      </c>
      <c r="H1099" s="14">
        <f t="shared" si="5"/>
        <v>27</v>
      </c>
      <c r="I1099" s="7" t="s">
        <v>399</v>
      </c>
      <c r="J1099" s="7" t="s">
        <v>41</v>
      </c>
      <c r="K1099" s="7" t="str">
        <f>VLOOKUP(J1099,countries,2,false)</f>
        <v>Albania</v>
      </c>
      <c r="L1099" s="7" t="str">
        <f>VLOOKUP($J1099,countries,5,false)</f>
        <v>Europe</v>
      </c>
      <c r="M1099" s="7" t="str">
        <f>VLOOKUP($J1099,countries,6,false)</f>
        <v>Southern Europe</v>
      </c>
      <c r="N1099" s="7">
        <v>1270.0</v>
      </c>
      <c r="O1099" s="7" t="str">
        <f>VLOOKUP(N1099, products, 2, FALSE)</f>
        <v>Beverages</v>
      </c>
      <c r="P1099" s="7" t="s">
        <v>334</v>
      </c>
      <c r="Q1099" s="7">
        <v>2264.0</v>
      </c>
      <c r="R1099" s="17">
        <v>47.45</v>
      </c>
      <c r="S1099" s="17">
        <v>31.79</v>
      </c>
      <c r="U1099" s="18">
        <f t="shared" si="6"/>
        <v>107426.8</v>
      </c>
      <c r="V1099" s="18">
        <f t="shared" si="7"/>
        <v>71972.56</v>
      </c>
      <c r="W1099" s="19">
        <f t="shared" si="8"/>
        <v>35454.24</v>
      </c>
    </row>
    <row r="1100">
      <c r="A1100" s="7">
        <v>8.33706796E8</v>
      </c>
      <c r="B1100" s="12">
        <v>41360.0</v>
      </c>
      <c r="C1100" s="7">
        <f t="shared" si="1"/>
        <v>2013</v>
      </c>
      <c r="D1100" s="14" t="str">
        <f t="shared" si="2"/>
        <v>03 - Mar</v>
      </c>
      <c r="E1100" s="15" t="str">
        <f t="shared" si="3"/>
        <v>Wed</v>
      </c>
      <c r="F1100" s="15">
        <f t="shared" si="4"/>
        <v>3</v>
      </c>
      <c r="G1100" s="16">
        <v>41367.0</v>
      </c>
      <c r="H1100" s="14">
        <f t="shared" si="5"/>
        <v>7</v>
      </c>
      <c r="I1100" s="7" t="s">
        <v>232</v>
      </c>
      <c r="J1100" s="7" t="s">
        <v>240</v>
      </c>
      <c r="K1100" s="7" t="str">
        <f>VLOOKUP(J1100,countries,2,false)</f>
        <v>Cyprus</v>
      </c>
      <c r="L1100" s="7" t="str">
        <f>VLOOKUP($J1100,countries,5,false)</f>
        <v>Asia</v>
      </c>
      <c r="M1100" s="7" t="str">
        <f>VLOOKUP($J1100,countries,6,false)</f>
        <v>Western Asia</v>
      </c>
      <c r="N1100" s="7">
        <v>2103.0</v>
      </c>
      <c r="O1100" s="7" t="str">
        <f>VLOOKUP(N1100, products, 2, FALSE)</f>
        <v>Cereal</v>
      </c>
      <c r="P1100" s="7" t="s">
        <v>264</v>
      </c>
      <c r="Q1100" s="7">
        <v>1223.0</v>
      </c>
      <c r="R1100" s="17">
        <v>205.7</v>
      </c>
      <c r="S1100" s="17">
        <v>117.11</v>
      </c>
      <c r="U1100" s="18">
        <f t="shared" si="6"/>
        <v>251571.1</v>
      </c>
      <c r="V1100" s="18">
        <f t="shared" si="7"/>
        <v>143225.53</v>
      </c>
      <c r="W1100" s="19">
        <f t="shared" si="8"/>
        <v>108345.57</v>
      </c>
    </row>
    <row r="1101">
      <c r="A1101" s="7">
        <v>8.34065997E8</v>
      </c>
      <c r="B1101" s="12">
        <v>42596.0</v>
      </c>
      <c r="C1101" s="7">
        <f t="shared" si="1"/>
        <v>2016</v>
      </c>
      <c r="D1101" s="14" t="str">
        <f t="shared" si="2"/>
        <v>08 - Aug</v>
      </c>
      <c r="E1101" s="15" t="str">
        <f t="shared" si="3"/>
        <v>Sun</v>
      </c>
      <c r="F1101" s="15">
        <f t="shared" si="4"/>
        <v>7</v>
      </c>
      <c r="G1101" s="16">
        <v>42627.0</v>
      </c>
      <c r="H1101" s="14">
        <f t="shared" si="5"/>
        <v>31</v>
      </c>
      <c r="I1101" s="7" t="s">
        <v>364</v>
      </c>
      <c r="J1101" s="7" t="s">
        <v>67</v>
      </c>
      <c r="K1101" s="7" t="str">
        <f>VLOOKUP(J1101,countries,2,false)</f>
        <v>Andorra</v>
      </c>
      <c r="L1101" s="7" t="str">
        <f>VLOOKUP($J1101,countries,5,false)</f>
        <v>Europe</v>
      </c>
      <c r="M1101" s="7" t="str">
        <f>VLOOKUP($J1101,countries,6,false)</f>
        <v>Southern Europe</v>
      </c>
      <c r="N1101" s="7">
        <v>7940.0</v>
      </c>
      <c r="O1101" s="7" t="str">
        <f>VLOOKUP(N1101, products, 2, FALSE)</f>
        <v>Household</v>
      </c>
      <c r="P1101" s="7" t="s">
        <v>334</v>
      </c>
      <c r="Q1101" s="7">
        <v>7518.0</v>
      </c>
      <c r="R1101" s="17">
        <v>668.27</v>
      </c>
      <c r="S1101" s="17">
        <v>502.54</v>
      </c>
      <c r="U1101" s="18">
        <f t="shared" si="6"/>
        <v>5024053.86</v>
      </c>
      <c r="V1101" s="18">
        <f t="shared" si="7"/>
        <v>3778095.72</v>
      </c>
      <c r="W1101" s="19">
        <f t="shared" si="8"/>
        <v>1245958.14</v>
      </c>
    </row>
    <row r="1102">
      <c r="A1102" s="7">
        <v>8.3509339E8</v>
      </c>
      <c r="B1102" s="12">
        <v>41847.0</v>
      </c>
      <c r="C1102" s="7">
        <f t="shared" si="1"/>
        <v>2014</v>
      </c>
      <c r="D1102" s="14" t="str">
        <f t="shared" si="2"/>
        <v>07 - Jul</v>
      </c>
      <c r="E1102" s="15" t="str">
        <f t="shared" si="3"/>
        <v>Sun</v>
      </c>
      <c r="F1102" s="15">
        <f t="shared" si="4"/>
        <v>7</v>
      </c>
      <c r="G1102" s="16">
        <v>41849.0</v>
      </c>
      <c r="H1102" s="14">
        <f t="shared" si="5"/>
        <v>2</v>
      </c>
      <c r="I1102" s="7" t="s">
        <v>399</v>
      </c>
      <c r="J1102" s="7" t="s">
        <v>319</v>
      </c>
      <c r="K1102" s="7" t="str">
        <f>VLOOKUP(J1102,countries,2,false)</f>
        <v>Germany</v>
      </c>
      <c r="L1102" s="7" t="str">
        <f>VLOOKUP($J1102,countries,5,false)</f>
        <v>Europe</v>
      </c>
      <c r="M1102" s="7" t="str">
        <f>VLOOKUP($J1102,countries,6,false)</f>
        <v>Western Europe</v>
      </c>
      <c r="N1102" s="7">
        <v>3127.0</v>
      </c>
      <c r="O1102" s="7" t="str">
        <f>VLOOKUP(N1102, products, 2, FALSE)</f>
        <v>Personal Care</v>
      </c>
      <c r="P1102" s="7" t="s">
        <v>334</v>
      </c>
      <c r="Q1102" s="7">
        <v>1547.0</v>
      </c>
      <c r="R1102" s="17">
        <v>81.73</v>
      </c>
      <c r="S1102" s="17">
        <v>56.67</v>
      </c>
      <c r="U1102" s="18">
        <f t="shared" si="6"/>
        <v>126436.31</v>
      </c>
      <c r="V1102" s="18">
        <f t="shared" si="7"/>
        <v>87668.49</v>
      </c>
      <c r="W1102" s="19">
        <f t="shared" si="8"/>
        <v>38767.82</v>
      </c>
    </row>
    <row r="1103">
      <c r="A1103" s="7">
        <v>8.3526591E8</v>
      </c>
      <c r="B1103" s="12">
        <v>40417.0</v>
      </c>
      <c r="C1103" s="7">
        <f t="shared" si="1"/>
        <v>2010</v>
      </c>
      <c r="D1103" s="14" t="str">
        <f t="shared" si="2"/>
        <v>08 - Aug</v>
      </c>
      <c r="E1103" s="15" t="str">
        <f t="shared" si="3"/>
        <v>Fri</v>
      </c>
      <c r="F1103" s="15">
        <f t="shared" si="4"/>
        <v>5</v>
      </c>
      <c r="G1103" s="16">
        <v>40452.0</v>
      </c>
      <c r="H1103" s="14">
        <f t="shared" si="5"/>
        <v>35</v>
      </c>
      <c r="I1103" s="7" t="s">
        <v>232</v>
      </c>
      <c r="J1103" s="7" t="s">
        <v>101</v>
      </c>
      <c r="K1103" s="7" t="str">
        <f>VLOOKUP(J1103,countries,2,false)</f>
        <v>Austria</v>
      </c>
      <c r="L1103" s="7" t="str">
        <f>VLOOKUP($J1103,countries,5,false)</f>
        <v>Europe</v>
      </c>
      <c r="M1103" s="7" t="str">
        <f>VLOOKUP($J1103,countries,6,false)</f>
        <v>Western Europe</v>
      </c>
      <c r="N1103" s="7">
        <v>7940.0</v>
      </c>
      <c r="O1103" s="7" t="str">
        <f>VLOOKUP(N1103, products, 2, FALSE)</f>
        <v>Household</v>
      </c>
      <c r="P1103" s="7" t="s">
        <v>334</v>
      </c>
      <c r="Q1103" s="7">
        <v>2599.0</v>
      </c>
      <c r="R1103" s="17">
        <v>668.27</v>
      </c>
      <c r="S1103" s="17">
        <v>502.54</v>
      </c>
      <c r="U1103" s="18">
        <f t="shared" si="6"/>
        <v>1736833.73</v>
      </c>
      <c r="V1103" s="18">
        <f t="shared" si="7"/>
        <v>1306101.46</v>
      </c>
      <c r="W1103" s="19">
        <f t="shared" si="8"/>
        <v>430732.27</v>
      </c>
    </row>
    <row r="1104">
      <c r="A1104" s="7">
        <v>8.3534187E8</v>
      </c>
      <c r="B1104" s="12">
        <v>42761.0</v>
      </c>
      <c r="C1104" s="7">
        <f t="shared" si="1"/>
        <v>2017</v>
      </c>
      <c r="D1104" s="14" t="str">
        <f t="shared" si="2"/>
        <v>01 - Jan</v>
      </c>
      <c r="E1104" s="15" t="str">
        <f t="shared" si="3"/>
        <v>Thu</v>
      </c>
      <c r="F1104" s="15">
        <f t="shared" si="4"/>
        <v>4</v>
      </c>
      <c r="G1104" s="16">
        <v>42790.0</v>
      </c>
      <c r="H1104" s="14">
        <f t="shared" si="5"/>
        <v>29</v>
      </c>
      <c r="I1104" s="7" t="s">
        <v>232</v>
      </c>
      <c r="J1104" s="7" t="s">
        <v>468</v>
      </c>
      <c r="K1104" s="7" t="str">
        <f>VLOOKUP(J1104,countries,2,false)</f>
        <v>Luxembourg</v>
      </c>
      <c r="L1104" s="7" t="str">
        <f>VLOOKUP($J1104,countries,5,false)</f>
        <v>Europe</v>
      </c>
      <c r="M1104" s="7" t="str">
        <f>VLOOKUP($J1104,countries,6,false)</f>
        <v>Western Europe</v>
      </c>
      <c r="N1104" s="7">
        <v>8293.0</v>
      </c>
      <c r="O1104" s="7" t="str">
        <f>VLOOKUP(N1104, products, 2, FALSE)</f>
        <v>Cosmetics</v>
      </c>
      <c r="P1104" s="7" t="s">
        <v>264</v>
      </c>
      <c r="Q1104" s="7">
        <v>5077.0</v>
      </c>
      <c r="R1104" s="17">
        <v>437.2</v>
      </c>
      <c r="S1104" s="17">
        <v>263.33</v>
      </c>
      <c r="U1104" s="18">
        <f t="shared" si="6"/>
        <v>2219664.4</v>
      </c>
      <c r="V1104" s="18">
        <f t="shared" si="7"/>
        <v>1336926.41</v>
      </c>
      <c r="W1104" s="19">
        <f t="shared" si="8"/>
        <v>882737.99</v>
      </c>
    </row>
    <row r="1105">
      <c r="A1105" s="7">
        <v>8.37608659E8</v>
      </c>
      <c r="B1105" s="12">
        <v>41020.0</v>
      </c>
      <c r="C1105" s="7">
        <f t="shared" si="1"/>
        <v>2012</v>
      </c>
      <c r="D1105" s="14" t="str">
        <f t="shared" si="2"/>
        <v>04 - Apr</v>
      </c>
      <c r="E1105" s="15" t="str">
        <f t="shared" si="3"/>
        <v>Sat</v>
      </c>
      <c r="F1105" s="15">
        <f t="shared" si="4"/>
        <v>6</v>
      </c>
      <c r="G1105" s="16">
        <v>41031.0</v>
      </c>
      <c r="H1105" s="14">
        <f t="shared" si="5"/>
        <v>11</v>
      </c>
      <c r="I1105" s="7" t="s">
        <v>399</v>
      </c>
      <c r="J1105" s="7" t="s">
        <v>165</v>
      </c>
      <c r="K1105" s="7" t="str">
        <f>VLOOKUP(J1105,countries,2,false)</f>
        <v>Bulgaria</v>
      </c>
      <c r="L1105" s="7" t="str">
        <f>VLOOKUP($J1105,countries,5,false)</f>
        <v>Europe</v>
      </c>
      <c r="M1105" s="7" t="str">
        <f>VLOOKUP($J1105,countries,6,false)</f>
        <v>Eastern Europe</v>
      </c>
      <c r="N1105" s="7">
        <v>7940.0</v>
      </c>
      <c r="O1105" s="7" t="str">
        <f>VLOOKUP(N1105, products, 2, FALSE)</f>
        <v>Household</v>
      </c>
      <c r="P1105" s="7" t="s">
        <v>264</v>
      </c>
      <c r="Q1105" s="7">
        <v>5871.0</v>
      </c>
      <c r="R1105" s="17">
        <v>668.27</v>
      </c>
      <c r="S1105" s="17">
        <v>502.54</v>
      </c>
      <c r="U1105" s="18">
        <f t="shared" si="6"/>
        <v>3923413.17</v>
      </c>
      <c r="V1105" s="18">
        <f t="shared" si="7"/>
        <v>2950412.34</v>
      </c>
      <c r="W1105" s="19">
        <f t="shared" si="8"/>
        <v>973000.83</v>
      </c>
    </row>
    <row r="1106">
      <c r="A1106" s="7">
        <v>8.3790692E8</v>
      </c>
      <c r="B1106" s="12">
        <v>42829.0</v>
      </c>
      <c r="C1106" s="7">
        <f t="shared" si="1"/>
        <v>2017</v>
      </c>
      <c r="D1106" s="14" t="str">
        <f t="shared" si="2"/>
        <v>04 - Apr</v>
      </c>
      <c r="E1106" s="15" t="str">
        <f t="shared" si="3"/>
        <v>Tue</v>
      </c>
      <c r="F1106" s="15">
        <f t="shared" si="4"/>
        <v>2</v>
      </c>
      <c r="G1106" s="16">
        <v>42871.0</v>
      </c>
      <c r="H1106" s="14">
        <f t="shared" si="5"/>
        <v>42</v>
      </c>
      <c r="I1106" s="7" t="s">
        <v>364</v>
      </c>
      <c r="J1106" s="7" t="s">
        <v>720</v>
      </c>
      <c r="K1106" s="7" t="str">
        <f>VLOOKUP(J1106,countries,2,false)</f>
        <v>Switzerland</v>
      </c>
      <c r="L1106" s="7" t="str">
        <f>VLOOKUP($J1106,countries,5,false)</f>
        <v>Europe</v>
      </c>
      <c r="M1106" s="7" t="str">
        <f>VLOOKUP($J1106,countries,6,false)</f>
        <v>Western Europe</v>
      </c>
      <c r="N1106" s="7">
        <v>1270.0</v>
      </c>
      <c r="O1106" s="7" t="str">
        <f>VLOOKUP(N1106, products, 2, FALSE)</f>
        <v>Beverages</v>
      </c>
      <c r="P1106" s="7" t="s">
        <v>264</v>
      </c>
      <c r="Q1106" s="7">
        <v>4133.0</v>
      </c>
      <c r="R1106" s="17">
        <v>47.45</v>
      </c>
      <c r="S1106" s="17">
        <v>31.79</v>
      </c>
      <c r="U1106" s="18">
        <f t="shared" si="6"/>
        <v>196110.85</v>
      </c>
      <c r="V1106" s="18">
        <f t="shared" si="7"/>
        <v>131388.07</v>
      </c>
      <c r="W1106" s="19">
        <f t="shared" si="8"/>
        <v>64722.78</v>
      </c>
    </row>
    <row r="1107">
      <c r="A1107" s="7">
        <v>8.38788402E8</v>
      </c>
      <c r="B1107" s="12">
        <v>40219.0</v>
      </c>
      <c r="C1107" s="7">
        <f t="shared" si="1"/>
        <v>2010</v>
      </c>
      <c r="D1107" s="14" t="str">
        <f t="shared" si="2"/>
        <v>02 - Feb</v>
      </c>
      <c r="E1107" s="15" t="str">
        <f t="shared" si="3"/>
        <v>Wed</v>
      </c>
      <c r="F1107" s="15">
        <f t="shared" si="4"/>
        <v>3</v>
      </c>
      <c r="G1107" s="16">
        <v>40235.0</v>
      </c>
      <c r="H1107" s="14">
        <f t="shared" si="5"/>
        <v>16</v>
      </c>
      <c r="I1107" s="7" t="s">
        <v>232</v>
      </c>
      <c r="J1107" s="7" t="s">
        <v>90</v>
      </c>
      <c r="K1107" s="7" t="str">
        <f>VLOOKUP(J1107,countries,2,false)</f>
        <v>Armenia</v>
      </c>
      <c r="L1107" s="7" t="str">
        <f>VLOOKUP($J1107,countries,5,false)</f>
        <v>Asia</v>
      </c>
      <c r="M1107" s="7" t="str">
        <f>VLOOKUP($J1107,countries,6,false)</f>
        <v>Western Asia</v>
      </c>
      <c r="N1107" s="7">
        <v>7331.0</v>
      </c>
      <c r="O1107" s="7" t="str">
        <f>VLOOKUP(N1107, products, 2, FALSE)</f>
        <v>Baby Food</v>
      </c>
      <c r="P1107" s="7" t="s">
        <v>334</v>
      </c>
      <c r="Q1107" s="7">
        <v>4983.0</v>
      </c>
      <c r="R1107" s="17">
        <v>255.28</v>
      </c>
      <c r="S1107" s="17">
        <v>159.42</v>
      </c>
      <c r="U1107" s="18">
        <f t="shared" si="6"/>
        <v>1272060.24</v>
      </c>
      <c r="V1107" s="18">
        <f t="shared" si="7"/>
        <v>794389.86</v>
      </c>
      <c r="W1107" s="19">
        <f t="shared" si="8"/>
        <v>477670.38</v>
      </c>
    </row>
    <row r="1108">
      <c r="A1108" s="7">
        <v>8.38895261E8</v>
      </c>
      <c r="B1108" s="12">
        <v>41687.0</v>
      </c>
      <c r="C1108" s="7">
        <f t="shared" si="1"/>
        <v>2014</v>
      </c>
      <c r="D1108" s="14" t="str">
        <f t="shared" si="2"/>
        <v>02 - Feb</v>
      </c>
      <c r="E1108" s="15" t="str">
        <f t="shared" si="3"/>
        <v>Mon</v>
      </c>
      <c r="F1108" s="15">
        <f t="shared" si="4"/>
        <v>1</v>
      </c>
      <c r="G1108" s="16">
        <v>41689.0</v>
      </c>
      <c r="H1108" s="14">
        <f t="shared" si="5"/>
        <v>2</v>
      </c>
      <c r="I1108" s="7" t="s">
        <v>364</v>
      </c>
      <c r="J1108" s="7" t="s">
        <v>348</v>
      </c>
      <c r="K1108" s="7" t="s">
        <v>348</v>
      </c>
      <c r="L1108" s="7" t="s">
        <v>348</v>
      </c>
      <c r="M1108" s="7" t="s">
        <v>348</v>
      </c>
      <c r="N1108" s="7">
        <v>3127.0</v>
      </c>
      <c r="O1108" s="7" t="str">
        <f>VLOOKUP(N1108, products, 2, FALSE)</f>
        <v>Personal Care</v>
      </c>
      <c r="P1108" s="7" t="s">
        <v>334</v>
      </c>
      <c r="Q1108" s="7">
        <v>6605.0</v>
      </c>
      <c r="R1108" s="17">
        <v>81.73</v>
      </c>
      <c r="S1108" s="17">
        <v>56.67</v>
      </c>
      <c r="U1108" s="18">
        <f t="shared" si="6"/>
        <v>539826.65</v>
      </c>
      <c r="V1108" s="18">
        <f t="shared" si="7"/>
        <v>374305.35</v>
      </c>
      <c r="W1108" s="19">
        <f t="shared" si="8"/>
        <v>165521.3</v>
      </c>
    </row>
    <row r="1109">
      <c r="A1109" s="7">
        <v>8.39437711E8</v>
      </c>
      <c r="B1109" s="12">
        <v>41996.0</v>
      </c>
      <c r="C1109" s="7">
        <f t="shared" si="1"/>
        <v>2014</v>
      </c>
      <c r="D1109" s="14" t="str">
        <f t="shared" si="2"/>
        <v>12 - Dec</v>
      </c>
      <c r="E1109" s="15" t="str">
        <f t="shared" si="3"/>
        <v>Tue</v>
      </c>
      <c r="F1109" s="15">
        <f t="shared" si="4"/>
        <v>2</v>
      </c>
      <c r="G1109" s="16">
        <v>41997.0</v>
      </c>
      <c r="H1109" s="14">
        <f t="shared" si="5"/>
        <v>1</v>
      </c>
      <c r="I1109" s="7" t="s">
        <v>364</v>
      </c>
      <c r="J1109" s="7" t="s">
        <v>120</v>
      </c>
      <c r="K1109" s="7" t="str">
        <f>VLOOKUP(J1109,countries,2,false)</f>
        <v>Belarus</v>
      </c>
      <c r="L1109" s="7" t="str">
        <f>VLOOKUP($J1109,countries,5,false)</f>
        <v>Europe</v>
      </c>
      <c r="M1109" s="7" t="str">
        <f>VLOOKUP($J1109,countries,6,false)</f>
        <v>Eastern Europe</v>
      </c>
      <c r="N1109" s="7">
        <v>2455.0</v>
      </c>
      <c r="O1109" s="7" t="str">
        <f>VLOOKUP(N1109, products, 2, FALSE)</f>
        <v>Clothes</v>
      </c>
      <c r="P1109" s="7" t="s">
        <v>334</v>
      </c>
      <c r="Q1109" s="7">
        <v>7128.0</v>
      </c>
      <c r="R1109" s="17">
        <v>109.28</v>
      </c>
      <c r="S1109" s="17">
        <v>35.84</v>
      </c>
      <c r="U1109" s="18">
        <f t="shared" si="6"/>
        <v>778947.84</v>
      </c>
      <c r="V1109" s="18">
        <f t="shared" si="7"/>
        <v>255467.52</v>
      </c>
      <c r="W1109" s="19">
        <f t="shared" si="8"/>
        <v>523480.32</v>
      </c>
    </row>
    <row r="1110">
      <c r="A1110" s="7">
        <v>8.40747058E8</v>
      </c>
      <c r="B1110" s="12">
        <v>40522.0</v>
      </c>
      <c r="C1110" s="7">
        <f t="shared" si="1"/>
        <v>2010</v>
      </c>
      <c r="D1110" s="14" t="str">
        <f t="shared" si="2"/>
        <v>12 - Dec</v>
      </c>
      <c r="E1110" s="15" t="str">
        <f t="shared" si="3"/>
        <v>Fri</v>
      </c>
      <c r="F1110" s="15">
        <f t="shared" si="4"/>
        <v>5</v>
      </c>
      <c r="G1110" s="16">
        <v>40538.0</v>
      </c>
      <c r="H1110" s="14">
        <f t="shared" si="5"/>
        <v>16</v>
      </c>
      <c r="I1110" s="7" t="s">
        <v>305</v>
      </c>
      <c r="J1110" s="7" t="s">
        <v>90</v>
      </c>
      <c r="K1110" s="7" t="str">
        <f>VLOOKUP(J1110,countries,2,false)</f>
        <v>Armenia</v>
      </c>
      <c r="L1110" s="7" t="str">
        <f>VLOOKUP($J1110,countries,5,false)</f>
        <v>Asia</v>
      </c>
      <c r="M1110" s="7" t="str">
        <f>VLOOKUP($J1110,countries,6,false)</f>
        <v>Western Asia</v>
      </c>
      <c r="N1110" s="7">
        <v>3127.0</v>
      </c>
      <c r="O1110" s="7" t="str">
        <f>VLOOKUP(N1110, products, 2, FALSE)</f>
        <v>Personal Care</v>
      </c>
      <c r="P1110" s="7" t="s">
        <v>264</v>
      </c>
      <c r="Q1110" s="7">
        <v>4593.0</v>
      </c>
      <c r="R1110" s="17">
        <v>81.73</v>
      </c>
      <c r="S1110" s="17">
        <v>56.67</v>
      </c>
      <c r="U1110" s="18">
        <f t="shared" si="6"/>
        <v>375385.89</v>
      </c>
      <c r="V1110" s="18">
        <f t="shared" si="7"/>
        <v>260285.31</v>
      </c>
      <c r="W1110" s="19">
        <f t="shared" si="8"/>
        <v>115100.58</v>
      </c>
    </row>
    <row r="1111">
      <c r="A1111" s="7">
        <v>8.4078139E8</v>
      </c>
      <c r="B1111" s="12">
        <v>40471.0</v>
      </c>
      <c r="C1111" s="7">
        <f t="shared" si="1"/>
        <v>2010</v>
      </c>
      <c r="D1111" s="14" t="str">
        <f t="shared" si="2"/>
        <v>10 - Oct</v>
      </c>
      <c r="E1111" s="15" t="str">
        <f t="shared" si="3"/>
        <v>Wed</v>
      </c>
      <c r="F1111" s="15">
        <f t="shared" si="4"/>
        <v>3</v>
      </c>
      <c r="G1111" s="16">
        <v>40495.0</v>
      </c>
      <c r="H1111" s="14">
        <f t="shared" si="5"/>
        <v>24</v>
      </c>
      <c r="I1111" s="7" t="s">
        <v>399</v>
      </c>
      <c r="J1111" s="7" t="s">
        <v>468</v>
      </c>
      <c r="K1111" s="7" t="str">
        <f>VLOOKUP(J1111,countries,2,false)</f>
        <v>Luxembourg</v>
      </c>
      <c r="L1111" s="7" t="str">
        <f>VLOOKUP($J1111,countries,5,false)</f>
        <v>Europe</v>
      </c>
      <c r="M1111" s="7" t="str">
        <f>VLOOKUP($J1111,countries,6,false)</f>
        <v>Western Europe</v>
      </c>
      <c r="N1111" s="7">
        <v>7940.0</v>
      </c>
      <c r="O1111" s="7" t="str">
        <f>VLOOKUP(N1111, products, 2, FALSE)</f>
        <v>Household</v>
      </c>
      <c r="P1111" s="7" t="s">
        <v>264</v>
      </c>
      <c r="Q1111" s="7">
        <v>4752.0</v>
      </c>
      <c r="R1111" s="17">
        <v>668.27</v>
      </c>
      <c r="S1111" s="17">
        <v>502.54</v>
      </c>
      <c r="U1111" s="18">
        <f t="shared" si="6"/>
        <v>3175619.04</v>
      </c>
      <c r="V1111" s="18">
        <f t="shared" si="7"/>
        <v>2388070.08</v>
      </c>
      <c r="W1111" s="19">
        <f t="shared" si="8"/>
        <v>787548.96</v>
      </c>
    </row>
    <row r="1112">
      <c r="A1112" s="7">
        <v>8.4268769E8</v>
      </c>
      <c r="B1112" s="12">
        <v>40643.0</v>
      </c>
      <c r="C1112" s="7">
        <f t="shared" si="1"/>
        <v>2011</v>
      </c>
      <c r="D1112" s="14" t="str">
        <f t="shared" si="2"/>
        <v>04 - Apr</v>
      </c>
      <c r="E1112" s="15" t="str">
        <f t="shared" si="3"/>
        <v>Sun</v>
      </c>
      <c r="F1112" s="15">
        <f t="shared" si="4"/>
        <v>7</v>
      </c>
      <c r="G1112" s="16">
        <v>40689.0</v>
      </c>
      <c r="H1112" s="14">
        <f t="shared" si="5"/>
        <v>46</v>
      </c>
      <c r="I1112" s="7" t="s">
        <v>399</v>
      </c>
      <c r="J1112" s="7" t="s">
        <v>365</v>
      </c>
      <c r="K1112" s="7" t="str">
        <f>VLOOKUP(J1112,countries,2,false)</f>
        <v>Montenegro</v>
      </c>
      <c r="L1112" s="7" t="str">
        <f>VLOOKUP($J1112,countries,5,false)</f>
        <v>Europe</v>
      </c>
      <c r="M1112" s="7" t="str">
        <f>VLOOKUP($J1112,countries,6,false)</f>
        <v>Southern Europe</v>
      </c>
      <c r="N1112" s="7">
        <v>5988.0</v>
      </c>
      <c r="O1112" s="7" t="str">
        <f>VLOOKUP(N1112, products, 2, FALSE)</f>
        <v>Vegetables</v>
      </c>
      <c r="P1112" s="7" t="s">
        <v>334</v>
      </c>
      <c r="Q1112" s="7">
        <v>8869.0</v>
      </c>
      <c r="R1112" s="17">
        <v>154.06</v>
      </c>
      <c r="S1112" s="17">
        <v>90.93</v>
      </c>
      <c r="U1112" s="18">
        <f t="shared" si="6"/>
        <v>1366358.14</v>
      </c>
      <c r="V1112" s="18">
        <f t="shared" si="7"/>
        <v>806458.17</v>
      </c>
      <c r="W1112" s="19">
        <f t="shared" si="8"/>
        <v>559899.97</v>
      </c>
    </row>
    <row r="1113">
      <c r="A1113" s="7">
        <v>8.42725884E8</v>
      </c>
      <c r="B1113" s="12">
        <v>42212.0</v>
      </c>
      <c r="C1113" s="7">
        <f t="shared" si="1"/>
        <v>2015</v>
      </c>
      <c r="D1113" s="14" t="str">
        <f t="shared" si="2"/>
        <v>07 - Jul</v>
      </c>
      <c r="E1113" s="15" t="str">
        <f t="shared" si="3"/>
        <v>Mon</v>
      </c>
      <c r="F1113" s="15">
        <f t="shared" si="4"/>
        <v>1</v>
      </c>
      <c r="G1113" s="16">
        <v>42227.0</v>
      </c>
      <c r="H1113" s="14">
        <f t="shared" si="5"/>
        <v>15</v>
      </c>
      <c r="I1113" s="7" t="s">
        <v>399</v>
      </c>
      <c r="J1113" s="7" t="s">
        <v>240</v>
      </c>
      <c r="K1113" s="7" t="str">
        <f>VLOOKUP(J1113,countries,2,false)</f>
        <v>Cyprus</v>
      </c>
      <c r="L1113" s="7" t="str">
        <f>VLOOKUP($J1113,countries,5,false)</f>
        <v>Asia</v>
      </c>
      <c r="M1113" s="7" t="str">
        <f>VLOOKUP($J1113,countries,6,false)</f>
        <v>Western Asia</v>
      </c>
      <c r="N1113" s="7">
        <v>8969.0</v>
      </c>
      <c r="O1113" s="7" t="str">
        <f>VLOOKUP(N1113, products, 2, FALSE)</f>
        <v>Snacks</v>
      </c>
      <c r="P1113" s="7" t="s">
        <v>334</v>
      </c>
      <c r="Q1113" s="7">
        <v>171.0</v>
      </c>
      <c r="R1113" s="17">
        <v>152.58</v>
      </c>
      <c r="S1113" s="17">
        <v>97.44</v>
      </c>
      <c r="U1113" s="18">
        <f t="shared" si="6"/>
        <v>26091.18</v>
      </c>
      <c r="V1113" s="18">
        <f t="shared" si="7"/>
        <v>16662.24</v>
      </c>
      <c r="W1113" s="19">
        <f t="shared" si="8"/>
        <v>9428.94</v>
      </c>
    </row>
    <row r="1114">
      <c r="A1114" s="7">
        <v>8.44105184E8</v>
      </c>
      <c r="B1114" s="12">
        <v>40254.0</v>
      </c>
      <c r="C1114" s="7">
        <f t="shared" si="1"/>
        <v>2010</v>
      </c>
      <c r="D1114" s="14" t="str">
        <f t="shared" si="2"/>
        <v>03 - Mar</v>
      </c>
      <c r="E1114" s="15" t="str">
        <f t="shared" si="3"/>
        <v>Wed</v>
      </c>
      <c r="F1114" s="15">
        <f t="shared" si="4"/>
        <v>3</v>
      </c>
      <c r="G1114" s="16">
        <v>40288.0</v>
      </c>
      <c r="H1114" s="14">
        <f t="shared" si="5"/>
        <v>34</v>
      </c>
      <c r="I1114" s="7" t="s">
        <v>399</v>
      </c>
      <c r="J1114" s="7" t="s">
        <v>685</v>
      </c>
      <c r="K1114" s="7" t="str">
        <f>VLOOKUP(J1114,countries,2,false)</f>
        <v>Slovenia</v>
      </c>
      <c r="L1114" s="7" t="str">
        <f>VLOOKUP($J1114,countries,5,false)</f>
        <v>Europe</v>
      </c>
      <c r="M1114" s="7" t="str">
        <f>VLOOKUP($J1114,countries,6,false)</f>
        <v>Southern Europe</v>
      </c>
      <c r="N1114" s="7">
        <v>1270.0</v>
      </c>
      <c r="O1114" s="7" t="str">
        <f>VLOOKUP(N1114, products, 2, FALSE)</f>
        <v>Beverages</v>
      </c>
      <c r="P1114" s="7" t="s">
        <v>334</v>
      </c>
      <c r="Q1114" s="7">
        <v>8337.0</v>
      </c>
      <c r="R1114" s="17">
        <v>47.45</v>
      </c>
      <c r="S1114" s="17">
        <v>31.79</v>
      </c>
      <c r="U1114" s="18">
        <f t="shared" si="6"/>
        <v>395590.65</v>
      </c>
      <c r="V1114" s="18">
        <f t="shared" si="7"/>
        <v>265033.23</v>
      </c>
      <c r="W1114" s="19">
        <f t="shared" si="8"/>
        <v>130557.42</v>
      </c>
    </row>
    <row r="1115">
      <c r="A1115" s="7">
        <v>8.44307315E8</v>
      </c>
      <c r="B1115" s="12">
        <v>41098.0</v>
      </c>
      <c r="C1115" s="7">
        <f t="shared" si="1"/>
        <v>2012</v>
      </c>
      <c r="D1115" s="14" t="str">
        <f t="shared" si="2"/>
        <v>07 - Jul</v>
      </c>
      <c r="E1115" s="15" t="str">
        <f t="shared" si="3"/>
        <v>Sun</v>
      </c>
      <c r="F1115" s="15">
        <f t="shared" si="4"/>
        <v>7</v>
      </c>
      <c r="G1115" s="16">
        <v>41119.0</v>
      </c>
      <c r="H1115" s="14">
        <f t="shared" si="5"/>
        <v>21</v>
      </c>
      <c r="I1115" s="7" t="s">
        <v>399</v>
      </c>
      <c r="J1115" s="7" t="s">
        <v>681</v>
      </c>
      <c r="K1115" s="7" t="str">
        <f>VLOOKUP(J1115,countries,2,false)</f>
        <v>United Kingdom</v>
      </c>
      <c r="L1115" s="7" t="str">
        <f>VLOOKUP($J1115,countries,5,false)</f>
        <v>Europe</v>
      </c>
      <c r="M1115" s="7" t="str">
        <f>VLOOKUP($J1115,countries,6,false)</f>
        <v>Northern Europe</v>
      </c>
      <c r="N1115" s="7">
        <v>7331.0</v>
      </c>
      <c r="O1115" s="7" t="str">
        <f>VLOOKUP(N1115, products, 2, FALSE)</f>
        <v>Baby Food</v>
      </c>
      <c r="P1115" s="7" t="s">
        <v>264</v>
      </c>
      <c r="Q1115" s="7">
        <v>8152.0</v>
      </c>
      <c r="R1115" s="17">
        <v>255.28</v>
      </c>
      <c r="S1115" s="17">
        <v>159.42</v>
      </c>
      <c r="U1115" s="18">
        <f t="shared" si="6"/>
        <v>2081042.56</v>
      </c>
      <c r="V1115" s="18">
        <f t="shared" si="7"/>
        <v>1299591.84</v>
      </c>
      <c r="W1115" s="19">
        <f t="shared" si="8"/>
        <v>781450.72</v>
      </c>
    </row>
    <row r="1116">
      <c r="A1116" s="7">
        <v>8.44575107E8</v>
      </c>
      <c r="B1116" s="12">
        <v>41811.0</v>
      </c>
      <c r="C1116" s="7">
        <f t="shared" si="1"/>
        <v>2014</v>
      </c>
      <c r="D1116" s="14" t="str">
        <f t="shared" si="2"/>
        <v>06 - Jun</v>
      </c>
      <c r="E1116" s="15" t="str">
        <f t="shared" si="3"/>
        <v>Sat</v>
      </c>
      <c r="F1116" s="15">
        <f t="shared" si="4"/>
        <v>6</v>
      </c>
      <c r="G1116" s="16">
        <v>41816.0</v>
      </c>
      <c r="H1116" s="14">
        <f t="shared" si="5"/>
        <v>5</v>
      </c>
      <c r="I1116" s="7" t="s">
        <v>399</v>
      </c>
      <c r="J1116" s="7" t="s">
        <v>293</v>
      </c>
      <c r="K1116" s="7" t="str">
        <f>VLOOKUP(J1116,countries,2,false)</f>
        <v>Finland</v>
      </c>
      <c r="L1116" s="7" t="str">
        <f>VLOOKUP($J1116,countries,5,false)</f>
        <v>Europe</v>
      </c>
      <c r="M1116" s="7" t="str">
        <f>VLOOKUP($J1116,countries,6,false)</f>
        <v>Northern Europe</v>
      </c>
      <c r="N1116" s="7">
        <v>8875.0</v>
      </c>
      <c r="O1116" s="7" t="str">
        <f>VLOOKUP(N1116, products, 2, FALSE)</f>
        <v>Meat</v>
      </c>
      <c r="P1116" s="7" t="s">
        <v>264</v>
      </c>
      <c r="Q1116" s="7">
        <v>7397.0</v>
      </c>
      <c r="R1116" s="17">
        <v>421.89</v>
      </c>
      <c r="S1116" s="17">
        <v>364.69</v>
      </c>
      <c r="U1116" s="18">
        <f t="shared" si="6"/>
        <v>3120720.33</v>
      </c>
      <c r="V1116" s="18">
        <f t="shared" si="7"/>
        <v>2697611.93</v>
      </c>
      <c r="W1116" s="19">
        <f t="shared" si="8"/>
        <v>423108.4</v>
      </c>
    </row>
    <row r="1117">
      <c r="A1117" s="7">
        <v>8.45067346E8</v>
      </c>
      <c r="B1117" s="12">
        <v>40430.0</v>
      </c>
      <c r="C1117" s="7">
        <f t="shared" si="1"/>
        <v>2010</v>
      </c>
      <c r="D1117" s="14" t="str">
        <f t="shared" si="2"/>
        <v>09 - Sep</v>
      </c>
      <c r="E1117" s="15" t="str">
        <f t="shared" si="3"/>
        <v>Thu</v>
      </c>
      <c r="F1117" s="15">
        <f t="shared" si="4"/>
        <v>4</v>
      </c>
      <c r="G1117" s="16">
        <v>40434.0</v>
      </c>
      <c r="H1117" s="14">
        <f t="shared" si="5"/>
        <v>4</v>
      </c>
      <c r="I1117" s="7" t="s">
        <v>399</v>
      </c>
      <c r="J1117" s="7" t="s">
        <v>489</v>
      </c>
      <c r="K1117" s="7" t="str">
        <f>VLOOKUP(J1117,countries,2,false)</f>
        <v>Malta</v>
      </c>
      <c r="L1117" s="7" t="str">
        <f>VLOOKUP($J1117,countries,5,false)</f>
        <v>Europe</v>
      </c>
      <c r="M1117" s="7" t="str">
        <f>VLOOKUP($J1117,countries,6,false)</f>
        <v>Southern Europe</v>
      </c>
      <c r="N1117" s="7">
        <v>7940.0</v>
      </c>
      <c r="O1117" s="7" t="str">
        <f>VLOOKUP(N1117, products, 2, FALSE)</f>
        <v>Household</v>
      </c>
      <c r="P1117" s="7" t="s">
        <v>264</v>
      </c>
      <c r="Q1117" s="7">
        <v>3062.0</v>
      </c>
      <c r="R1117" s="17">
        <v>668.27</v>
      </c>
      <c r="S1117" s="17">
        <v>502.54</v>
      </c>
      <c r="U1117" s="18">
        <f t="shared" si="6"/>
        <v>2046242.74</v>
      </c>
      <c r="V1117" s="18">
        <f t="shared" si="7"/>
        <v>1538777.48</v>
      </c>
      <c r="W1117" s="19">
        <f t="shared" si="8"/>
        <v>507465.26</v>
      </c>
    </row>
    <row r="1118">
      <c r="A1118" s="7">
        <v>8.45738112E8</v>
      </c>
      <c r="B1118" s="12">
        <v>40447.0</v>
      </c>
      <c r="C1118" s="7">
        <f t="shared" si="1"/>
        <v>2010</v>
      </c>
      <c r="D1118" s="14" t="str">
        <f t="shared" si="2"/>
        <v>09 - Sep</v>
      </c>
      <c r="E1118" s="15" t="str">
        <f t="shared" si="3"/>
        <v>Sun</v>
      </c>
      <c r="F1118" s="15">
        <f t="shared" si="4"/>
        <v>7</v>
      </c>
      <c r="G1118" s="16">
        <v>40474.0</v>
      </c>
      <c r="H1118" s="14">
        <f t="shared" si="5"/>
        <v>27</v>
      </c>
      <c r="I1118" s="7" t="s">
        <v>364</v>
      </c>
      <c r="J1118" s="7" t="s">
        <v>348</v>
      </c>
      <c r="K1118" s="7" t="s">
        <v>348</v>
      </c>
      <c r="L1118" s="7" t="s">
        <v>348</v>
      </c>
      <c r="M1118" s="7" t="s">
        <v>348</v>
      </c>
      <c r="N1118" s="7">
        <v>8293.0</v>
      </c>
      <c r="O1118" s="7" t="str">
        <f>VLOOKUP(N1118, products, 2, FALSE)</f>
        <v>Cosmetics</v>
      </c>
      <c r="P1118" s="7" t="s">
        <v>264</v>
      </c>
      <c r="Q1118" s="7">
        <v>1557.0</v>
      </c>
      <c r="R1118" s="17">
        <v>437.2</v>
      </c>
      <c r="S1118" s="17">
        <v>263.33</v>
      </c>
      <c r="U1118" s="18">
        <f t="shared" si="6"/>
        <v>680720.4</v>
      </c>
      <c r="V1118" s="18">
        <f t="shared" si="7"/>
        <v>410004.81</v>
      </c>
      <c r="W1118" s="19">
        <f t="shared" si="8"/>
        <v>270715.59</v>
      </c>
    </row>
    <row r="1119">
      <c r="A1119" s="7">
        <v>8.464136E8</v>
      </c>
      <c r="B1119" s="12">
        <v>40907.0</v>
      </c>
      <c r="C1119" s="7">
        <f t="shared" si="1"/>
        <v>2011</v>
      </c>
      <c r="D1119" s="14" t="str">
        <f t="shared" si="2"/>
        <v>12 - Dec</v>
      </c>
      <c r="E1119" s="15" t="str">
        <f t="shared" si="3"/>
        <v>Fri</v>
      </c>
      <c r="F1119" s="15">
        <f t="shared" si="4"/>
        <v>5</v>
      </c>
      <c r="G1119" s="16">
        <v>40908.0</v>
      </c>
      <c r="H1119" s="14">
        <f t="shared" si="5"/>
        <v>1</v>
      </c>
      <c r="I1119" s="7" t="s">
        <v>364</v>
      </c>
      <c r="J1119" s="7" t="s">
        <v>396</v>
      </c>
      <c r="K1119" s="7" t="str">
        <f>VLOOKUP(J1119,countries,2,false)</f>
        <v>Ireland</v>
      </c>
      <c r="L1119" s="7" t="str">
        <f>VLOOKUP($J1119,countries,5,false)</f>
        <v>Europe</v>
      </c>
      <c r="M1119" s="7" t="str">
        <f>VLOOKUP($J1119,countries,6,false)</f>
        <v>Northern Europe</v>
      </c>
      <c r="N1119" s="7">
        <v>8969.0</v>
      </c>
      <c r="O1119" s="7" t="str">
        <f>VLOOKUP(N1119, products, 2, FALSE)</f>
        <v>Snacks</v>
      </c>
      <c r="P1119" s="7" t="s">
        <v>264</v>
      </c>
      <c r="Q1119" s="7">
        <v>1448.0</v>
      </c>
      <c r="R1119" s="17">
        <v>152.58</v>
      </c>
      <c r="S1119" s="17">
        <v>97.44</v>
      </c>
      <c r="U1119" s="18">
        <f t="shared" si="6"/>
        <v>220935.84</v>
      </c>
      <c r="V1119" s="18">
        <f t="shared" si="7"/>
        <v>141093.12</v>
      </c>
      <c r="W1119" s="19">
        <f t="shared" si="8"/>
        <v>79842.72</v>
      </c>
    </row>
    <row r="1120">
      <c r="A1120" s="7">
        <v>8.47317397E8</v>
      </c>
      <c r="B1120" s="12">
        <v>40892.0</v>
      </c>
      <c r="C1120" s="7">
        <f t="shared" si="1"/>
        <v>2011</v>
      </c>
      <c r="D1120" s="14" t="str">
        <f t="shared" si="2"/>
        <v>12 - Dec</v>
      </c>
      <c r="E1120" s="15" t="str">
        <f t="shared" si="3"/>
        <v>Thu</v>
      </c>
      <c r="F1120" s="15">
        <f t="shared" si="4"/>
        <v>4</v>
      </c>
      <c r="G1120" s="16">
        <v>40895.0</v>
      </c>
      <c r="H1120" s="14">
        <f t="shared" si="5"/>
        <v>3</v>
      </c>
      <c r="I1120" s="7" t="s">
        <v>232</v>
      </c>
      <c r="J1120" s="7" t="s">
        <v>447</v>
      </c>
      <c r="K1120" s="7" t="str">
        <f>VLOOKUP(J1120,countries,2,false)</f>
        <v>Latvia</v>
      </c>
      <c r="L1120" s="7" t="str">
        <f>VLOOKUP($J1120,countries,5,false)</f>
        <v>Europe</v>
      </c>
      <c r="M1120" s="7" t="str">
        <f>VLOOKUP($J1120,countries,6,false)</f>
        <v>Northern Europe</v>
      </c>
      <c r="N1120" s="7">
        <v>8875.0</v>
      </c>
      <c r="O1120" s="7" t="str">
        <f>VLOOKUP(N1120, products, 2, FALSE)</f>
        <v>Meat</v>
      </c>
      <c r="P1120" s="7" t="s">
        <v>334</v>
      </c>
      <c r="Q1120" s="7">
        <v>8902.0</v>
      </c>
      <c r="R1120" s="17">
        <v>421.89</v>
      </c>
      <c r="S1120" s="17">
        <v>364.69</v>
      </c>
      <c r="U1120" s="18">
        <f t="shared" si="6"/>
        <v>3755664.78</v>
      </c>
      <c r="V1120" s="18">
        <f t="shared" si="7"/>
        <v>3246470.38</v>
      </c>
      <c r="W1120" s="19">
        <f t="shared" si="8"/>
        <v>509194.4</v>
      </c>
    </row>
    <row r="1121">
      <c r="A1121" s="7">
        <v>8.48737466E8</v>
      </c>
      <c r="B1121" s="12">
        <v>42505.0</v>
      </c>
      <c r="C1121" s="7">
        <f t="shared" si="1"/>
        <v>2016</v>
      </c>
      <c r="D1121" s="14" t="str">
        <f t="shared" si="2"/>
        <v>05 - May</v>
      </c>
      <c r="E1121" s="15" t="str">
        <f t="shared" si="3"/>
        <v>Sun</v>
      </c>
      <c r="F1121" s="15">
        <f t="shared" si="4"/>
        <v>7</v>
      </c>
      <c r="G1121" s="16">
        <v>42521.0</v>
      </c>
      <c r="H1121" s="14">
        <f t="shared" si="5"/>
        <v>16</v>
      </c>
      <c r="I1121" s="7" t="s">
        <v>364</v>
      </c>
      <c r="J1121" s="7" t="s">
        <v>90</v>
      </c>
      <c r="K1121" s="7" t="str">
        <f>VLOOKUP(J1121,countries,2,false)</f>
        <v>Armenia</v>
      </c>
      <c r="L1121" s="7" t="str">
        <f>VLOOKUP($J1121,countries,5,false)</f>
        <v>Asia</v>
      </c>
      <c r="M1121" s="7" t="str">
        <f>VLOOKUP($J1121,countries,6,false)</f>
        <v>Western Asia</v>
      </c>
      <c r="N1121" s="7">
        <v>5988.0</v>
      </c>
      <c r="O1121" s="7" t="str">
        <f>VLOOKUP(N1121, products, 2, FALSE)</f>
        <v>Vegetables</v>
      </c>
      <c r="P1121" s="7" t="s">
        <v>264</v>
      </c>
      <c r="Q1121" s="7">
        <v>9132.0</v>
      </c>
      <c r="R1121" s="17">
        <v>154.06</v>
      </c>
      <c r="S1121" s="17">
        <v>90.93</v>
      </c>
      <c r="U1121" s="18">
        <f t="shared" si="6"/>
        <v>1406875.92</v>
      </c>
      <c r="V1121" s="18">
        <f t="shared" si="7"/>
        <v>830372.76</v>
      </c>
      <c r="W1121" s="19">
        <f t="shared" si="8"/>
        <v>576503.16</v>
      </c>
    </row>
    <row r="1122">
      <c r="A1122" s="7">
        <v>8.49431836E8</v>
      </c>
      <c r="B1122" s="12">
        <v>41968.0</v>
      </c>
      <c r="C1122" s="7">
        <f t="shared" si="1"/>
        <v>2014</v>
      </c>
      <c r="D1122" s="14" t="str">
        <f t="shared" si="2"/>
        <v>11 - Nov</v>
      </c>
      <c r="E1122" s="15" t="str">
        <f t="shared" si="3"/>
        <v>Tue</v>
      </c>
      <c r="F1122" s="15">
        <f t="shared" si="4"/>
        <v>2</v>
      </c>
      <c r="G1122" s="16">
        <v>41971.0</v>
      </c>
      <c r="H1122" s="14">
        <f t="shared" si="5"/>
        <v>3</v>
      </c>
      <c r="I1122" s="7" t="s">
        <v>364</v>
      </c>
      <c r="J1122" s="7" t="s">
        <v>447</v>
      </c>
      <c r="K1122" s="7" t="str">
        <f>VLOOKUP(J1122,countries,2,false)</f>
        <v>Latvia</v>
      </c>
      <c r="L1122" s="7" t="str">
        <f>VLOOKUP($J1122,countries,5,false)</f>
        <v>Europe</v>
      </c>
      <c r="M1122" s="7" t="str">
        <f>VLOOKUP($J1122,countries,6,false)</f>
        <v>Northern Europe</v>
      </c>
      <c r="N1122" s="7">
        <v>8875.0</v>
      </c>
      <c r="O1122" s="7" t="str">
        <f>VLOOKUP(N1122, products, 2, FALSE)</f>
        <v>Meat</v>
      </c>
      <c r="P1122" s="7" t="s">
        <v>264</v>
      </c>
      <c r="Q1122" s="7">
        <v>4611.0</v>
      </c>
      <c r="R1122" s="17">
        <v>421.89</v>
      </c>
      <c r="S1122" s="17">
        <v>364.69</v>
      </c>
      <c r="U1122" s="18">
        <f t="shared" si="6"/>
        <v>1945334.79</v>
      </c>
      <c r="V1122" s="18">
        <f t="shared" si="7"/>
        <v>1681585.59</v>
      </c>
      <c r="W1122" s="19">
        <f t="shared" si="8"/>
        <v>263749.2</v>
      </c>
    </row>
    <row r="1123">
      <c r="A1123" s="7">
        <v>8.49454581E8</v>
      </c>
      <c r="B1123" s="12">
        <v>42592.0</v>
      </c>
      <c r="C1123" s="7">
        <f t="shared" si="1"/>
        <v>2016</v>
      </c>
      <c r="D1123" s="14" t="str">
        <f t="shared" si="2"/>
        <v>08 - Aug</v>
      </c>
      <c r="E1123" s="15" t="str">
        <f t="shared" si="3"/>
        <v>Wed</v>
      </c>
      <c r="F1123" s="15">
        <f t="shared" si="4"/>
        <v>3</v>
      </c>
      <c r="G1123" s="16">
        <v>42619.0</v>
      </c>
      <c r="H1123" s="14">
        <f t="shared" si="5"/>
        <v>27</v>
      </c>
      <c r="I1123" s="7" t="s">
        <v>232</v>
      </c>
      <c r="J1123" s="7" t="s">
        <v>41</v>
      </c>
      <c r="K1123" s="7" t="str">
        <f>VLOOKUP(J1123,countries,2,false)</f>
        <v>Albania</v>
      </c>
      <c r="L1123" s="7" t="str">
        <f>VLOOKUP($J1123,countries,5,false)</f>
        <v>Europe</v>
      </c>
      <c r="M1123" s="7" t="str">
        <f>VLOOKUP($J1123,countries,6,false)</f>
        <v>Southern Europe</v>
      </c>
      <c r="N1123" s="7">
        <v>8681.0</v>
      </c>
      <c r="O1123" s="7" t="str">
        <f>VLOOKUP(N1123, products, 2, FALSE)</f>
        <v>Office Supplies</v>
      </c>
      <c r="P1123" s="7" t="s">
        <v>264</v>
      </c>
      <c r="Q1123" s="7">
        <v>1342.0</v>
      </c>
      <c r="R1123" s="17">
        <v>651.21</v>
      </c>
      <c r="S1123" s="17">
        <v>524.96</v>
      </c>
      <c r="U1123" s="18">
        <f t="shared" si="6"/>
        <v>873923.82</v>
      </c>
      <c r="V1123" s="18">
        <f t="shared" si="7"/>
        <v>704496.32</v>
      </c>
      <c r="W1123" s="19">
        <f t="shared" si="8"/>
        <v>169427.5</v>
      </c>
    </row>
    <row r="1124">
      <c r="A1124" s="7">
        <v>8.50279843E8</v>
      </c>
      <c r="B1124" s="12">
        <v>40999.0</v>
      </c>
      <c r="C1124" s="7">
        <f t="shared" si="1"/>
        <v>2012</v>
      </c>
      <c r="D1124" s="14" t="str">
        <f t="shared" si="2"/>
        <v>03 - Mar</v>
      </c>
      <c r="E1124" s="15" t="str">
        <f t="shared" si="3"/>
        <v>Sat</v>
      </c>
      <c r="F1124" s="15">
        <f t="shared" si="4"/>
        <v>6</v>
      </c>
      <c r="G1124" s="16">
        <v>41009.0</v>
      </c>
      <c r="H1124" s="14">
        <f t="shared" si="5"/>
        <v>10</v>
      </c>
      <c r="I1124" s="7" t="s">
        <v>305</v>
      </c>
      <c r="J1124" s="7" t="s">
        <v>240</v>
      </c>
      <c r="K1124" s="7" t="str">
        <f>VLOOKUP(J1124,countries,2,false)</f>
        <v>Cyprus</v>
      </c>
      <c r="L1124" s="7" t="str">
        <f>VLOOKUP($J1124,countries,5,false)</f>
        <v>Asia</v>
      </c>
      <c r="M1124" s="7" t="str">
        <f>VLOOKUP($J1124,countries,6,false)</f>
        <v>Western Asia</v>
      </c>
      <c r="N1124" s="7">
        <v>4594.0</v>
      </c>
      <c r="O1124" s="7" t="str">
        <f>VLOOKUP(N1124, products, 2, FALSE)</f>
        <v>Fruits</v>
      </c>
      <c r="P1124" s="7" t="s">
        <v>334</v>
      </c>
      <c r="Q1124" s="7">
        <v>5556.0</v>
      </c>
      <c r="R1124" s="17">
        <v>9.33</v>
      </c>
      <c r="S1124" s="17">
        <v>6.92</v>
      </c>
      <c r="U1124" s="18">
        <f t="shared" si="6"/>
        <v>51837.48</v>
      </c>
      <c r="V1124" s="18">
        <f t="shared" si="7"/>
        <v>38447.52</v>
      </c>
      <c r="W1124" s="19">
        <f t="shared" si="8"/>
        <v>13389.96</v>
      </c>
    </row>
    <row r="1125">
      <c r="A1125" s="7">
        <v>8.50562655E8</v>
      </c>
      <c r="B1125" s="12">
        <v>41862.0</v>
      </c>
      <c r="C1125" s="7">
        <f t="shared" si="1"/>
        <v>2014</v>
      </c>
      <c r="D1125" s="14" t="str">
        <f t="shared" si="2"/>
        <v>08 - Aug</v>
      </c>
      <c r="E1125" s="15" t="str">
        <f t="shared" si="3"/>
        <v>Mon</v>
      </c>
      <c r="F1125" s="15">
        <f t="shared" si="4"/>
        <v>1</v>
      </c>
      <c r="G1125" s="16">
        <v>41907.0</v>
      </c>
      <c r="H1125" s="14">
        <f t="shared" si="5"/>
        <v>45</v>
      </c>
      <c r="I1125" s="7" t="s">
        <v>232</v>
      </c>
      <c r="J1125" s="7" t="s">
        <v>720</v>
      </c>
      <c r="K1125" s="7" t="str">
        <f>VLOOKUP(J1125,countries,2,false)</f>
        <v>Switzerland</v>
      </c>
      <c r="L1125" s="7" t="str">
        <f>VLOOKUP($J1125,countries,5,false)</f>
        <v>Europe</v>
      </c>
      <c r="M1125" s="7" t="str">
        <f>VLOOKUP($J1125,countries,6,false)</f>
        <v>Western Europe</v>
      </c>
      <c r="N1125" s="7">
        <v>7331.0</v>
      </c>
      <c r="O1125" s="7" t="str">
        <f>VLOOKUP(N1125, products, 2, FALSE)</f>
        <v>Baby Food</v>
      </c>
      <c r="P1125" s="7" t="s">
        <v>334</v>
      </c>
      <c r="Q1125" s="7">
        <v>9246.0</v>
      </c>
      <c r="R1125" s="17">
        <v>255.28</v>
      </c>
      <c r="S1125" s="17">
        <v>159.42</v>
      </c>
      <c r="U1125" s="18">
        <f t="shared" si="6"/>
        <v>2360318.88</v>
      </c>
      <c r="V1125" s="18">
        <f t="shared" si="7"/>
        <v>1473997.32</v>
      </c>
      <c r="W1125" s="19">
        <f t="shared" si="8"/>
        <v>886321.56</v>
      </c>
    </row>
    <row r="1126">
      <c r="A1126" s="7">
        <v>8.50872075E8</v>
      </c>
      <c r="B1126" s="12">
        <v>42203.0</v>
      </c>
      <c r="C1126" s="7">
        <f t="shared" si="1"/>
        <v>2015</v>
      </c>
      <c r="D1126" s="14" t="str">
        <f t="shared" si="2"/>
        <v>07 - Jul</v>
      </c>
      <c r="E1126" s="15" t="str">
        <f t="shared" si="3"/>
        <v>Sat</v>
      </c>
      <c r="F1126" s="15">
        <f t="shared" si="4"/>
        <v>6</v>
      </c>
      <c r="G1126" s="16">
        <v>42217.0</v>
      </c>
      <c r="H1126" s="14">
        <f t="shared" si="5"/>
        <v>14</v>
      </c>
      <c r="I1126" s="7" t="s">
        <v>399</v>
      </c>
      <c r="J1126" s="7" t="s">
        <v>243</v>
      </c>
      <c r="K1126" s="7" t="str">
        <f>VLOOKUP(J1126,countries,2,false)</f>
        <v>Czech Republic</v>
      </c>
      <c r="L1126" s="7" t="str">
        <f>VLOOKUP($J1126,countries,5,false)</f>
        <v>Europe</v>
      </c>
      <c r="M1126" s="7" t="str">
        <f>VLOOKUP($J1126,countries,6,false)</f>
        <v>Eastern Europe</v>
      </c>
      <c r="N1126" s="7">
        <v>7331.0</v>
      </c>
      <c r="O1126" s="7" t="str">
        <f>VLOOKUP(N1126, products, 2, FALSE)</f>
        <v>Baby Food</v>
      </c>
      <c r="P1126" s="7" t="s">
        <v>334</v>
      </c>
      <c r="Q1126" s="7">
        <v>810.0</v>
      </c>
      <c r="R1126" s="17">
        <v>255.28</v>
      </c>
      <c r="S1126" s="17">
        <v>159.42</v>
      </c>
      <c r="U1126" s="18">
        <f t="shared" si="6"/>
        <v>206776.8</v>
      </c>
      <c r="V1126" s="18">
        <f t="shared" si="7"/>
        <v>129130.2</v>
      </c>
      <c r="W1126" s="19">
        <f t="shared" si="8"/>
        <v>77646.6</v>
      </c>
    </row>
    <row r="1127">
      <c r="A1127" s="7">
        <v>8.52392995E8</v>
      </c>
      <c r="B1127" s="12">
        <v>42457.0</v>
      </c>
      <c r="C1127" s="7">
        <f t="shared" si="1"/>
        <v>2016</v>
      </c>
      <c r="D1127" s="14" t="str">
        <f t="shared" si="2"/>
        <v>03 - Mar</v>
      </c>
      <c r="E1127" s="15" t="str">
        <f t="shared" si="3"/>
        <v>Mon</v>
      </c>
      <c r="F1127" s="15">
        <f t="shared" si="4"/>
        <v>1</v>
      </c>
      <c r="G1127" s="16">
        <v>42479.0</v>
      </c>
      <c r="H1127" s="14">
        <f t="shared" si="5"/>
        <v>22</v>
      </c>
      <c r="I1127" s="7" t="s">
        <v>232</v>
      </c>
      <c r="J1127" s="7" t="s">
        <v>465</v>
      </c>
      <c r="K1127" s="7" t="str">
        <f>VLOOKUP(J1127,countries,2,false)</f>
        <v>Lithuania</v>
      </c>
      <c r="L1127" s="7" t="str">
        <f>VLOOKUP($J1127,countries,5,false)</f>
        <v>Europe</v>
      </c>
      <c r="M1127" s="7" t="str">
        <f>VLOOKUP($J1127,countries,6,false)</f>
        <v>Northern Europe</v>
      </c>
      <c r="N1127" s="7">
        <v>8293.0</v>
      </c>
      <c r="O1127" s="7" t="str">
        <f>VLOOKUP(N1127, products, 2, FALSE)</f>
        <v>Cosmetics</v>
      </c>
      <c r="P1127" s="7" t="s">
        <v>264</v>
      </c>
      <c r="Q1127" s="7">
        <v>884.0</v>
      </c>
      <c r="R1127" s="17">
        <v>437.2</v>
      </c>
      <c r="S1127" s="17">
        <v>263.33</v>
      </c>
      <c r="U1127" s="18">
        <f t="shared" si="6"/>
        <v>386484.8</v>
      </c>
      <c r="V1127" s="18">
        <f t="shared" si="7"/>
        <v>232783.72</v>
      </c>
      <c r="W1127" s="19">
        <f t="shared" si="8"/>
        <v>153701.08</v>
      </c>
    </row>
    <row r="1128">
      <c r="A1128" s="7">
        <v>8.53036296E8</v>
      </c>
      <c r="B1128" s="12">
        <v>41408.0</v>
      </c>
      <c r="C1128" s="7">
        <f t="shared" si="1"/>
        <v>2013</v>
      </c>
      <c r="D1128" s="14" t="str">
        <f t="shared" si="2"/>
        <v>05 - May</v>
      </c>
      <c r="E1128" s="15" t="str">
        <f t="shared" si="3"/>
        <v>Tue</v>
      </c>
      <c r="F1128" s="15">
        <f t="shared" si="4"/>
        <v>2</v>
      </c>
      <c r="G1128" s="16">
        <v>41426.0</v>
      </c>
      <c r="H1128" s="14">
        <f t="shared" si="5"/>
        <v>18</v>
      </c>
      <c r="I1128" s="7" t="s">
        <v>364</v>
      </c>
      <c r="J1128" s="7" t="s">
        <v>623</v>
      </c>
      <c r="K1128" s="7" t="str">
        <f>VLOOKUP(J1128,countries,2,false)</f>
        <v>Romania</v>
      </c>
      <c r="L1128" s="7" t="str">
        <f>VLOOKUP($J1128,countries,5,false)</f>
        <v>Europe</v>
      </c>
      <c r="M1128" s="7" t="str">
        <f>VLOOKUP($J1128,countries,6,false)</f>
        <v>Eastern Europe</v>
      </c>
      <c r="N1128" s="7">
        <v>3127.0</v>
      </c>
      <c r="O1128" s="7" t="str">
        <f>VLOOKUP(N1128, products, 2, FALSE)</f>
        <v>Personal Care</v>
      </c>
      <c r="P1128" s="7" t="s">
        <v>334</v>
      </c>
      <c r="Q1128" s="7">
        <v>1251.0</v>
      </c>
      <c r="R1128" s="17">
        <v>81.73</v>
      </c>
      <c r="S1128" s="17">
        <v>56.67</v>
      </c>
      <c r="U1128" s="18">
        <f t="shared" si="6"/>
        <v>102244.23</v>
      </c>
      <c r="V1128" s="18">
        <f t="shared" si="7"/>
        <v>70894.17</v>
      </c>
      <c r="W1128" s="19">
        <f t="shared" si="8"/>
        <v>31350.06</v>
      </c>
    </row>
    <row r="1129">
      <c r="A1129" s="7">
        <v>8.56648051E8</v>
      </c>
      <c r="B1129" s="12">
        <v>40525.0</v>
      </c>
      <c r="C1129" s="7">
        <f t="shared" si="1"/>
        <v>2010</v>
      </c>
      <c r="D1129" s="14" t="str">
        <f t="shared" si="2"/>
        <v>12 - Dec</v>
      </c>
      <c r="E1129" s="15" t="str">
        <f t="shared" si="3"/>
        <v>Mon</v>
      </c>
      <c r="F1129" s="15">
        <f t="shared" si="4"/>
        <v>1</v>
      </c>
      <c r="G1129" s="16">
        <v>40535.0</v>
      </c>
      <c r="H1129" s="14">
        <f t="shared" si="5"/>
        <v>10</v>
      </c>
      <c r="I1129" s="7" t="s">
        <v>232</v>
      </c>
      <c r="J1129" s="7" t="s">
        <v>462</v>
      </c>
      <c r="K1129" s="7" t="str">
        <f>VLOOKUP(J1129,countries,2,false)</f>
        <v>Liechtenstein</v>
      </c>
      <c r="L1129" s="7" t="str">
        <f>VLOOKUP($J1129,countries,5,false)</f>
        <v>Europe</v>
      </c>
      <c r="M1129" s="7" t="str">
        <f>VLOOKUP($J1129,countries,6,false)</f>
        <v>Western Europe</v>
      </c>
      <c r="N1129" s="7">
        <v>2103.0</v>
      </c>
      <c r="O1129" s="7" t="str">
        <f>VLOOKUP(N1129, products, 2, FALSE)</f>
        <v>Cereal</v>
      </c>
      <c r="P1129" s="7" t="s">
        <v>264</v>
      </c>
      <c r="Q1129" s="7">
        <v>50.0</v>
      </c>
      <c r="R1129" s="17">
        <v>205.7</v>
      </c>
      <c r="S1129" s="17">
        <v>117.11</v>
      </c>
      <c r="U1129" s="18">
        <f t="shared" si="6"/>
        <v>10285</v>
      </c>
      <c r="V1129" s="18">
        <f t="shared" si="7"/>
        <v>5855.5</v>
      </c>
      <c r="W1129" s="19">
        <f t="shared" si="8"/>
        <v>4429.5</v>
      </c>
    </row>
    <row r="1130">
      <c r="A1130" s="7">
        <v>8.57457864E8</v>
      </c>
      <c r="B1130" s="12">
        <v>40753.0</v>
      </c>
      <c r="C1130" s="7">
        <f t="shared" si="1"/>
        <v>2011</v>
      </c>
      <c r="D1130" s="14" t="str">
        <f t="shared" si="2"/>
        <v>07 - Jul</v>
      </c>
      <c r="E1130" s="15" t="str">
        <f t="shared" si="3"/>
        <v>Fri</v>
      </c>
      <c r="F1130" s="15">
        <f t="shared" si="4"/>
        <v>5</v>
      </c>
      <c r="G1130" s="16">
        <v>40802.0</v>
      </c>
      <c r="H1130" s="14">
        <f t="shared" si="5"/>
        <v>49</v>
      </c>
      <c r="I1130" s="7" t="s">
        <v>305</v>
      </c>
      <c r="J1130" s="7" t="s">
        <v>546</v>
      </c>
      <c r="K1130" s="7" t="str">
        <f>VLOOKUP(J1130,countries,2,false)</f>
        <v>Netherlands</v>
      </c>
      <c r="L1130" s="7" t="str">
        <f>VLOOKUP($J1130,countries,5,false)</f>
        <v>Europe</v>
      </c>
      <c r="M1130" s="7" t="str">
        <f>VLOOKUP($J1130,countries,6,false)</f>
        <v>Western Europe</v>
      </c>
      <c r="N1130" s="7">
        <v>8681.0</v>
      </c>
      <c r="O1130" s="7" t="str">
        <f>VLOOKUP(N1130, products, 2, FALSE)</f>
        <v>Office Supplies</v>
      </c>
      <c r="P1130" s="7" t="s">
        <v>264</v>
      </c>
      <c r="Q1130" s="7">
        <v>9691.0</v>
      </c>
      <c r="R1130" s="17">
        <v>651.21</v>
      </c>
      <c r="S1130" s="17">
        <v>524.96</v>
      </c>
      <c r="U1130" s="18">
        <f t="shared" si="6"/>
        <v>6310876.11</v>
      </c>
      <c r="V1130" s="18">
        <f t="shared" si="7"/>
        <v>5087387.36</v>
      </c>
      <c r="W1130" s="19">
        <f t="shared" si="8"/>
        <v>1223488.75</v>
      </c>
    </row>
    <row r="1131">
      <c r="A1131" s="7">
        <v>8.59914767E8</v>
      </c>
      <c r="B1131" s="12">
        <v>42501.0</v>
      </c>
      <c r="C1131" s="7">
        <f t="shared" si="1"/>
        <v>2016</v>
      </c>
      <c r="D1131" s="14" t="str">
        <f t="shared" si="2"/>
        <v>05 - May</v>
      </c>
      <c r="E1131" s="15" t="str">
        <f t="shared" si="3"/>
        <v>Wed</v>
      </c>
      <c r="F1131" s="15">
        <f t="shared" si="4"/>
        <v>3</v>
      </c>
      <c r="G1131" s="16">
        <v>42539.0</v>
      </c>
      <c r="H1131" s="14">
        <f t="shared" si="5"/>
        <v>38</v>
      </c>
      <c r="I1131" s="7" t="s">
        <v>232</v>
      </c>
      <c r="J1131" s="7" t="s">
        <v>656</v>
      </c>
      <c r="K1131" s="7" t="str">
        <f>VLOOKUP(J1131,countries,2,false)</f>
        <v>San Marino</v>
      </c>
      <c r="L1131" s="7" t="str">
        <f>VLOOKUP($J1131,countries,5,false)</f>
        <v>Europe</v>
      </c>
      <c r="M1131" s="7" t="str">
        <f>VLOOKUP($J1131,countries,6,false)</f>
        <v>Southern Europe</v>
      </c>
      <c r="N1131" s="7">
        <v>8681.0</v>
      </c>
      <c r="O1131" s="7" t="str">
        <f>VLOOKUP(N1131, products, 2, FALSE)</f>
        <v>Office Supplies</v>
      </c>
      <c r="P1131" s="7" t="s">
        <v>334</v>
      </c>
      <c r="Q1131" s="7">
        <v>6744.0</v>
      </c>
      <c r="R1131" s="17">
        <v>651.21</v>
      </c>
      <c r="S1131" s="17">
        <v>524.96</v>
      </c>
      <c r="U1131" s="18">
        <f t="shared" si="6"/>
        <v>4391760.24</v>
      </c>
      <c r="V1131" s="18">
        <f t="shared" si="7"/>
        <v>3540330.24</v>
      </c>
      <c r="W1131" s="19">
        <f t="shared" si="8"/>
        <v>851430</v>
      </c>
    </row>
    <row r="1132">
      <c r="A1132" s="7">
        <v>8.60104024E8</v>
      </c>
      <c r="B1132" s="12">
        <v>41635.0</v>
      </c>
      <c r="C1132" s="7">
        <f t="shared" si="1"/>
        <v>2013</v>
      </c>
      <c r="D1132" s="14" t="str">
        <f t="shared" si="2"/>
        <v>12 - Dec</v>
      </c>
      <c r="E1132" s="15" t="str">
        <f t="shared" si="3"/>
        <v>Fri</v>
      </c>
      <c r="F1132" s="15">
        <f t="shared" si="4"/>
        <v>5</v>
      </c>
      <c r="G1132" s="16">
        <v>41638.0</v>
      </c>
      <c r="H1132" s="14">
        <f t="shared" si="5"/>
        <v>3</v>
      </c>
      <c r="I1132" s="7" t="s">
        <v>232</v>
      </c>
      <c r="J1132" s="7" t="s">
        <v>246</v>
      </c>
      <c r="K1132" s="7" t="str">
        <f>VLOOKUP(J1132,countries,2,false)</f>
        <v>Denmark</v>
      </c>
      <c r="L1132" s="7" t="str">
        <f>VLOOKUP($J1132,countries,5,false)</f>
        <v>Europe</v>
      </c>
      <c r="M1132" s="7" t="str">
        <f>VLOOKUP($J1132,countries,6,false)</f>
        <v>Northern Europe</v>
      </c>
      <c r="N1132" s="7">
        <v>8293.0</v>
      </c>
      <c r="O1132" s="7" t="str">
        <f>VLOOKUP(N1132, products, 2, FALSE)</f>
        <v>Cosmetics</v>
      </c>
      <c r="P1132" s="7" t="s">
        <v>334</v>
      </c>
      <c r="Q1132" s="7">
        <v>2749.0</v>
      </c>
      <c r="R1132" s="17">
        <v>437.2</v>
      </c>
      <c r="S1132" s="17">
        <v>263.33</v>
      </c>
      <c r="U1132" s="18">
        <f t="shared" si="6"/>
        <v>1201862.8</v>
      </c>
      <c r="V1132" s="18">
        <f t="shared" si="7"/>
        <v>723894.17</v>
      </c>
      <c r="W1132" s="19">
        <f t="shared" si="8"/>
        <v>477968.63</v>
      </c>
    </row>
    <row r="1133">
      <c r="A1133" s="7">
        <v>8.61180341E8</v>
      </c>
      <c r="B1133" s="12">
        <v>40191.0</v>
      </c>
      <c r="C1133" s="7">
        <f t="shared" si="1"/>
        <v>2010</v>
      </c>
      <c r="D1133" s="14" t="str">
        <f t="shared" si="2"/>
        <v>01 - Jan</v>
      </c>
      <c r="E1133" s="15" t="str">
        <f t="shared" si="3"/>
        <v>Wed</v>
      </c>
      <c r="F1133" s="15">
        <f t="shared" si="4"/>
        <v>3</v>
      </c>
      <c r="G1133" s="16">
        <v>40229.0</v>
      </c>
      <c r="H1133" s="14">
        <f t="shared" si="5"/>
        <v>38</v>
      </c>
      <c r="I1133" s="7" t="s">
        <v>364</v>
      </c>
      <c r="J1133" s="7" t="s">
        <v>67</v>
      </c>
      <c r="K1133" s="7" t="str">
        <f>VLOOKUP(J1133,countries,2,false)</f>
        <v>Andorra</v>
      </c>
      <c r="L1133" s="7" t="str">
        <f>VLOOKUP($J1133,countries,5,false)</f>
        <v>Europe</v>
      </c>
      <c r="M1133" s="7" t="str">
        <f>VLOOKUP($J1133,countries,6,false)</f>
        <v>Southern Europe</v>
      </c>
      <c r="N1133" s="7">
        <v>1270.0</v>
      </c>
      <c r="O1133" s="7" t="str">
        <f>VLOOKUP(N1133, products, 2, FALSE)</f>
        <v>Beverages</v>
      </c>
      <c r="P1133" s="7" t="s">
        <v>334</v>
      </c>
      <c r="Q1133" s="7">
        <v>1255.0</v>
      </c>
      <c r="R1133" s="17">
        <v>47.45</v>
      </c>
      <c r="S1133" s="17">
        <v>31.79</v>
      </c>
      <c r="U1133" s="18">
        <f t="shared" si="6"/>
        <v>59549.75</v>
      </c>
      <c r="V1133" s="18">
        <f t="shared" si="7"/>
        <v>39896.45</v>
      </c>
      <c r="W1133" s="19">
        <f t="shared" si="8"/>
        <v>19653.3</v>
      </c>
    </row>
    <row r="1134">
      <c r="A1134" s="7">
        <v>8.61252868E8</v>
      </c>
      <c r="B1134" s="12">
        <v>41710.0</v>
      </c>
      <c r="C1134" s="7">
        <f t="shared" si="1"/>
        <v>2014</v>
      </c>
      <c r="D1134" s="14" t="str">
        <f t="shared" si="2"/>
        <v>03 - Mar</v>
      </c>
      <c r="E1134" s="15" t="str">
        <f t="shared" si="3"/>
        <v>Wed</v>
      </c>
      <c r="F1134" s="15">
        <f t="shared" si="4"/>
        <v>3</v>
      </c>
      <c r="G1134" s="16">
        <v>41726.0</v>
      </c>
      <c r="H1134" s="14">
        <f t="shared" si="5"/>
        <v>16</v>
      </c>
      <c r="I1134" s="7" t="s">
        <v>364</v>
      </c>
      <c r="J1134" s="7" t="s">
        <v>101</v>
      </c>
      <c r="K1134" s="7" t="str">
        <f>VLOOKUP(J1134,countries,2,false)</f>
        <v>Austria</v>
      </c>
      <c r="L1134" s="7" t="str">
        <f>VLOOKUP($J1134,countries,5,false)</f>
        <v>Europe</v>
      </c>
      <c r="M1134" s="7" t="str">
        <f>VLOOKUP($J1134,countries,6,false)</f>
        <v>Western Europe</v>
      </c>
      <c r="N1134" s="7">
        <v>8681.0</v>
      </c>
      <c r="O1134" s="7" t="str">
        <f>VLOOKUP(N1134, products, 2, FALSE)</f>
        <v>Office Supplies</v>
      </c>
      <c r="P1134" s="7" t="s">
        <v>264</v>
      </c>
      <c r="Q1134" s="7">
        <v>2717.0</v>
      </c>
      <c r="R1134" s="17">
        <v>651.21</v>
      </c>
      <c r="S1134" s="17">
        <v>524.96</v>
      </c>
      <c r="U1134" s="18">
        <f t="shared" si="6"/>
        <v>1769337.57</v>
      </c>
      <c r="V1134" s="18">
        <f t="shared" si="7"/>
        <v>1426316.32</v>
      </c>
      <c r="W1134" s="19">
        <f t="shared" si="8"/>
        <v>343021.25</v>
      </c>
    </row>
    <row r="1135">
      <c r="A1135" s="7">
        <v>8.6197685E8</v>
      </c>
      <c r="B1135" s="12">
        <v>40680.0</v>
      </c>
      <c r="C1135" s="7">
        <f t="shared" si="1"/>
        <v>2011</v>
      </c>
      <c r="D1135" s="14" t="str">
        <f t="shared" si="2"/>
        <v>05 - May</v>
      </c>
      <c r="E1135" s="15" t="str">
        <f t="shared" si="3"/>
        <v>Tue</v>
      </c>
      <c r="F1135" s="15">
        <f t="shared" si="4"/>
        <v>2</v>
      </c>
      <c r="G1135" s="16">
        <v>40688.0</v>
      </c>
      <c r="H1135" s="14">
        <f t="shared" si="5"/>
        <v>8</v>
      </c>
      <c r="I1135" s="7" t="s">
        <v>399</v>
      </c>
      <c r="J1135" s="7" t="s">
        <v>717</v>
      </c>
      <c r="K1135" s="7" t="str">
        <f>VLOOKUP(J1135,countries,2,false)</f>
        <v>Sweden</v>
      </c>
      <c r="L1135" s="7" t="str">
        <f>VLOOKUP($J1135,countries,5,false)</f>
        <v>Europe</v>
      </c>
      <c r="M1135" s="7" t="str">
        <f>VLOOKUP($J1135,countries,6,false)</f>
        <v>Northern Europe</v>
      </c>
      <c r="N1135" s="7">
        <v>3127.0</v>
      </c>
      <c r="O1135" s="7" t="str">
        <f>VLOOKUP(N1135, products, 2, FALSE)</f>
        <v>Personal Care</v>
      </c>
      <c r="P1135" s="7" t="s">
        <v>334</v>
      </c>
      <c r="Q1135" s="7">
        <v>6960.0</v>
      </c>
      <c r="R1135" s="17">
        <v>81.73</v>
      </c>
      <c r="S1135" s="17">
        <v>56.67</v>
      </c>
      <c r="U1135" s="18">
        <f t="shared" si="6"/>
        <v>568840.8</v>
      </c>
      <c r="V1135" s="18">
        <f t="shared" si="7"/>
        <v>394423.2</v>
      </c>
      <c r="W1135" s="19">
        <f t="shared" si="8"/>
        <v>174417.6</v>
      </c>
    </row>
    <row r="1136">
      <c r="A1136" s="7">
        <v>8.61982858E8</v>
      </c>
      <c r="B1136" s="12">
        <v>40741.0</v>
      </c>
      <c r="C1136" s="7">
        <f t="shared" si="1"/>
        <v>2011</v>
      </c>
      <c r="D1136" s="14" t="str">
        <f t="shared" si="2"/>
        <v>07 - Jul</v>
      </c>
      <c r="E1136" s="15" t="str">
        <f t="shared" si="3"/>
        <v>Sun</v>
      </c>
      <c r="F1136" s="15">
        <f t="shared" si="4"/>
        <v>7</v>
      </c>
      <c r="G1136" s="16">
        <v>40790.0</v>
      </c>
      <c r="H1136" s="14">
        <f t="shared" si="5"/>
        <v>49</v>
      </c>
      <c r="I1136" s="7" t="s">
        <v>232</v>
      </c>
      <c r="J1136" s="7" t="s">
        <v>233</v>
      </c>
      <c r="K1136" s="7" t="str">
        <f>VLOOKUP(J1136,countries,2,false)</f>
        <v>Norway</v>
      </c>
      <c r="L1136" s="7" t="str">
        <f>VLOOKUP($J1136,countries,5,false)</f>
        <v>Europe</v>
      </c>
      <c r="M1136" s="7" t="str">
        <f>VLOOKUP($J1136,countries,6,false)</f>
        <v>Northern Europe</v>
      </c>
      <c r="N1136" s="7">
        <v>8969.0</v>
      </c>
      <c r="O1136" s="7" t="str">
        <f>VLOOKUP(N1136, products, 2, FALSE)</f>
        <v>Snacks</v>
      </c>
      <c r="P1136" s="7" t="s">
        <v>334</v>
      </c>
      <c r="Q1136" s="7">
        <v>8738.0</v>
      </c>
      <c r="R1136" s="17">
        <v>152.58</v>
      </c>
      <c r="S1136" s="17">
        <v>97.44</v>
      </c>
      <c r="U1136" s="18">
        <f t="shared" si="6"/>
        <v>1333244.04</v>
      </c>
      <c r="V1136" s="18">
        <f t="shared" si="7"/>
        <v>851430.72</v>
      </c>
      <c r="W1136" s="19">
        <f t="shared" si="8"/>
        <v>481813.32</v>
      </c>
    </row>
    <row r="1137">
      <c r="A1137" s="7">
        <v>8.6232661E8</v>
      </c>
      <c r="B1137" s="12">
        <v>41031.0</v>
      </c>
      <c r="C1137" s="7">
        <f t="shared" si="1"/>
        <v>2012</v>
      </c>
      <c r="D1137" s="14" t="str">
        <f t="shared" si="2"/>
        <v>05 - May</v>
      </c>
      <c r="E1137" s="15" t="str">
        <f t="shared" si="3"/>
        <v>Wed</v>
      </c>
      <c r="F1137" s="15">
        <f t="shared" si="4"/>
        <v>3</v>
      </c>
      <c r="G1137" s="16">
        <v>41057.0</v>
      </c>
      <c r="H1137" s="14">
        <f t="shared" si="5"/>
        <v>26</v>
      </c>
      <c r="I1137" s="7" t="s">
        <v>232</v>
      </c>
      <c r="J1137" s="7" t="s">
        <v>447</v>
      </c>
      <c r="K1137" s="7" t="str">
        <f>VLOOKUP(J1137,countries,2,false)</f>
        <v>Latvia</v>
      </c>
      <c r="L1137" s="7" t="str">
        <f>VLOOKUP($J1137,countries,5,false)</f>
        <v>Europe</v>
      </c>
      <c r="M1137" s="7" t="str">
        <f>VLOOKUP($J1137,countries,6,false)</f>
        <v>Northern Europe</v>
      </c>
      <c r="N1137" s="7">
        <v>1270.0</v>
      </c>
      <c r="O1137" s="7" t="str">
        <f>VLOOKUP(N1137, products, 2, FALSE)</f>
        <v>Beverages</v>
      </c>
      <c r="P1137" s="7" t="s">
        <v>264</v>
      </c>
      <c r="Q1137" s="7">
        <v>461.0</v>
      </c>
      <c r="R1137" s="17">
        <v>47.45</v>
      </c>
      <c r="S1137" s="17">
        <v>31.79</v>
      </c>
      <c r="U1137" s="18">
        <f t="shared" si="6"/>
        <v>21874.45</v>
      </c>
      <c r="V1137" s="18">
        <f t="shared" si="7"/>
        <v>14655.19</v>
      </c>
      <c r="W1137" s="19">
        <f t="shared" si="8"/>
        <v>7219.26</v>
      </c>
    </row>
    <row r="1138">
      <c r="A1138" s="7">
        <v>8.62485826E8</v>
      </c>
      <c r="B1138" s="12">
        <v>42629.0</v>
      </c>
      <c r="C1138" s="7">
        <f t="shared" si="1"/>
        <v>2016</v>
      </c>
      <c r="D1138" s="14" t="str">
        <f t="shared" si="2"/>
        <v>09 - Sep</v>
      </c>
      <c r="E1138" s="15" t="str">
        <f t="shared" si="3"/>
        <v>Fri</v>
      </c>
      <c r="F1138" s="15">
        <f t="shared" si="4"/>
        <v>5</v>
      </c>
      <c r="G1138" s="16">
        <v>42670.0</v>
      </c>
      <c r="H1138" s="14">
        <f t="shared" si="5"/>
        <v>41</v>
      </c>
      <c r="I1138" s="7" t="s">
        <v>305</v>
      </c>
      <c r="J1138" s="7" t="s">
        <v>771</v>
      </c>
      <c r="K1138" s="7" t="str">
        <f>VLOOKUP(J1138,countries,2,false)</f>
        <v>Ukraine</v>
      </c>
      <c r="L1138" s="7" t="str">
        <f>VLOOKUP($J1138,countries,5,false)</f>
        <v>Europe</v>
      </c>
      <c r="M1138" s="7" t="str">
        <f>VLOOKUP($J1138,countries,6,false)</f>
        <v>Eastern Europe</v>
      </c>
      <c r="N1138" s="7">
        <v>8681.0</v>
      </c>
      <c r="O1138" s="7" t="str">
        <f>VLOOKUP(N1138, products, 2, FALSE)</f>
        <v>Office Supplies</v>
      </c>
      <c r="P1138" s="7" t="s">
        <v>334</v>
      </c>
      <c r="Q1138" s="7">
        <v>7577.0</v>
      </c>
      <c r="R1138" s="17">
        <v>651.21</v>
      </c>
      <c r="S1138" s="17">
        <v>524.96</v>
      </c>
      <c r="U1138" s="18">
        <f t="shared" si="6"/>
        <v>4934218.17</v>
      </c>
      <c r="V1138" s="18">
        <f t="shared" si="7"/>
        <v>3977621.92</v>
      </c>
      <c r="W1138" s="19">
        <f t="shared" si="8"/>
        <v>956596.25</v>
      </c>
    </row>
    <row r="1139">
      <c r="A1139" s="7">
        <v>8.63138997E8</v>
      </c>
      <c r="B1139" s="12">
        <v>40494.0</v>
      </c>
      <c r="C1139" s="7">
        <f t="shared" si="1"/>
        <v>2010</v>
      </c>
      <c r="D1139" s="14" t="str">
        <f t="shared" si="2"/>
        <v>11 - Nov</v>
      </c>
      <c r="E1139" s="15" t="str">
        <f t="shared" si="3"/>
        <v>Fri</v>
      </c>
      <c r="F1139" s="15">
        <f t="shared" si="4"/>
        <v>5</v>
      </c>
      <c r="G1139" s="16">
        <v>40533.0</v>
      </c>
      <c r="H1139" s="14">
        <f t="shared" si="5"/>
        <v>39</v>
      </c>
      <c r="I1139" s="7" t="s">
        <v>305</v>
      </c>
      <c r="J1139" s="7" t="s">
        <v>41</v>
      </c>
      <c r="K1139" s="7" t="str">
        <f>VLOOKUP(J1139,countries,2,false)</f>
        <v>Albania</v>
      </c>
      <c r="L1139" s="7" t="str">
        <f>VLOOKUP($J1139,countries,5,false)</f>
        <v>Europe</v>
      </c>
      <c r="M1139" s="7" t="str">
        <f>VLOOKUP($J1139,countries,6,false)</f>
        <v>Southern Europe</v>
      </c>
      <c r="N1139" s="7">
        <v>8875.0</v>
      </c>
      <c r="O1139" s="7" t="str">
        <f>VLOOKUP(N1139, products, 2, FALSE)</f>
        <v>Meat</v>
      </c>
      <c r="P1139" s="7" t="s">
        <v>264</v>
      </c>
      <c r="Q1139" s="7">
        <v>865.0</v>
      </c>
      <c r="R1139" s="17">
        <v>421.89</v>
      </c>
      <c r="S1139" s="17">
        <v>364.69</v>
      </c>
      <c r="U1139" s="18">
        <f t="shared" si="6"/>
        <v>364934.85</v>
      </c>
      <c r="V1139" s="18">
        <f t="shared" si="7"/>
        <v>315456.85</v>
      </c>
      <c r="W1139" s="19">
        <f t="shared" si="8"/>
        <v>49478</v>
      </c>
    </row>
    <row r="1140">
      <c r="A1140" s="7">
        <v>8.63202941E8</v>
      </c>
      <c r="B1140" s="12">
        <v>42716.0</v>
      </c>
      <c r="C1140" s="7">
        <f t="shared" si="1"/>
        <v>2016</v>
      </c>
      <c r="D1140" s="14" t="str">
        <f t="shared" si="2"/>
        <v>12 - Dec</v>
      </c>
      <c r="E1140" s="15" t="str">
        <f t="shared" si="3"/>
        <v>Mon</v>
      </c>
      <c r="F1140" s="15">
        <f t="shared" si="4"/>
        <v>1</v>
      </c>
      <c r="G1140" s="16">
        <v>42717.0</v>
      </c>
      <c r="H1140" s="14">
        <f t="shared" si="5"/>
        <v>1</v>
      </c>
      <c r="I1140" s="7" t="s">
        <v>364</v>
      </c>
      <c r="J1140" s="7" t="s">
        <v>717</v>
      </c>
      <c r="K1140" s="7" t="str">
        <f>VLOOKUP(J1140,countries,2,false)</f>
        <v>Sweden</v>
      </c>
      <c r="L1140" s="7" t="str">
        <f>VLOOKUP($J1140,countries,5,false)</f>
        <v>Europe</v>
      </c>
      <c r="M1140" s="7" t="str">
        <f>VLOOKUP($J1140,countries,6,false)</f>
        <v>Northern Europe</v>
      </c>
      <c r="N1140" s="7">
        <v>8875.0</v>
      </c>
      <c r="O1140" s="7" t="str">
        <f>VLOOKUP(N1140, products, 2, FALSE)</f>
        <v>Meat</v>
      </c>
      <c r="P1140" s="7" t="s">
        <v>334</v>
      </c>
      <c r="Q1140" s="7">
        <v>9787.0</v>
      </c>
      <c r="R1140" s="17">
        <v>421.89</v>
      </c>
      <c r="S1140" s="17">
        <v>364.69</v>
      </c>
      <c r="U1140" s="18">
        <f t="shared" si="6"/>
        <v>4129037.43</v>
      </c>
      <c r="V1140" s="18">
        <f t="shared" si="7"/>
        <v>3569221.03</v>
      </c>
      <c r="W1140" s="19">
        <f t="shared" si="8"/>
        <v>559816.4</v>
      </c>
    </row>
    <row r="1141">
      <c r="A1141" s="7">
        <v>8.63890445E8</v>
      </c>
      <c r="B1141" s="12">
        <v>40530.0</v>
      </c>
      <c r="C1141" s="7">
        <f t="shared" si="1"/>
        <v>2010</v>
      </c>
      <c r="D1141" s="14" t="str">
        <f t="shared" si="2"/>
        <v>12 - Dec</v>
      </c>
      <c r="E1141" s="15" t="str">
        <f t="shared" si="3"/>
        <v>Sat</v>
      </c>
      <c r="F1141" s="15">
        <f t="shared" si="4"/>
        <v>6</v>
      </c>
      <c r="G1141" s="16">
        <v>40537.0</v>
      </c>
      <c r="H1141" s="14">
        <f t="shared" si="5"/>
        <v>7</v>
      </c>
      <c r="I1141" s="7" t="s">
        <v>305</v>
      </c>
      <c r="J1141" s="7" t="s">
        <v>447</v>
      </c>
      <c r="K1141" s="7" t="str">
        <f>VLOOKUP(J1141,countries,2,false)</f>
        <v>Latvia</v>
      </c>
      <c r="L1141" s="7" t="str">
        <f>VLOOKUP($J1141,countries,5,false)</f>
        <v>Europe</v>
      </c>
      <c r="M1141" s="7" t="str">
        <f>VLOOKUP($J1141,countries,6,false)</f>
        <v>Northern Europe</v>
      </c>
      <c r="N1141" s="7">
        <v>7940.0</v>
      </c>
      <c r="O1141" s="7" t="str">
        <f>VLOOKUP(N1141, products, 2, FALSE)</f>
        <v>Household</v>
      </c>
      <c r="P1141" s="7" t="s">
        <v>334</v>
      </c>
      <c r="Q1141" s="7">
        <v>3235.0</v>
      </c>
      <c r="R1141" s="17">
        <v>668.27</v>
      </c>
      <c r="S1141" s="17">
        <v>502.54</v>
      </c>
      <c r="U1141" s="18">
        <f t="shared" si="6"/>
        <v>2161853.45</v>
      </c>
      <c r="V1141" s="18">
        <f t="shared" si="7"/>
        <v>1625716.9</v>
      </c>
      <c r="W1141" s="19">
        <f t="shared" si="8"/>
        <v>536136.55</v>
      </c>
    </row>
    <row r="1142">
      <c r="A1142" s="7">
        <v>8.64071118E8</v>
      </c>
      <c r="B1142" s="12">
        <v>40369.0</v>
      </c>
      <c r="C1142" s="7">
        <f t="shared" si="1"/>
        <v>2010</v>
      </c>
      <c r="D1142" s="14" t="str">
        <f t="shared" si="2"/>
        <v>07 - Jul</v>
      </c>
      <c r="E1142" s="15" t="str">
        <f t="shared" si="3"/>
        <v>Sat</v>
      </c>
      <c r="F1142" s="15">
        <f t="shared" si="4"/>
        <v>6</v>
      </c>
      <c r="G1142" s="16">
        <v>40377.0</v>
      </c>
      <c r="H1142" s="14">
        <f t="shared" si="5"/>
        <v>8</v>
      </c>
      <c r="I1142" s="7" t="s">
        <v>364</v>
      </c>
      <c r="J1142" s="7" t="s">
        <v>623</v>
      </c>
      <c r="K1142" s="7" t="str">
        <f>VLOOKUP(J1142,countries,2,false)</f>
        <v>Romania</v>
      </c>
      <c r="L1142" s="7" t="str">
        <f>VLOOKUP($J1142,countries,5,false)</f>
        <v>Europe</v>
      </c>
      <c r="M1142" s="7" t="str">
        <f>VLOOKUP($J1142,countries,6,false)</f>
        <v>Eastern Europe</v>
      </c>
      <c r="N1142" s="7">
        <v>1270.0</v>
      </c>
      <c r="O1142" s="7" t="str">
        <f>VLOOKUP(N1142, products, 2, FALSE)</f>
        <v>Beverages</v>
      </c>
      <c r="P1142" s="7" t="s">
        <v>264</v>
      </c>
      <c r="Q1142" s="7">
        <v>6700.0</v>
      </c>
      <c r="R1142" s="17">
        <v>47.45</v>
      </c>
      <c r="S1142" s="17">
        <v>31.79</v>
      </c>
      <c r="U1142" s="18">
        <f t="shared" si="6"/>
        <v>317915</v>
      </c>
      <c r="V1142" s="18">
        <f t="shared" si="7"/>
        <v>212993</v>
      </c>
      <c r="W1142" s="19">
        <f t="shared" si="8"/>
        <v>104922</v>
      </c>
    </row>
    <row r="1143">
      <c r="A1143" s="7">
        <v>8.6582421E8</v>
      </c>
      <c r="B1143" s="12">
        <v>41768.0</v>
      </c>
      <c r="C1143" s="7">
        <f t="shared" si="1"/>
        <v>2014</v>
      </c>
      <c r="D1143" s="14" t="str">
        <f t="shared" si="2"/>
        <v>05 - May</v>
      </c>
      <c r="E1143" s="15" t="str">
        <f t="shared" si="3"/>
        <v>Fri</v>
      </c>
      <c r="F1143" s="15">
        <f t="shared" si="4"/>
        <v>5</v>
      </c>
      <c r="G1143" s="16">
        <v>41773.0</v>
      </c>
      <c r="H1143" s="14">
        <f t="shared" si="5"/>
        <v>5</v>
      </c>
      <c r="I1143" s="7" t="s">
        <v>232</v>
      </c>
      <c r="J1143" s="7" t="s">
        <v>243</v>
      </c>
      <c r="K1143" s="7" t="str">
        <f>VLOOKUP(J1143,countries,2,false)</f>
        <v>Czech Republic</v>
      </c>
      <c r="L1143" s="7" t="str">
        <f>VLOOKUP($J1143,countries,5,false)</f>
        <v>Europe</v>
      </c>
      <c r="M1143" s="7" t="str">
        <f>VLOOKUP($J1143,countries,6,false)</f>
        <v>Eastern Europe</v>
      </c>
      <c r="N1143" s="7">
        <v>8681.0</v>
      </c>
      <c r="O1143" s="7" t="str">
        <f>VLOOKUP(N1143, products, 2, FALSE)</f>
        <v>Office Supplies</v>
      </c>
      <c r="P1143" s="7" t="s">
        <v>264</v>
      </c>
      <c r="Q1143" s="7">
        <v>5479.0</v>
      </c>
      <c r="R1143" s="17">
        <v>651.21</v>
      </c>
      <c r="S1143" s="17">
        <v>524.96</v>
      </c>
      <c r="U1143" s="18">
        <f t="shared" si="6"/>
        <v>3567979.59</v>
      </c>
      <c r="V1143" s="18">
        <f t="shared" si="7"/>
        <v>2876255.84</v>
      </c>
      <c r="W1143" s="19">
        <f t="shared" si="8"/>
        <v>691723.75</v>
      </c>
    </row>
    <row r="1144">
      <c r="A1144" s="7">
        <v>8.66396272E8</v>
      </c>
      <c r="B1144" s="12">
        <v>41584.0</v>
      </c>
      <c r="C1144" s="7">
        <f t="shared" si="1"/>
        <v>2013</v>
      </c>
      <c r="D1144" s="14" t="str">
        <f t="shared" si="2"/>
        <v>11 - Nov</v>
      </c>
      <c r="E1144" s="15" t="str">
        <f t="shared" si="3"/>
        <v>Wed</v>
      </c>
      <c r="F1144" s="15">
        <f t="shared" si="4"/>
        <v>3</v>
      </c>
      <c r="G1144" s="16">
        <v>41594.0</v>
      </c>
      <c r="H1144" s="14">
        <f t="shared" si="5"/>
        <v>10</v>
      </c>
      <c r="I1144" s="7" t="s">
        <v>399</v>
      </c>
      <c r="J1144" s="7" t="s">
        <v>101</v>
      </c>
      <c r="K1144" s="7" t="str">
        <f>VLOOKUP(J1144,countries,2,false)</f>
        <v>Austria</v>
      </c>
      <c r="L1144" s="7" t="str">
        <f>VLOOKUP($J1144,countries,5,false)</f>
        <v>Europe</v>
      </c>
      <c r="M1144" s="7" t="str">
        <f>VLOOKUP($J1144,countries,6,false)</f>
        <v>Western Europe</v>
      </c>
      <c r="N1144" s="7">
        <v>8875.0</v>
      </c>
      <c r="O1144" s="7" t="str">
        <f>VLOOKUP(N1144, products, 2, FALSE)</f>
        <v>Meat</v>
      </c>
      <c r="P1144" s="7" t="s">
        <v>264</v>
      </c>
      <c r="Q1144" s="7">
        <v>4765.0</v>
      </c>
      <c r="R1144" s="17">
        <v>421.89</v>
      </c>
      <c r="S1144" s="17">
        <v>364.69</v>
      </c>
      <c r="U1144" s="18">
        <f t="shared" si="6"/>
        <v>2010305.85</v>
      </c>
      <c r="V1144" s="18">
        <f t="shared" si="7"/>
        <v>1737747.85</v>
      </c>
      <c r="W1144" s="19">
        <f t="shared" si="8"/>
        <v>272558</v>
      </c>
    </row>
    <row r="1145">
      <c r="A1145" s="7">
        <v>8.67138278E8</v>
      </c>
      <c r="B1145" s="12">
        <v>40736.0</v>
      </c>
      <c r="C1145" s="7">
        <f t="shared" si="1"/>
        <v>2011</v>
      </c>
      <c r="D1145" s="14" t="str">
        <f t="shared" si="2"/>
        <v>07 - Jul</v>
      </c>
      <c r="E1145" s="15" t="str">
        <f t="shared" si="3"/>
        <v>Tue</v>
      </c>
      <c r="F1145" s="15">
        <f t="shared" si="4"/>
        <v>2</v>
      </c>
      <c r="G1145" s="16">
        <v>40759.0</v>
      </c>
      <c r="H1145" s="14">
        <f t="shared" si="5"/>
        <v>23</v>
      </c>
      <c r="I1145" s="7" t="s">
        <v>305</v>
      </c>
      <c r="J1145" s="7" t="s">
        <v>296</v>
      </c>
      <c r="K1145" s="7" t="str">
        <f>VLOOKUP(J1145,countries,2,false)</f>
        <v>France</v>
      </c>
      <c r="L1145" s="7" t="str">
        <f>VLOOKUP($J1145,countries,5,false)</f>
        <v>Europe</v>
      </c>
      <c r="M1145" s="7" t="str">
        <f>VLOOKUP($J1145,countries,6,false)</f>
        <v>Western Europe</v>
      </c>
      <c r="N1145" s="7">
        <v>8681.0</v>
      </c>
      <c r="O1145" s="7" t="str">
        <f>VLOOKUP(N1145, products, 2, FALSE)</f>
        <v>Office Supplies</v>
      </c>
      <c r="P1145" s="7" t="s">
        <v>334</v>
      </c>
      <c r="Q1145" s="7">
        <v>4341.0</v>
      </c>
      <c r="R1145" s="17">
        <v>651.21</v>
      </c>
      <c r="S1145" s="17">
        <v>524.96</v>
      </c>
      <c r="U1145" s="18">
        <f t="shared" si="6"/>
        <v>2826902.61</v>
      </c>
      <c r="V1145" s="18">
        <f t="shared" si="7"/>
        <v>2278851.36</v>
      </c>
      <c r="W1145" s="19">
        <f t="shared" si="8"/>
        <v>548051.25</v>
      </c>
    </row>
    <row r="1146">
      <c r="A1146" s="7">
        <v>8.6929177E8</v>
      </c>
      <c r="B1146" s="12">
        <v>42204.0</v>
      </c>
      <c r="C1146" s="7">
        <f t="shared" si="1"/>
        <v>2015</v>
      </c>
      <c r="D1146" s="14" t="str">
        <f t="shared" si="2"/>
        <v>07 - Jul</v>
      </c>
      <c r="E1146" s="15" t="str">
        <f t="shared" si="3"/>
        <v>Sun</v>
      </c>
      <c r="F1146" s="15">
        <f t="shared" si="4"/>
        <v>7</v>
      </c>
      <c r="G1146" s="16">
        <v>42237.0</v>
      </c>
      <c r="H1146" s="14">
        <f t="shared" si="5"/>
        <v>33</v>
      </c>
      <c r="I1146" s="7" t="s">
        <v>364</v>
      </c>
      <c r="J1146" s="7" t="s">
        <v>720</v>
      </c>
      <c r="K1146" s="7" t="str">
        <f>VLOOKUP(J1146,countries,2,false)</f>
        <v>Switzerland</v>
      </c>
      <c r="L1146" s="7" t="str">
        <f>VLOOKUP($J1146,countries,5,false)</f>
        <v>Europe</v>
      </c>
      <c r="M1146" s="7" t="str">
        <f>VLOOKUP($J1146,countries,6,false)</f>
        <v>Western Europe</v>
      </c>
      <c r="N1146" s="7">
        <v>7940.0</v>
      </c>
      <c r="O1146" s="7" t="str">
        <f>VLOOKUP(N1146, products, 2, FALSE)</f>
        <v>Household</v>
      </c>
      <c r="P1146" s="7" t="s">
        <v>334</v>
      </c>
      <c r="Q1146" s="7">
        <v>1607.0</v>
      </c>
      <c r="R1146" s="17">
        <v>668.27</v>
      </c>
      <c r="S1146" s="17">
        <v>502.54</v>
      </c>
      <c r="U1146" s="18">
        <f t="shared" si="6"/>
        <v>1073909.89</v>
      </c>
      <c r="V1146" s="18">
        <f t="shared" si="7"/>
        <v>807581.78</v>
      </c>
      <c r="W1146" s="19">
        <f t="shared" si="8"/>
        <v>266328.11</v>
      </c>
    </row>
    <row r="1147">
      <c r="A1147" s="7">
        <v>8.70173251E8</v>
      </c>
      <c r="B1147" s="12">
        <v>42361.0</v>
      </c>
      <c r="C1147" s="7">
        <f t="shared" si="1"/>
        <v>2015</v>
      </c>
      <c r="D1147" s="14" t="str">
        <f t="shared" si="2"/>
        <v>12 - Dec</v>
      </c>
      <c r="E1147" s="15" t="str">
        <f t="shared" si="3"/>
        <v>Wed</v>
      </c>
      <c r="F1147" s="15">
        <f t="shared" si="4"/>
        <v>3</v>
      </c>
      <c r="G1147" s="16">
        <v>42368.0</v>
      </c>
      <c r="H1147" s="14">
        <f t="shared" si="5"/>
        <v>7</v>
      </c>
      <c r="I1147" s="7" t="s">
        <v>232</v>
      </c>
      <c r="J1147" s="7" t="s">
        <v>101</v>
      </c>
      <c r="K1147" s="7" t="str">
        <f>VLOOKUP(J1147,countries,2,false)</f>
        <v>Austria</v>
      </c>
      <c r="L1147" s="7" t="str">
        <f>VLOOKUP($J1147,countries,5,false)</f>
        <v>Europe</v>
      </c>
      <c r="M1147" s="7" t="str">
        <f>VLOOKUP($J1147,countries,6,false)</f>
        <v>Western Europe</v>
      </c>
      <c r="N1147" s="7">
        <v>2455.0</v>
      </c>
      <c r="O1147" s="7" t="str">
        <f>VLOOKUP(N1147, products, 2, FALSE)</f>
        <v>Clothes</v>
      </c>
      <c r="P1147" s="7" t="s">
        <v>264</v>
      </c>
      <c r="Q1147" s="7">
        <v>2457.0</v>
      </c>
      <c r="R1147" s="17">
        <v>109.28</v>
      </c>
      <c r="S1147" s="17">
        <v>35.84</v>
      </c>
      <c r="U1147" s="18">
        <f t="shared" si="6"/>
        <v>268500.96</v>
      </c>
      <c r="V1147" s="18">
        <f t="shared" si="7"/>
        <v>88058.88</v>
      </c>
      <c r="W1147" s="19">
        <f t="shared" si="8"/>
        <v>180442.08</v>
      </c>
    </row>
    <row r="1148">
      <c r="A1148" s="7">
        <v>8.70218312E8</v>
      </c>
      <c r="B1148" s="12">
        <v>42813.0</v>
      </c>
      <c r="C1148" s="7">
        <f t="shared" si="1"/>
        <v>2017</v>
      </c>
      <c r="D1148" s="14" t="str">
        <f t="shared" si="2"/>
        <v>03 - Mar</v>
      </c>
      <c r="E1148" s="15" t="str">
        <f t="shared" si="3"/>
        <v>Sun</v>
      </c>
      <c r="F1148" s="15">
        <f t="shared" si="4"/>
        <v>7</v>
      </c>
      <c r="G1148" s="16">
        <v>42821.0</v>
      </c>
      <c r="H1148" s="14">
        <f t="shared" si="5"/>
        <v>8</v>
      </c>
      <c r="I1148" s="7" t="s">
        <v>399</v>
      </c>
      <c r="J1148" s="7" t="s">
        <v>447</v>
      </c>
      <c r="K1148" s="7" t="str">
        <f>VLOOKUP(J1148,countries,2,false)</f>
        <v>Latvia</v>
      </c>
      <c r="L1148" s="7" t="str">
        <f>VLOOKUP($J1148,countries,5,false)</f>
        <v>Europe</v>
      </c>
      <c r="M1148" s="7" t="str">
        <f>VLOOKUP($J1148,countries,6,false)</f>
        <v>Northern Europe</v>
      </c>
      <c r="N1148" s="7">
        <v>4594.0</v>
      </c>
      <c r="O1148" s="7" t="str">
        <f>VLOOKUP(N1148, products, 2, FALSE)</f>
        <v>Fruits</v>
      </c>
      <c r="P1148" s="7" t="s">
        <v>334</v>
      </c>
      <c r="Q1148" s="7">
        <v>5792.0</v>
      </c>
      <c r="R1148" s="17">
        <v>9.33</v>
      </c>
      <c r="S1148" s="17">
        <v>6.92</v>
      </c>
      <c r="U1148" s="18">
        <f t="shared" si="6"/>
        <v>54039.36</v>
      </c>
      <c r="V1148" s="18">
        <f t="shared" si="7"/>
        <v>40080.64</v>
      </c>
      <c r="W1148" s="19">
        <f t="shared" si="8"/>
        <v>13958.72</v>
      </c>
    </row>
    <row r="1149">
      <c r="A1149" s="7">
        <v>8.71147E8</v>
      </c>
      <c r="B1149" s="12">
        <v>41863.0</v>
      </c>
      <c r="C1149" s="7">
        <f t="shared" si="1"/>
        <v>2014</v>
      </c>
      <c r="D1149" s="14" t="str">
        <f t="shared" si="2"/>
        <v>08 - Aug</v>
      </c>
      <c r="E1149" s="15" t="str">
        <f t="shared" si="3"/>
        <v>Tue</v>
      </c>
      <c r="F1149" s="15">
        <f t="shared" si="4"/>
        <v>2</v>
      </c>
      <c r="G1149" s="16">
        <v>41876.0</v>
      </c>
      <c r="H1149" s="14">
        <f t="shared" si="5"/>
        <v>13</v>
      </c>
      <c r="I1149" s="7" t="s">
        <v>305</v>
      </c>
      <c r="J1149" s="7" t="s">
        <v>656</v>
      </c>
      <c r="K1149" s="7" t="str">
        <f>VLOOKUP(J1149,countries,2,false)</f>
        <v>San Marino</v>
      </c>
      <c r="L1149" s="7" t="str">
        <f>VLOOKUP($J1149,countries,5,false)</f>
        <v>Europe</v>
      </c>
      <c r="M1149" s="7" t="str">
        <f>VLOOKUP($J1149,countries,6,false)</f>
        <v>Southern Europe</v>
      </c>
      <c r="N1149" s="7">
        <v>7940.0</v>
      </c>
      <c r="O1149" s="7" t="str">
        <f>VLOOKUP(N1149, products, 2, FALSE)</f>
        <v>Household</v>
      </c>
      <c r="P1149" s="7" t="s">
        <v>264</v>
      </c>
      <c r="Q1149" s="7">
        <v>611.0</v>
      </c>
      <c r="R1149" s="17">
        <v>668.27</v>
      </c>
      <c r="S1149" s="17">
        <v>502.54</v>
      </c>
      <c r="U1149" s="18">
        <f t="shared" si="6"/>
        <v>408312.97</v>
      </c>
      <c r="V1149" s="18">
        <f t="shared" si="7"/>
        <v>307051.94</v>
      </c>
      <c r="W1149" s="19">
        <f t="shared" si="8"/>
        <v>101261.03</v>
      </c>
    </row>
    <row r="1150">
      <c r="A1150" s="7">
        <v>8.71923768E8</v>
      </c>
      <c r="B1150" s="12">
        <v>41759.0</v>
      </c>
      <c r="C1150" s="7">
        <f t="shared" si="1"/>
        <v>2014</v>
      </c>
      <c r="D1150" s="14" t="str">
        <f t="shared" si="2"/>
        <v>04 - Apr</v>
      </c>
      <c r="E1150" s="15" t="str">
        <f t="shared" si="3"/>
        <v>Wed</v>
      </c>
      <c r="F1150" s="15">
        <f t="shared" si="4"/>
        <v>3</v>
      </c>
      <c r="G1150" s="16">
        <v>41789.0</v>
      </c>
      <c r="H1150" s="14">
        <f t="shared" si="5"/>
        <v>30</v>
      </c>
      <c r="I1150" s="7" t="s">
        <v>305</v>
      </c>
      <c r="J1150" s="7" t="s">
        <v>146</v>
      </c>
      <c r="K1150" s="7" t="str">
        <f>VLOOKUP(J1150,countries,2,false)</f>
        <v>Bosnia and Herzegovina</v>
      </c>
      <c r="L1150" s="7" t="str">
        <f>VLOOKUP($J1150,countries,5,false)</f>
        <v>Europe</v>
      </c>
      <c r="M1150" s="7" t="str">
        <f>VLOOKUP($J1150,countries,6,false)</f>
        <v>Southern Europe</v>
      </c>
      <c r="N1150" s="7">
        <v>7331.0</v>
      </c>
      <c r="O1150" s="7" t="str">
        <f>VLOOKUP(N1150, products, 2, FALSE)</f>
        <v>Baby Food</v>
      </c>
      <c r="P1150" s="7" t="s">
        <v>264</v>
      </c>
      <c r="Q1150" s="7">
        <v>474.0</v>
      </c>
      <c r="R1150" s="17">
        <v>255.28</v>
      </c>
      <c r="S1150" s="17">
        <v>159.42</v>
      </c>
      <c r="U1150" s="18">
        <f t="shared" si="6"/>
        <v>121002.72</v>
      </c>
      <c r="V1150" s="18">
        <f t="shared" si="7"/>
        <v>75565.08</v>
      </c>
      <c r="W1150" s="19">
        <f t="shared" si="8"/>
        <v>45437.64</v>
      </c>
    </row>
    <row r="1151">
      <c r="A1151" s="7">
        <v>8.73432672E8</v>
      </c>
      <c r="B1151" s="12">
        <v>41892.0</v>
      </c>
      <c r="C1151" s="7">
        <f t="shared" si="1"/>
        <v>2014</v>
      </c>
      <c r="D1151" s="14" t="str">
        <f t="shared" si="2"/>
        <v>09 - Sep</v>
      </c>
      <c r="E1151" s="15" t="str">
        <f t="shared" si="3"/>
        <v>Wed</v>
      </c>
      <c r="F1151" s="15">
        <f t="shared" si="4"/>
        <v>3</v>
      </c>
      <c r="G1151" s="16">
        <v>41899.0</v>
      </c>
      <c r="H1151" s="14">
        <f t="shared" si="5"/>
        <v>7</v>
      </c>
      <c r="I1151" s="7" t="s">
        <v>305</v>
      </c>
      <c r="J1151" s="7" t="s">
        <v>685</v>
      </c>
      <c r="K1151" s="7" t="str">
        <f>VLOOKUP(J1151,countries,2,false)</f>
        <v>Slovenia</v>
      </c>
      <c r="L1151" s="7" t="str">
        <f>VLOOKUP($J1151,countries,5,false)</f>
        <v>Europe</v>
      </c>
      <c r="M1151" s="7" t="str">
        <f>VLOOKUP($J1151,countries,6,false)</f>
        <v>Southern Europe</v>
      </c>
      <c r="N1151" s="7">
        <v>7940.0</v>
      </c>
      <c r="O1151" s="7" t="str">
        <f>VLOOKUP(N1151, products, 2, FALSE)</f>
        <v>Household</v>
      </c>
      <c r="P1151" s="7" t="s">
        <v>264</v>
      </c>
      <c r="Q1151" s="7">
        <v>6992.0</v>
      </c>
      <c r="R1151" s="17">
        <v>668.27</v>
      </c>
      <c r="S1151" s="17">
        <v>502.54</v>
      </c>
      <c r="U1151" s="18">
        <f t="shared" si="6"/>
        <v>4672543.84</v>
      </c>
      <c r="V1151" s="18">
        <f t="shared" si="7"/>
        <v>3513759.68</v>
      </c>
      <c r="W1151" s="19">
        <f t="shared" si="8"/>
        <v>1158784.16</v>
      </c>
    </row>
    <row r="1152">
      <c r="A1152" s="7">
        <v>8.74172532E8</v>
      </c>
      <c r="B1152" s="12">
        <v>42603.0</v>
      </c>
      <c r="C1152" s="7">
        <f t="shared" si="1"/>
        <v>2016</v>
      </c>
      <c r="D1152" s="14" t="str">
        <f t="shared" si="2"/>
        <v>08 - Aug</v>
      </c>
      <c r="E1152" s="15" t="str">
        <f t="shared" si="3"/>
        <v>Sun</v>
      </c>
      <c r="F1152" s="15">
        <f t="shared" si="4"/>
        <v>7</v>
      </c>
      <c r="G1152" s="16">
        <v>42645.0</v>
      </c>
      <c r="H1152" s="14">
        <f t="shared" si="5"/>
        <v>42</v>
      </c>
      <c r="I1152" s="7" t="s">
        <v>232</v>
      </c>
      <c r="J1152" s="7" t="s">
        <v>319</v>
      </c>
      <c r="K1152" s="7" t="str">
        <f>VLOOKUP(J1152,countries,2,false)</f>
        <v>Germany</v>
      </c>
      <c r="L1152" s="7" t="str">
        <f>VLOOKUP($J1152,countries,5,false)</f>
        <v>Europe</v>
      </c>
      <c r="M1152" s="7" t="str">
        <f>VLOOKUP($J1152,countries,6,false)</f>
        <v>Western Europe</v>
      </c>
      <c r="N1152" s="7">
        <v>7940.0</v>
      </c>
      <c r="O1152" s="7" t="str">
        <f>VLOOKUP(N1152, products, 2, FALSE)</f>
        <v>Household</v>
      </c>
      <c r="P1152" s="7" t="s">
        <v>334</v>
      </c>
      <c r="Q1152" s="7">
        <v>5933.0</v>
      </c>
      <c r="R1152" s="17">
        <v>668.27</v>
      </c>
      <c r="S1152" s="17">
        <v>502.54</v>
      </c>
      <c r="U1152" s="18">
        <f t="shared" si="6"/>
        <v>3964845.91</v>
      </c>
      <c r="V1152" s="18">
        <f t="shared" si="7"/>
        <v>2981569.82</v>
      </c>
      <c r="W1152" s="19">
        <f t="shared" si="8"/>
        <v>983276.09</v>
      </c>
    </row>
    <row r="1153">
      <c r="A1153" s="7">
        <v>8.74349772E8</v>
      </c>
      <c r="B1153" s="12">
        <v>41616.0</v>
      </c>
      <c r="C1153" s="7">
        <f t="shared" si="1"/>
        <v>2013</v>
      </c>
      <c r="D1153" s="14" t="str">
        <f t="shared" si="2"/>
        <v>12 - Dec</v>
      </c>
      <c r="E1153" s="15" t="str">
        <f t="shared" si="3"/>
        <v>Sun</v>
      </c>
      <c r="F1153" s="15">
        <f t="shared" si="4"/>
        <v>7</v>
      </c>
      <c r="G1153" s="16">
        <v>41643.0</v>
      </c>
      <c r="H1153" s="14">
        <f t="shared" si="5"/>
        <v>27</v>
      </c>
      <c r="I1153" s="7" t="s">
        <v>232</v>
      </c>
      <c r="J1153" s="7" t="s">
        <v>240</v>
      </c>
      <c r="K1153" s="7" t="str">
        <f>VLOOKUP(J1153,countries,2,false)</f>
        <v>Cyprus</v>
      </c>
      <c r="L1153" s="7" t="str">
        <f>VLOOKUP($J1153,countries,5,false)</f>
        <v>Asia</v>
      </c>
      <c r="M1153" s="7" t="str">
        <f>VLOOKUP($J1153,countries,6,false)</f>
        <v>Western Asia</v>
      </c>
      <c r="N1153" s="7">
        <v>1270.0</v>
      </c>
      <c r="O1153" s="7" t="str">
        <f>VLOOKUP(N1153, products, 2, FALSE)</f>
        <v>Beverages</v>
      </c>
      <c r="P1153" s="7" t="s">
        <v>264</v>
      </c>
      <c r="Q1153" s="7">
        <v>8383.0</v>
      </c>
      <c r="R1153" s="17">
        <v>47.45</v>
      </c>
      <c r="S1153" s="17">
        <v>31.79</v>
      </c>
      <c r="U1153" s="18">
        <f t="shared" si="6"/>
        <v>397773.35</v>
      </c>
      <c r="V1153" s="18">
        <f t="shared" si="7"/>
        <v>266495.57</v>
      </c>
      <c r="W1153" s="19">
        <f t="shared" si="8"/>
        <v>131277.78</v>
      </c>
    </row>
    <row r="1154">
      <c r="A1154" s="7">
        <v>8.75220096E8</v>
      </c>
      <c r="B1154" s="12">
        <v>40476.0</v>
      </c>
      <c r="C1154" s="7">
        <f t="shared" si="1"/>
        <v>2010</v>
      </c>
      <c r="D1154" s="14" t="str">
        <f t="shared" si="2"/>
        <v>10 - Oct</v>
      </c>
      <c r="E1154" s="15" t="str">
        <f t="shared" si="3"/>
        <v>Mon</v>
      </c>
      <c r="F1154" s="15">
        <f t="shared" si="4"/>
        <v>1</v>
      </c>
      <c r="G1154" s="16">
        <v>40488.0</v>
      </c>
      <c r="H1154" s="14">
        <f t="shared" si="5"/>
        <v>12</v>
      </c>
      <c r="I1154" s="7" t="s">
        <v>364</v>
      </c>
      <c r="J1154" s="7" t="s">
        <v>656</v>
      </c>
      <c r="K1154" s="7" t="str">
        <f>VLOOKUP(J1154,countries,2,false)</f>
        <v>San Marino</v>
      </c>
      <c r="L1154" s="7" t="str">
        <f>VLOOKUP($J1154,countries,5,false)</f>
        <v>Europe</v>
      </c>
      <c r="M1154" s="7" t="str">
        <f>VLOOKUP($J1154,countries,6,false)</f>
        <v>Southern Europe</v>
      </c>
      <c r="N1154" s="7">
        <v>4594.0</v>
      </c>
      <c r="O1154" s="7" t="str">
        <f>VLOOKUP(N1154, products, 2, FALSE)</f>
        <v>Fruits</v>
      </c>
      <c r="P1154" s="7" t="s">
        <v>264</v>
      </c>
      <c r="Q1154" s="7">
        <v>5930.0</v>
      </c>
      <c r="R1154" s="17">
        <v>9.33</v>
      </c>
      <c r="S1154" s="17">
        <v>6.92</v>
      </c>
      <c r="U1154" s="18">
        <f t="shared" si="6"/>
        <v>55326.9</v>
      </c>
      <c r="V1154" s="18">
        <f t="shared" si="7"/>
        <v>41035.6</v>
      </c>
      <c r="W1154" s="19">
        <f t="shared" si="8"/>
        <v>14291.3</v>
      </c>
    </row>
    <row r="1155">
      <c r="A1155" s="7">
        <v>8.76856458E8</v>
      </c>
      <c r="B1155" s="12">
        <v>41494.0</v>
      </c>
      <c r="C1155" s="7">
        <f t="shared" si="1"/>
        <v>2013</v>
      </c>
      <c r="D1155" s="14" t="str">
        <f t="shared" si="2"/>
        <v>08 - Aug</v>
      </c>
      <c r="E1155" s="15" t="str">
        <f t="shared" si="3"/>
        <v>Thu</v>
      </c>
      <c r="F1155" s="15">
        <f t="shared" si="4"/>
        <v>4</v>
      </c>
      <c r="G1155" s="16">
        <v>41515.0</v>
      </c>
      <c r="H1155" s="14">
        <f t="shared" si="5"/>
        <v>21</v>
      </c>
      <c r="I1155" s="7" t="s">
        <v>399</v>
      </c>
      <c r="J1155" s="7" t="s">
        <v>435</v>
      </c>
      <c r="K1155" s="7" t="str">
        <f>VLOOKUP(J1155,countries,2,false)</f>
        <v>Slovakia</v>
      </c>
      <c r="L1155" s="7" t="str">
        <f>VLOOKUP($J1155,countries,5,false)</f>
        <v>Europe</v>
      </c>
      <c r="M1155" s="7" t="str">
        <f>VLOOKUP($J1155,countries,6,false)</f>
        <v>Eastern Europe</v>
      </c>
      <c r="N1155" s="7">
        <v>8875.0</v>
      </c>
      <c r="O1155" s="7" t="str">
        <f>VLOOKUP(N1155, products, 2, FALSE)</f>
        <v>Meat</v>
      </c>
      <c r="P1155" s="7" t="s">
        <v>334</v>
      </c>
      <c r="Q1155" s="7">
        <v>166.0</v>
      </c>
      <c r="R1155" s="17">
        <v>421.89</v>
      </c>
      <c r="S1155" s="17">
        <v>364.69</v>
      </c>
      <c r="U1155" s="18">
        <f t="shared" si="6"/>
        <v>70033.74</v>
      </c>
      <c r="V1155" s="18">
        <f t="shared" si="7"/>
        <v>60538.54</v>
      </c>
      <c r="W1155" s="19">
        <f t="shared" si="8"/>
        <v>9495.2</v>
      </c>
    </row>
    <row r="1156">
      <c r="A1156" s="7">
        <v>8.77062451E8</v>
      </c>
      <c r="B1156" s="12">
        <v>41191.0</v>
      </c>
      <c r="C1156" s="7">
        <f t="shared" si="1"/>
        <v>2012</v>
      </c>
      <c r="D1156" s="14" t="str">
        <f t="shared" si="2"/>
        <v>10 - Oct</v>
      </c>
      <c r="E1156" s="15" t="str">
        <f t="shared" si="3"/>
        <v>Tue</v>
      </c>
      <c r="F1156" s="15">
        <f t="shared" si="4"/>
        <v>2</v>
      </c>
      <c r="G1156" s="16">
        <v>41211.0</v>
      </c>
      <c r="H1156" s="14">
        <f t="shared" si="5"/>
        <v>20</v>
      </c>
      <c r="I1156" s="7" t="s">
        <v>305</v>
      </c>
      <c r="J1156" s="7" t="s">
        <v>41</v>
      </c>
      <c r="K1156" s="7" t="str">
        <f>VLOOKUP(J1156,countries,2,false)</f>
        <v>Albania</v>
      </c>
      <c r="L1156" s="7" t="str">
        <f>VLOOKUP($J1156,countries,5,false)</f>
        <v>Europe</v>
      </c>
      <c r="M1156" s="7" t="str">
        <f>VLOOKUP($J1156,countries,6,false)</f>
        <v>Southern Europe</v>
      </c>
      <c r="N1156" s="7">
        <v>1270.0</v>
      </c>
      <c r="O1156" s="7" t="str">
        <f>VLOOKUP(N1156, products, 2, FALSE)</f>
        <v>Beverages</v>
      </c>
      <c r="P1156" s="7" t="s">
        <v>264</v>
      </c>
      <c r="Q1156" s="7">
        <v>1124.0</v>
      </c>
      <c r="R1156" s="17">
        <v>47.45</v>
      </c>
      <c r="S1156" s="17">
        <v>31.79</v>
      </c>
      <c r="U1156" s="18">
        <f t="shared" si="6"/>
        <v>53333.8</v>
      </c>
      <c r="V1156" s="18">
        <f t="shared" si="7"/>
        <v>35731.96</v>
      </c>
      <c r="W1156" s="19">
        <f t="shared" si="8"/>
        <v>17601.84</v>
      </c>
    </row>
    <row r="1157">
      <c r="A1157" s="7">
        <v>8.77084767E8</v>
      </c>
      <c r="B1157" s="12">
        <v>41020.0</v>
      </c>
      <c r="C1157" s="7">
        <f t="shared" si="1"/>
        <v>2012</v>
      </c>
      <c r="D1157" s="14" t="str">
        <f t="shared" si="2"/>
        <v>04 - Apr</v>
      </c>
      <c r="E1157" s="15" t="str">
        <f t="shared" si="3"/>
        <v>Sat</v>
      </c>
      <c r="F1157" s="15">
        <f t="shared" si="4"/>
        <v>6</v>
      </c>
      <c r="G1157" s="16">
        <v>41069.0</v>
      </c>
      <c r="H1157" s="14">
        <f t="shared" si="5"/>
        <v>49</v>
      </c>
      <c r="I1157" s="7" t="s">
        <v>305</v>
      </c>
      <c r="J1157" s="7" t="s">
        <v>720</v>
      </c>
      <c r="K1157" s="7" t="str">
        <f>VLOOKUP(J1157,countries,2,false)</f>
        <v>Switzerland</v>
      </c>
      <c r="L1157" s="7" t="str">
        <f>VLOOKUP($J1157,countries,5,false)</f>
        <v>Europe</v>
      </c>
      <c r="M1157" s="7" t="str">
        <f>VLOOKUP($J1157,countries,6,false)</f>
        <v>Western Europe</v>
      </c>
      <c r="N1157" s="7">
        <v>8875.0</v>
      </c>
      <c r="O1157" s="7" t="str">
        <f>VLOOKUP(N1157, products, 2, FALSE)</f>
        <v>Meat</v>
      </c>
      <c r="P1157" s="7" t="s">
        <v>264</v>
      </c>
      <c r="Q1157" s="7">
        <v>7728.0</v>
      </c>
      <c r="R1157" s="17">
        <v>421.89</v>
      </c>
      <c r="S1157" s="17">
        <v>364.69</v>
      </c>
      <c r="U1157" s="18">
        <f t="shared" si="6"/>
        <v>3260365.92</v>
      </c>
      <c r="V1157" s="18">
        <f t="shared" si="7"/>
        <v>2818324.32</v>
      </c>
      <c r="W1157" s="19">
        <f t="shared" si="8"/>
        <v>442041.6</v>
      </c>
    </row>
    <row r="1158">
      <c r="A1158" s="7">
        <v>8.77687728E8</v>
      </c>
      <c r="B1158" s="12">
        <v>42727.0</v>
      </c>
      <c r="C1158" s="7">
        <f t="shared" si="1"/>
        <v>2016</v>
      </c>
      <c r="D1158" s="14" t="str">
        <f t="shared" si="2"/>
        <v>12 - Dec</v>
      </c>
      <c r="E1158" s="15" t="str">
        <f t="shared" si="3"/>
        <v>Fri</v>
      </c>
      <c r="F1158" s="15">
        <f t="shared" si="4"/>
        <v>5</v>
      </c>
      <c r="G1158" s="16">
        <v>42773.0</v>
      </c>
      <c r="H1158" s="14">
        <f t="shared" si="5"/>
        <v>46</v>
      </c>
      <c r="I1158" s="7" t="s">
        <v>305</v>
      </c>
      <c r="J1158" s="7" t="s">
        <v>435</v>
      </c>
      <c r="K1158" s="7" t="str">
        <f>VLOOKUP(J1158,countries,2,false)</f>
        <v>Slovakia</v>
      </c>
      <c r="L1158" s="7" t="str">
        <f>VLOOKUP($J1158,countries,5,false)</f>
        <v>Europe</v>
      </c>
      <c r="M1158" s="7" t="str">
        <f>VLOOKUP($J1158,countries,6,false)</f>
        <v>Eastern Europe</v>
      </c>
      <c r="N1158" s="7">
        <v>3127.0</v>
      </c>
      <c r="O1158" s="7" t="str">
        <f>VLOOKUP(N1158, products, 2, FALSE)</f>
        <v>Personal Care</v>
      </c>
      <c r="P1158" s="7" t="s">
        <v>334</v>
      </c>
      <c r="Q1158" s="7">
        <v>6158.0</v>
      </c>
      <c r="R1158" s="17">
        <v>81.73</v>
      </c>
      <c r="S1158" s="17">
        <v>56.67</v>
      </c>
      <c r="U1158" s="18">
        <f t="shared" si="6"/>
        <v>503293.34</v>
      </c>
      <c r="V1158" s="18">
        <f t="shared" si="7"/>
        <v>348973.86</v>
      </c>
      <c r="W1158" s="19">
        <f t="shared" si="8"/>
        <v>154319.48</v>
      </c>
    </row>
    <row r="1159">
      <c r="A1159" s="7">
        <v>8.7861427E8</v>
      </c>
      <c r="B1159" s="12">
        <v>40570.0</v>
      </c>
      <c r="C1159" s="7">
        <f t="shared" si="1"/>
        <v>2011</v>
      </c>
      <c r="D1159" s="14" t="str">
        <f t="shared" si="2"/>
        <v>01 - Jan</v>
      </c>
      <c r="E1159" s="15" t="str">
        <f t="shared" si="3"/>
        <v>Thu</v>
      </c>
      <c r="F1159" s="15">
        <f t="shared" si="4"/>
        <v>4</v>
      </c>
      <c r="G1159" s="16">
        <v>40591.0</v>
      </c>
      <c r="H1159" s="14">
        <f t="shared" si="5"/>
        <v>21</v>
      </c>
      <c r="I1159" s="7" t="s">
        <v>232</v>
      </c>
      <c r="J1159" s="7" t="s">
        <v>381</v>
      </c>
      <c r="K1159" s="7" t="str">
        <f>VLOOKUP(J1159,countries,2,false)</f>
        <v>Iceland</v>
      </c>
      <c r="L1159" s="7" t="str">
        <f>VLOOKUP($J1159,countries,5,false)</f>
        <v>Europe</v>
      </c>
      <c r="M1159" s="7" t="str">
        <f>VLOOKUP($J1159,countries,6,false)</f>
        <v>Northern Europe</v>
      </c>
      <c r="N1159" s="7">
        <v>8293.0</v>
      </c>
      <c r="O1159" s="7" t="str">
        <f>VLOOKUP(N1159, products, 2, FALSE)</f>
        <v>Cosmetics</v>
      </c>
      <c r="P1159" s="7" t="s">
        <v>264</v>
      </c>
      <c r="Q1159" s="7">
        <v>342.0</v>
      </c>
      <c r="R1159" s="17">
        <v>437.2</v>
      </c>
      <c r="S1159" s="17">
        <v>263.33</v>
      </c>
      <c r="U1159" s="18">
        <f t="shared" si="6"/>
        <v>149522.4</v>
      </c>
      <c r="V1159" s="18">
        <f t="shared" si="7"/>
        <v>90058.86</v>
      </c>
      <c r="W1159" s="19">
        <f t="shared" si="8"/>
        <v>59463.54</v>
      </c>
    </row>
    <row r="1160">
      <c r="A1160" s="7">
        <v>8.794052E8</v>
      </c>
      <c r="B1160" s="12">
        <v>41793.0</v>
      </c>
      <c r="C1160" s="7">
        <f t="shared" si="1"/>
        <v>2014</v>
      </c>
      <c r="D1160" s="14" t="str">
        <f t="shared" si="2"/>
        <v>06 - Jun</v>
      </c>
      <c r="E1160" s="15" t="str">
        <f t="shared" si="3"/>
        <v>Tue</v>
      </c>
      <c r="F1160" s="15">
        <f t="shared" si="4"/>
        <v>2</v>
      </c>
      <c r="G1160" s="16">
        <v>41840.0</v>
      </c>
      <c r="H1160" s="14">
        <f t="shared" si="5"/>
        <v>47</v>
      </c>
      <c r="I1160" s="7" t="s">
        <v>364</v>
      </c>
      <c r="J1160" s="7" t="s">
        <v>120</v>
      </c>
      <c r="K1160" s="7" t="str">
        <f>VLOOKUP(J1160,countries,2,false)</f>
        <v>Belarus</v>
      </c>
      <c r="L1160" s="7" t="str">
        <f>VLOOKUP($J1160,countries,5,false)</f>
        <v>Europe</v>
      </c>
      <c r="M1160" s="7" t="str">
        <f>VLOOKUP($J1160,countries,6,false)</f>
        <v>Eastern Europe</v>
      </c>
      <c r="N1160" s="7">
        <v>1270.0</v>
      </c>
      <c r="O1160" s="7" t="str">
        <f>VLOOKUP(N1160, products, 2, FALSE)</f>
        <v>Beverages</v>
      </c>
      <c r="P1160" s="7" t="s">
        <v>264</v>
      </c>
      <c r="Q1160" s="7">
        <v>4396.0</v>
      </c>
      <c r="R1160" s="17">
        <v>47.45</v>
      </c>
      <c r="S1160" s="17">
        <v>31.79</v>
      </c>
      <c r="U1160" s="18">
        <f t="shared" si="6"/>
        <v>208590.2</v>
      </c>
      <c r="V1160" s="18">
        <f t="shared" si="7"/>
        <v>139748.84</v>
      </c>
      <c r="W1160" s="19">
        <f t="shared" si="8"/>
        <v>68841.36</v>
      </c>
    </row>
    <row r="1161">
      <c r="A1161" s="7">
        <v>8.79845082E8</v>
      </c>
      <c r="B1161" s="12">
        <v>40282.0</v>
      </c>
      <c r="C1161" s="7">
        <f t="shared" si="1"/>
        <v>2010</v>
      </c>
      <c r="D1161" s="14" t="str">
        <f t="shared" si="2"/>
        <v>04 - Apr</v>
      </c>
      <c r="E1161" s="15" t="str">
        <f t="shared" si="3"/>
        <v>Wed</v>
      </c>
      <c r="F1161" s="15">
        <f t="shared" si="4"/>
        <v>3</v>
      </c>
      <c r="G1161" s="16">
        <v>40299.0</v>
      </c>
      <c r="H1161" s="14">
        <f t="shared" si="5"/>
        <v>17</v>
      </c>
      <c r="I1161" s="7" t="s">
        <v>232</v>
      </c>
      <c r="J1161" s="7" t="s">
        <v>465</v>
      </c>
      <c r="K1161" s="7" t="str">
        <f>VLOOKUP(J1161,countries,2,false)</f>
        <v>Lithuania</v>
      </c>
      <c r="L1161" s="7" t="str">
        <f>VLOOKUP($J1161,countries,5,false)</f>
        <v>Europe</v>
      </c>
      <c r="M1161" s="7" t="str">
        <f>VLOOKUP($J1161,countries,6,false)</f>
        <v>Northern Europe</v>
      </c>
      <c r="N1161" s="7">
        <v>4594.0</v>
      </c>
      <c r="O1161" s="7" t="str">
        <f>VLOOKUP(N1161, products, 2, FALSE)</f>
        <v>Fruits</v>
      </c>
      <c r="P1161" s="7" t="s">
        <v>334</v>
      </c>
      <c r="Q1161" s="7">
        <v>4567.0</v>
      </c>
      <c r="R1161" s="17">
        <v>9.33</v>
      </c>
      <c r="S1161" s="17">
        <v>6.92</v>
      </c>
      <c r="U1161" s="18">
        <f t="shared" si="6"/>
        <v>42610.11</v>
      </c>
      <c r="V1161" s="18">
        <f t="shared" si="7"/>
        <v>31603.64</v>
      </c>
      <c r="W1161" s="19">
        <f t="shared" si="8"/>
        <v>11006.47</v>
      </c>
    </row>
    <row r="1162">
      <c r="A1162" s="7">
        <v>8.79923617E8</v>
      </c>
      <c r="B1162" s="12">
        <v>41861.0</v>
      </c>
      <c r="C1162" s="7">
        <f t="shared" si="1"/>
        <v>2014</v>
      </c>
      <c r="D1162" s="14" t="str">
        <f t="shared" si="2"/>
        <v>08 - Aug</v>
      </c>
      <c r="E1162" s="15" t="str">
        <f t="shared" si="3"/>
        <v>Sun</v>
      </c>
      <c r="F1162" s="15">
        <f t="shared" si="4"/>
        <v>7</v>
      </c>
      <c r="G1162" s="16">
        <v>41897.0</v>
      </c>
      <c r="H1162" s="14">
        <f t="shared" si="5"/>
        <v>36</v>
      </c>
      <c r="I1162" s="7" t="s">
        <v>232</v>
      </c>
      <c r="J1162" s="7" t="s">
        <v>378</v>
      </c>
      <c r="K1162" s="7" t="str">
        <f>VLOOKUP(J1162,countries,2,false)</f>
        <v>Hungary</v>
      </c>
      <c r="L1162" s="7" t="str">
        <f>VLOOKUP($J1162,countries,5,false)</f>
        <v>Europe</v>
      </c>
      <c r="M1162" s="7" t="str">
        <f>VLOOKUP($J1162,countries,6,false)</f>
        <v>Eastern Europe</v>
      </c>
      <c r="N1162" s="7">
        <v>7331.0</v>
      </c>
      <c r="O1162" s="7" t="str">
        <f>VLOOKUP(N1162, products, 2, FALSE)</f>
        <v>Baby Food</v>
      </c>
      <c r="P1162" s="7" t="s">
        <v>264</v>
      </c>
      <c r="Q1162" s="7">
        <v>7807.0</v>
      </c>
      <c r="R1162" s="17">
        <v>255.28</v>
      </c>
      <c r="S1162" s="17">
        <v>159.42</v>
      </c>
      <c r="U1162" s="18">
        <f t="shared" si="6"/>
        <v>1992970.96</v>
      </c>
      <c r="V1162" s="18">
        <f t="shared" si="7"/>
        <v>1244591.94</v>
      </c>
      <c r="W1162" s="19">
        <f t="shared" si="8"/>
        <v>748379.02</v>
      </c>
    </row>
    <row r="1163">
      <c r="A1163" s="7">
        <v>8.80176818E8</v>
      </c>
      <c r="B1163" s="12">
        <v>40452.0</v>
      </c>
      <c r="C1163" s="7">
        <f t="shared" si="1"/>
        <v>2010</v>
      </c>
      <c r="D1163" s="14" t="str">
        <f t="shared" si="2"/>
        <v>10 - Oct</v>
      </c>
      <c r="E1163" s="15" t="str">
        <f t="shared" si="3"/>
        <v>Fri</v>
      </c>
      <c r="F1163" s="15">
        <f t="shared" si="4"/>
        <v>5</v>
      </c>
      <c r="G1163" s="16">
        <v>40466.0</v>
      </c>
      <c r="H1163" s="14">
        <f t="shared" si="5"/>
        <v>14</v>
      </c>
      <c r="I1163" s="7" t="s">
        <v>232</v>
      </c>
      <c r="J1163" s="7" t="s">
        <v>608</v>
      </c>
      <c r="K1163" s="7" t="str">
        <f>VLOOKUP(J1163,countries,2,false)</f>
        <v>Poland</v>
      </c>
      <c r="L1163" s="7" t="str">
        <f>VLOOKUP($J1163,countries,5,false)</f>
        <v>Europe</v>
      </c>
      <c r="M1163" s="7" t="str">
        <f>VLOOKUP($J1163,countries,6,false)</f>
        <v>Eastern Europe</v>
      </c>
      <c r="N1163" s="7">
        <v>2455.0</v>
      </c>
      <c r="O1163" s="7" t="str">
        <f>VLOOKUP(N1163, products, 2, FALSE)</f>
        <v>Clothes</v>
      </c>
      <c r="P1163" s="7" t="s">
        <v>264</v>
      </c>
      <c r="Q1163" s="7">
        <v>2735.0</v>
      </c>
      <c r="R1163" s="17">
        <v>109.28</v>
      </c>
      <c r="S1163" s="17">
        <v>35.84</v>
      </c>
      <c r="U1163" s="18">
        <f t="shared" si="6"/>
        <v>298880.8</v>
      </c>
      <c r="V1163" s="18">
        <f t="shared" si="7"/>
        <v>98022.4</v>
      </c>
      <c r="W1163" s="19">
        <f t="shared" si="8"/>
        <v>200858.4</v>
      </c>
    </row>
    <row r="1164">
      <c r="A1164" s="7">
        <v>8.8119477E8</v>
      </c>
      <c r="B1164" s="12">
        <v>41583.0</v>
      </c>
      <c r="C1164" s="7">
        <f t="shared" si="1"/>
        <v>2013</v>
      </c>
      <c r="D1164" s="14" t="str">
        <f t="shared" si="2"/>
        <v>11 - Nov</v>
      </c>
      <c r="E1164" s="15" t="str">
        <f t="shared" si="3"/>
        <v>Tue</v>
      </c>
      <c r="F1164" s="15">
        <f t="shared" si="4"/>
        <v>2</v>
      </c>
      <c r="G1164" s="16">
        <v>41613.0</v>
      </c>
      <c r="H1164" s="14">
        <f t="shared" si="5"/>
        <v>30</v>
      </c>
      <c r="I1164" s="7" t="s">
        <v>305</v>
      </c>
      <c r="J1164" s="7" t="s">
        <v>656</v>
      </c>
      <c r="K1164" s="7" t="str">
        <f>VLOOKUP(J1164,countries,2,false)</f>
        <v>San Marino</v>
      </c>
      <c r="L1164" s="7" t="str">
        <f>VLOOKUP($J1164,countries,5,false)</f>
        <v>Europe</v>
      </c>
      <c r="M1164" s="7" t="str">
        <f>VLOOKUP($J1164,countries,6,false)</f>
        <v>Southern Europe</v>
      </c>
      <c r="N1164" s="7">
        <v>8681.0</v>
      </c>
      <c r="O1164" s="7" t="str">
        <f>VLOOKUP(N1164, products, 2, FALSE)</f>
        <v>Office Supplies</v>
      </c>
      <c r="P1164" s="7" t="s">
        <v>334</v>
      </c>
      <c r="Q1164" s="7">
        <v>3969.0</v>
      </c>
      <c r="R1164" s="17">
        <v>651.21</v>
      </c>
      <c r="S1164" s="17">
        <v>524.96</v>
      </c>
      <c r="U1164" s="18">
        <f t="shared" si="6"/>
        <v>2584652.49</v>
      </c>
      <c r="V1164" s="18">
        <f t="shared" si="7"/>
        <v>2083566.24</v>
      </c>
      <c r="W1164" s="19">
        <f t="shared" si="8"/>
        <v>501086.25</v>
      </c>
    </row>
    <row r="1165">
      <c r="A1165" s="7">
        <v>8.8171705E8</v>
      </c>
      <c r="B1165" s="12">
        <v>40504.0</v>
      </c>
      <c r="C1165" s="7">
        <f t="shared" si="1"/>
        <v>2010</v>
      </c>
      <c r="D1165" s="14" t="str">
        <f t="shared" si="2"/>
        <v>11 - Nov</v>
      </c>
      <c r="E1165" s="15" t="str">
        <f t="shared" si="3"/>
        <v>Mon</v>
      </c>
      <c r="F1165" s="15">
        <f t="shared" si="4"/>
        <v>1</v>
      </c>
      <c r="G1165" s="16">
        <v>40535.0</v>
      </c>
      <c r="H1165" s="14">
        <f t="shared" si="5"/>
        <v>31</v>
      </c>
      <c r="I1165" s="7" t="s">
        <v>232</v>
      </c>
      <c r="J1165" s="7" t="s">
        <v>124</v>
      </c>
      <c r="K1165" s="7" t="str">
        <f>VLOOKUP(J1165,countries,2,false)</f>
        <v>Belgium</v>
      </c>
      <c r="L1165" s="7" t="str">
        <f>VLOOKUP($J1165,countries,5,false)</f>
        <v>Europe</v>
      </c>
      <c r="M1165" s="7" t="str">
        <f>VLOOKUP($J1165,countries,6,false)</f>
        <v>Western Europe</v>
      </c>
      <c r="N1165" s="7">
        <v>8969.0</v>
      </c>
      <c r="O1165" s="7" t="str">
        <f>VLOOKUP(N1165, products, 2, FALSE)</f>
        <v>Snacks</v>
      </c>
      <c r="P1165" s="7" t="s">
        <v>264</v>
      </c>
      <c r="Q1165" s="7">
        <v>8524.0</v>
      </c>
      <c r="R1165" s="17">
        <v>152.58</v>
      </c>
      <c r="S1165" s="17">
        <v>97.44</v>
      </c>
      <c r="U1165" s="18">
        <f t="shared" si="6"/>
        <v>1300591.92</v>
      </c>
      <c r="V1165" s="18">
        <f t="shared" si="7"/>
        <v>830578.56</v>
      </c>
      <c r="W1165" s="19">
        <f t="shared" si="8"/>
        <v>470013.36</v>
      </c>
    </row>
    <row r="1166">
      <c r="A1166" s="7">
        <v>8.83504474E8</v>
      </c>
      <c r="B1166" s="12">
        <v>41854.0</v>
      </c>
      <c r="C1166" s="7">
        <f t="shared" si="1"/>
        <v>2014</v>
      </c>
      <c r="D1166" s="14" t="str">
        <f t="shared" si="2"/>
        <v>08 - Aug</v>
      </c>
      <c r="E1166" s="15" t="str">
        <f t="shared" si="3"/>
        <v>Sun</v>
      </c>
      <c r="F1166" s="15">
        <f t="shared" si="4"/>
        <v>7</v>
      </c>
      <c r="G1166" s="16">
        <v>41890.0</v>
      </c>
      <c r="H1166" s="14">
        <f t="shared" si="5"/>
        <v>36</v>
      </c>
      <c r="I1166" s="7" t="s">
        <v>399</v>
      </c>
      <c r="J1166" s="7" t="s">
        <v>90</v>
      </c>
      <c r="K1166" s="7" t="str">
        <f>VLOOKUP(J1166,countries,2,false)</f>
        <v>Armenia</v>
      </c>
      <c r="L1166" s="7" t="str">
        <f>VLOOKUP($J1166,countries,5,false)</f>
        <v>Asia</v>
      </c>
      <c r="M1166" s="7" t="str">
        <f>VLOOKUP($J1166,countries,6,false)</f>
        <v>Western Asia</v>
      </c>
      <c r="N1166" s="7">
        <v>8681.0</v>
      </c>
      <c r="O1166" s="7" t="str">
        <f>VLOOKUP(N1166, products, 2, FALSE)</f>
        <v>Office Supplies</v>
      </c>
      <c r="P1166" s="7" t="s">
        <v>334</v>
      </c>
      <c r="Q1166" s="7">
        <v>7462.0</v>
      </c>
      <c r="R1166" s="17">
        <v>651.21</v>
      </c>
      <c r="S1166" s="17">
        <v>524.96</v>
      </c>
      <c r="U1166" s="18">
        <f t="shared" si="6"/>
        <v>4859329.02</v>
      </c>
      <c r="V1166" s="18">
        <f t="shared" si="7"/>
        <v>3917251.52</v>
      </c>
      <c r="W1166" s="19">
        <f t="shared" si="8"/>
        <v>942077.5</v>
      </c>
    </row>
    <row r="1167">
      <c r="A1167" s="7">
        <v>8.84147775E8</v>
      </c>
      <c r="B1167" s="12">
        <v>40804.0</v>
      </c>
      <c r="C1167" s="7">
        <f t="shared" si="1"/>
        <v>2011</v>
      </c>
      <c r="D1167" s="14" t="str">
        <f t="shared" si="2"/>
        <v>09 - Sep</v>
      </c>
      <c r="E1167" s="15" t="str">
        <f t="shared" si="3"/>
        <v>Sun</v>
      </c>
      <c r="F1167" s="15">
        <f t="shared" si="4"/>
        <v>7</v>
      </c>
      <c r="G1167" s="16">
        <v>40835.0</v>
      </c>
      <c r="H1167" s="14">
        <f t="shared" si="5"/>
        <v>31</v>
      </c>
      <c r="I1167" s="7" t="s">
        <v>399</v>
      </c>
      <c r="J1167" s="7" t="s">
        <v>293</v>
      </c>
      <c r="K1167" s="7" t="str">
        <f>VLOOKUP(J1167,countries,2,false)</f>
        <v>Finland</v>
      </c>
      <c r="L1167" s="7" t="str">
        <f>VLOOKUP($J1167,countries,5,false)</f>
        <v>Europe</v>
      </c>
      <c r="M1167" s="7" t="str">
        <f>VLOOKUP($J1167,countries,6,false)</f>
        <v>Northern Europe</v>
      </c>
      <c r="N1167" s="7">
        <v>1270.0</v>
      </c>
      <c r="O1167" s="7" t="str">
        <f>VLOOKUP(N1167, products, 2, FALSE)</f>
        <v>Beverages</v>
      </c>
      <c r="P1167" s="7" t="s">
        <v>264</v>
      </c>
      <c r="Q1167" s="7">
        <v>7829.0</v>
      </c>
      <c r="R1167" s="17">
        <v>47.45</v>
      </c>
      <c r="S1167" s="17">
        <v>31.79</v>
      </c>
      <c r="U1167" s="18">
        <f t="shared" si="6"/>
        <v>371486.05</v>
      </c>
      <c r="V1167" s="18">
        <f t="shared" si="7"/>
        <v>248883.91</v>
      </c>
      <c r="W1167" s="19">
        <f t="shared" si="8"/>
        <v>122602.14</v>
      </c>
    </row>
    <row r="1168">
      <c r="A1168" s="7">
        <v>8.84192836E8</v>
      </c>
      <c r="B1168" s="12">
        <v>41257.0</v>
      </c>
      <c r="C1168" s="7">
        <f t="shared" si="1"/>
        <v>2012</v>
      </c>
      <c r="D1168" s="14" t="str">
        <f t="shared" si="2"/>
        <v>12 - Dec</v>
      </c>
      <c r="E1168" s="15" t="str">
        <f t="shared" si="3"/>
        <v>Fri</v>
      </c>
      <c r="F1168" s="15">
        <f t="shared" si="4"/>
        <v>5</v>
      </c>
      <c r="G1168" s="16">
        <v>41289.0</v>
      </c>
      <c r="H1168" s="14">
        <f t="shared" si="5"/>
        <v>32</v>
      </c>
      <c r="I1168" s="7" t="s">
        <v>305</v>
      </c>
      <c r="J1168" s="7" t="s">
        <v>233</v>
      </c>
      <c r="K1168" s="7" t="str">
        <f>VLOOKUP(J1168,countries,2,false)</f>
        <v>Norway</v>
      </c>
      <c r="L1168" s="7" t="str">
        <f>VLOOKUP($J1168,countries,5,false)</f>
        <v>Europe</v>
      </c>
      <c r="M1168" s="7" t="str">
        <f>VLOOKUP($J1168,countries,6,false)</f>
        <v>Northern Europe</v>
      </c>
      <c r="N1168" s="7">
        <v>8681.0</v>
      </c>
      <c r="O1168" s="7" t="str">
        <f>VLOOKUP(N1168, products, 2, FALSE)</f>
        <v>Office Supplies</v>
      </c>
      <c r="P1168" s="7" t="s">
        <v>334</v>
      </c>
      <c r="Q1168" s="7">
        <v>1164.0</v>
      </c>
      <c r="R1168" s="17">
        <v>651.21</v>
      </c>
      <c r="S1168" s="17">
        <v>524.96</v>
      </c>
      <c r="U1168" s="18">
        <f t="shared" si="6"/>
        <v>758008.44</v>
      </c>
      <c r="V1168" s="18">
        <f t="shared" si="7"/>
        <v>611053.44</v>
      </c>
      <c r="W1168" s="19">
        <f t="shared" si="8"/>
        <v>146955</v>
      </c>
    </row>
    <row r="1169">
      <c r="A1169" s="7">
        <v>8.84462773E8</v>
      </c>
      <c r="B1169" s="12">
        <v>40411.0</v>
      </c>
      <c r="C1169" s="7">
        <f t="shared" si="1"/>
        <v>2010</v>
      </c>
      <c r="D1169" s="14" t="str">
        <f t="shared" si="2"/>
        <v>08 - Aug</v>
      </c>
      <c r="E1169" s="15" t="str">
        <f t="shared" si="3"/>
        <v>Sat</v>
      </c>
      <c r="F1169" s="15">
        <f t="shared" si="4"/>
        <v>6</v>
      </c>
      <c r="G1169" s="16">
        <v>40456.0</v>
      </c>
      <c r="H1169" s="14">
        <f t="shared" si="5"/>
        <v>45</v>
      </c>
      <c r="I1169" s="7" t="s">
        <v>232</v>
      </c>
      <c r="J1169" s="7" t="s">
        <v>623</v>
      </c>
      <c r="K1169" s="7" t="str">
        <f>VLOOKUP(J1169,countries,2,false)</f>
        <v>Romania</v>
      </c>
      <c r="L1169" s="7" t="str">
        <f>VLOOKUP($J1169,countries,5,false)</f>
        <v>Europe</v>
      </c>
      <c r="M1169" s="7" t="str">
        <f>VLOOKUP($J1169,countries,6,false)</f>
        <v>Eastern Europe</v>
      </c>
      <c r="N1169" s="7">
        <v>8969.0</v>
      </c>
      <c r="O1169" s="7" t="str">
        <f>VLOOKUP(N1169, products, 2, FALSE)</f>
        <v>Snacks</v>
      </c>
      <c r="P1169" s="7" t="s">
        <v>334</v>
      </c>
      <c r="Q1169" s="7">
        <v>1044.0</v>
      </c>
      <c r="R1169" s="17">
        <v>152.58</v>
      </c>
      <c r="S1169" s="17">
        <v>97.44</v>
      </c>
      <c r="U1169" s="18">
        <f t="shared" si="6"/>
        <v>159293.52</v>
      </c>
      <c r="V1169" s="18">
        <f t="shared" si="7"/>
        <v>101727.36</v>
      </c>
      <c r="W1169" s="19">
        <f t="shared" si="8"/>
        <v>57566.16</v>
      </c>
    </row>
    <row r="1170">
      <c r="A1170" s="7">
        <v>8.85046851E8</v>
      </c>
      <c r="B1170" s="12">
        <v>40348.0</v>
      </c>
      <c r="C1170" s="7">
        <f t="shared" si="1"/>
        <v>2010</v>
      </c>
      <c r="D1170" s="14" t="str">
        <f t="shared" si="2"/>
        <v>06 - Jun</v>
      </c>
      <c r="E1170" s="15" t="str">
        <f t="shared" si="3"/>
        <v>Sat</v>
      </c>
      <c r="F1170" s="15">
        <f t="shared" si="4"/>
        <v>6</v>
      </c>
      <c r="G1170" s="16">
        <v>40378.0</v>
      </c>
      <c r="H1170" s="14">
        <f t="shared" si="5"/>
        <v>30</v>
      </c>
      <c r="I1170" s="7" t="s">
        <v>232</v>
      </c>
      <c r="J1170" s="7" t="s">
        <v>243</v>
      </c>
      <c r="K1170" s="7" t="str">
        <f>VLOOKUP(J1170,countries,2,false)</f>
        <v>Czech Republic</v>
      </c>
      <c r="L1170" s="7" t="str">
        <f>VLOOKUP($J1170,countries,5,false)</f>
        <v>Europe</v>
      </c>
      <c r="M1170" s="7" t="str">
        <f>VLOOKUP($J1170,countries,6,false)</f>
        <v>Eastern Europe</v>
      </c>
      <c r="N1170" s="7">
        <v>8681.0</v>
      </c>
      <c r="O1170" s="7" t="str">
        <f>VLOOKUP(N1170, products, 2, FALSE)</f>
        <v>Office Supplies</v>
      </c>
      <c r="P1170" s="7" t="s">
        <v>334</v>
      </c>
      <c r="Q1170" s="7">
        <v>3886.0</v>
      </c>
      <c r="R1170" s="17">
        <v>651.21</v>
      </c>
      <c r="S1170" s="17">
        <v>524.96</v>
      </c>
      <c r="U1170" s="18">
        <f t="shared" si="6"/>
        <v>2530602.06</v>
      </c>
      <c r="V1170" s="18">
        <f t="shared" si="7"/>
        <v>2039994.56</v>
      </c>
      <c r="W1170" s="19">
        <f t="shared" si="8"/>
        <v>490607.5</v>
      </c>
    </row>
    <row r="1171">
      <c r="A1171" s="7">
        <v>8.85397469E8</v>
      </c>
      <c r="B1171" s="12">
        <v>42287.0</v>
      </c>
      <c r="C1171" s="7">
        <f t="shared" si="1"/>
        <v>2015</v>
      </c>
      <c r="D1171" s="14" t="str">
        <f t="shared" si="2"/>
        <v>10 - Oct</v>
      </c>
      <c r="E1171" s="15" t="str">
        <f t="shared" si="3"/>
        <v>Sat</v>
      </c>
      <c r="F1171" s="15">
        <f t="shared" si="4"/>
        <v>6</v>
      </c>
      <c r="G1171" s="16">
        <v>42326.0</v>
      </c>
      <c r="H1171" s="14">
        <f t="shared" si="5"/>
        <v>39</v>
      </c>
      <c r="I1171" s="7" t="s">
        <v>232</v>
      </c>
      <c r="J1171" s="7" t="s">
        <v>685</v>
      </c>
      <c r="K1171" s="7" t="str">
        <f>VLOOKUP(J1171,countries,2,false)</f>
        <v>Slovenia</v>
      </c>
      <c r="L1171" s="7" t="str">
        <f>VLOOKUP($J1171,countries,5,false)</f>
        <v>Europe</v>
      </c>
      <c r="M1171" s="7" t="str">
        <f>VLOOKUP($J1171,countries,6,false)</f>
        <v>Southern Europe</v>
      </c>
      <c r="N1171" s="7">
        <v>8875.0</v>
      </c>
      <c r="O1171" s="7" t="str">
        <f>VLOOKUP(N1171, products, 2, FALSE)</f>
        <v>Meat</v>
      </c>
      <c r="P1171" s="7" t="s">
        <v>264</v>
      </c>
      <c r="Q1171" s="7">
        <v>7642.0</v>
      </c>
      <c r="R1171" s="17">
        <v>421.89</v>
      </c>
      <c r="S1171" s="17">
        <v>364.69</v>
      </c>
      <c r="U1171" s="18">
        <f t="shared" si="6"/>
        <v>3224083.38</v>
      </c>
      <c r="V1171" s="18">
        <f t="shared" si="7"/>
        <v>2786960.98</v>
      </c>
      <c r="W1171" s="19">
        <f t="shared" si="8"/>
        <v>437122.4</v>
      </c>
    </row>
    <row r="1172">
      <c r="A1172" s="7">
        <v>8.85998284E8</v>
      </c>
      <c r="B1172" s="12">
        <v>42787.0</v>
      </c>
      <c r="C1172" s="7">
        <f t="shared" si="1"/>
        <v>2017</v>
      </c>
      <c r="D1172" s="14" t="str">
        <f t="shared" si="2"/>
        <v>02 - Feb</v>
      </c>
      <c r="E1172" s="15" t="str">
        <f t="shared" si="3"/>
        <v>Tue</v>
      </c>
      <c r="F1172" s="15">
        <f t="shared" si="4"/>
        <v>2</v>
      </c>
      <c r="G1172" s="16">
        <v>42794.0</v>
      </c>
      <c r="H1172" s="14">
        <f t="shared" si="5"/>
        <v>7</v>
      </c>
      <c r="I1172" s="7" t="s">
        <v>305</v>
      </c>
      <c r="J1172" s="7" t="s">
        <v>90</v>
      </c>
      <c r="K1172" s="7" t="str">
        <f>VLOOKUP(J1172,countries,2,false)</f>
        <v>Armenia</v>
      </c>
      <c r="L1172" s="7" t="str">
        <f>VLOOKUP($J1172,countries,5,false)</f>
        <v>Asia</v>
      </c>
      <c r="M1172" s="7" t="str">
        <f>VLOOKUP($J1172,countries,6,false)</f>
        <v>Western Asia</v>
      </c>
      <c r="N1172" s="7">
        <v>2455.0</v>
      </c>
      <c r="O1172" s="7" t="str">
        <f>VLOOKUP(N1172, products, 2, FALSE)</f>
        <v>Clothes</v>
      </c>
      <c r="P1172" s="7" t="s">
        <v>334</v>
      </c>
      <c r="Q1172" s="7">
        <v>5436.0</v>
      </c>
      <c r="R1172" s="17">
        <v>109.28</v>
      </c>
      <c r="S1172" s="17">
        <v>35.84</v>
      </c>
      <c r="U1172" s="18">
        <f t="shared" si="6"/>
        <v>594046.08</v>
      </c>
      <c r="V1172" s="18">
        <f t="shared" si="7"/>
        <v>194826.24</v>
      </c>
      <c r="W1172" s="19">
        <f t="shared" si="8"/>
        <v>399219.84</v>
      </c>
    </row>
    <row r="1173">
      <c r="A1173" s="7">
        <v>8.86620128E8</v>
      </c>
      <c r="B1173" s="12">
        <v>40732.0</v>
      </c>
      <c r="C1173" s="7">
        <f t="shared" si="1"/>
        <v>2011</v>
      </c>
      <c r="D1173" s="14" t="str">
        <f t="shared" si="2"/>
        <v>07 - Jul</v>
      </c>
      <c r="E1173" s="15" t="str">
        <f t="shared" si="3"/>
        <v>Fri</v>
      </c>
      <c r="F1173" s="15">
        <f t="shared" si="4"/>
        <v>5</v>
      </c>
      <c r="G1173" s="16">
        <v>40749.0</v>
      </c>
      <c r="H1173" s="14">
        <f t="shared" si="5"/>
        <v>17</v>
      </c>
      <c r="I1173" s="7" t="s">
        <v>305</v>
      </c>
      <c r="J1173" s="7" t="s">
        <v>406</v>
      </c>
      <c r="K1173" s="7" t="str">
        <f>VLOOKUP(J1173,countries,2,false)</f>
        <v>Italy</v>
      </c>
      <c r="L1173" s="7" t="str">
        <f>VLOOKUP($J1173,countries,5,false)</f>
        <v>Europe</v>
      </c>
      <c r="M1173" s="7" t="str">
        <f>VLOOKUP($J1173,countries,6,false)</f>
        <v>Southern Europe</v>
      </c>
      <c r="N1173" s="7">
        <v>8681.0</v>
      </c>
      <c r="O1173" s="7" t="str">
        <f>VLOOKUP(N1173, products, 2, FALSE)</f>
        <v>Office Supplies</v>
      </c>
      <c r="P1173" s="7" t="s">
        <v>334</v>
      </c>
      <c r="Q1173" s="7">
        <v>9453.0</v>
      </c>
      <c r="R1173" s="17">
        <v>651.21</v>
      </c>
      <c r="S1173" s="17">
        <v>524.96</v>
      </c>
      <c r="U1173" s="18">
        <f t="shared" si="6"/>
        <v>6155888.13</v>
      </c>
      <c r="V1173" s="18">
        <f t="shared" si="7"/>
        <v>4962446.88</v>
      </c>
      <c r="W1173" s="19">
        <f t="shared" si="8"/>
        <v>1193441.25</v>
      </c>
    </row>
    <row r="1174">
      <c r="A1174" s="7">
        <v>8.86763894E8</v>
      </c>
      <c r="B1174" s="12">
        <v>41385.0</v>
      </c>
      <c r="C1174" s="7">
        <f t="shared" si="1"/>
        <v>2013</v>
      </c>
      <c r="D1174" s="14" t="str">
        <f t="shared" si="2"/>
        <v>04 - Apr</v>
      </c>
      <c r="E1174" s="15" t="str">
        <f t="shared" si="3"/>
        <v>Sun</v>
      </c>
      <c r="F1174" s="15">
        <f t="shared" si="4"/>
        <v>7</v>
      </c>
      <c r="G1174" s="16">
        <v>41421.0</v>
      </c>
      <c r="H1174" s="14">
        <f t="shared" si="5"/>
        <v>36</v>
      </c>
      <c r="I1174" s="7" t="s">
        <v>232</v>
      </c>
      <c r="J1174" s="7" t="s">
        <v>685</v>
      </c>
      <c r="K1174" s="7" t="str">
        <f>VLOOKUP(J1174,countries,2,false)</f>
        <v>Slovenia</v>
      </c>
      <c r="L1174" s="7" t="str">
        <f>VLOOKUP($J1174,countries,5,false)</f>
        <v>Europe</v>
      </c>
      <c r="M1174" s="7" t="str">
        <f>VLOOKUP($J1174,countries,6,false)</f>
        <v>Southern Europe</v>
      </c>
      <c r="N1174" s="7">
        <v>5988.0</v>
      </c>
      <c r="O1174" s="7" t="str">
        <f>VLOOKUP(N1174, products, 2, FALSE)</f>
        <v>Vegetables</v>
      </c>
      <c r="P1174" s="7" t="s">
        <v>334</v>
      </c>
      <c r="Q1174" s="7">
        <v>1997.0</v>
      </c>
      <c r="R1174" s="17">
        <v>154.06</v>
      </c>
      <c r="S1174" s="17">
        <v>90.93</v>
      </c>
      <c r="U1174" s="18">
        <f t="shared" si="6"/>
        <v>307657.82</v>
      </c>
      <c r="V1174" s="18">
        <f t="shared" si="7"/>
        <v>181587.21</v>
      </c>
      <c r="W1174" s="19">
        <f t="shared" si="8"/>
        <v>126070.61</v>
      </c>
    </row>
    <row r="1175">
      <c r="A1175" s="7">
        <v>8.8750118E8</v>
      </c>
      <c r="B1175" s="12">
        <v>42860.0</v>
      </c>
      <c r="C1175" s="7">
        <f t="shared" si="1"/>
        <v>2017</v>
      </c>
      <c r="D1175" s="14" t="str">
        <f t="shared" si="2"/>
        <v>05 - May</v>
      </c>
      <c r="E1175" s="15" t="str">
        <f t="shared" si="3"/>
        <v>Fri</v>
      </c>
      <c r="F1175" s="15">
        <f t="shared" si="4"/>
        <v>5</v>
      </c>
      <c r="G1175" s="16">
        <v>42906.0</v>
      </c>
      <c r="H1175" s="14">
        <f t="shared" si="5"/>
        <v>46</v>
      </c>
      <c r="I1175" s="7" t="s">
        <v>305</v>
      </c>
      <c r="J1175" s="7" t="s">
        <v>681</v>
      </c>
      <c r="K1175" s="7" t="str">
        <f>VLOOKUP(J1175,countries,2,false)</f>
        <v>United Kingdom</v>
      </c>
      <c r="L1175" s="7" t="str">
        <f>VLOOKUP($J1175,countries,5,false)</f>
        <v>Europe</v>
      </c>
      <c r="M1175" s="7" t="str">
        <f>VLOOKUP($J1175,countries,6,false)</f>
        <v>Northern Europe</v>
      </c>
      <c r="N1175" s="7">
        <v>8293.0</v>
      </c>
      <c r="O1175" s="7" t="str">
        <f>VLOOKUP(N1175, products, 2, FALSE)</f>
        <v>Cosmetics</v>
      </c>
      <c r="P1175" s="7" t="s">
        <v>264</v>
      </c>
      <c r="Q1175" s="7">
        <v>176.0</v>
      </c>
      <c r="R1175" s="17">
        <v>437.2</v>
      </c>
      <c r="S1175" s="17">
        <v>263.33</v>
      </c>
      <c r="U1175" s="18">
        <f t="shared" si="6"/>
        <v>76947.2</v>
      </c>
      <c r="V1175" s="18">
        <f t="shared" si="7"/>
        <v>46346.08</v>
      </c>
      <c r="W1175" s="19">
        <f t="shared" si="8"/>
        <v>30601.12</v>
      </c>
    </row>
    <row r="1176">
      <c r="A1176" s="7">
        <v>8.89093768E8</v>
      </c>
      <c r="B1176" s="12">
        <v>40278.0</v>
      </c>
      <c r="C1176" s="7">
        <f t="shared" si="1"/>
        <v>2010</v>
      </c>
      <c r="D1176" s="14" t="str">
        <f t="shared" si="2"/>
        <v>04 - Apr</v>
      </c>
      <c r="E1176" s="15" t="str">
        <f t="shared" si="3"/>
        <v>Sat</v>
      </c>
      <c r="F1176" s="15">
        <f t="shared" si="4"/>
        <v>6</v>
      </c>
      <c r="G1176" s="16">
        <v>40318.0</v>
      </c>
      <c r="H1176" s="14">
        <f t="shared" si="5"/>
        <v>40</v>
      </c>
      <c r="I1176" s="7" t="s">
        <v>232</v>
      </c>
      <c r="J1176" s="7" t="s">
        <v>293</v>
      </c>
      <c r="K1176" s="7" t="str">
        <f>VLOOKUP(J1176,countries,2,false)</f>
        <v>Finland</v>
      </c>
      <c r="L1176" s="7" t="str">
        <f>VLOOKUP($J1176,countries,5,false)</f>
        <v>Europe</v>
      </c>
      <c r="M1176" s="7" t="str">
        <f>VLOOKUP($J1176,countries,6,false)</f>
        <v>Northern Europe</v>
      </c>
      <c r="N1176" s="7">
        <v>2103.0</v>
      </c>
      <c r="O1176" s="7" t="str">
        <f>VLOOKUP(N1176, products, 2, FALSE)</f>
        <v>Cereal</v>
      </c>
      <c r="P1176" s="7" t="s">
        <v>334</v>
      </c>
      <c r="Q1176" s="7">
        <v>1458.0</v>
      </c>
      <c r="R1176" s="17">
        <v>205.7</v>
      </c>
      <c r="S1176" s="17">
        <v>117.11</v>
      </c>
      <c r="U1176" s="18">
        <f t="shared" si="6"/>
        <v>299910.6</v>
      </c>
      <c r="V1176" s="18">
        <f t="shared" si="7"/>
        <v>170746.38</v>
      </c>
      <c r="W1176" s="19">
        <f t="shared" si="8"/>
        <v>129164.22</v>
      </c>
    </row>
    <row r="1177">
      <c r="A1177" s="7">
        <v>8.89125955E8</v>
      </c>
      <c r="B1177" s="12">
        <v>41786.0</v>
      </c>
      <c r="C1177" s="7">
        <f t="shared" si="1"/>
        <v>2014</v>
      </c>
      <c r="D1177" s="14" t="str">
        <f t="shared" si="2"/>
        <v>05 - May</v>
      </c>
      <c r="E1177" s="15" t="str">
        <f t="shared" si="3"/>
        <v>Tue</v>
      </c>
      <c r="F1177" s="15">
        <f t="shared" si="4"/>
        <v>2</v>
      </c>
      <c r="G1177" s="16">
        <v>41805.0</v>
      </c>
      <c r="H1177" s="14">
        <f t="shared" si="5"/>
        <v>19</v>
      </c>
      <c r="I1177" s="7" t="s">
        <v>399</v>
      </c>
      <c r="J1177" s="7" t="s">
        <v>67</v>
      </c>
      <c r="K1177" s="7" t="str">
        <f>VLOOKUP(J1177,countries,2,false)</f>
        <v>Andorra</v>
      </c>
      <c r="L1177" s="7" t="str">
        <f>VLOOKUP($J1177,countries,5,false)</f>
        <v>Europe</v>
      </c>
      <c r="M1177" s="7" t="str">
        <f>VLOOKUP($J1177,countries,6,false)</f>
        <v>Southern Europe</v>
      </c>
      <c r="N1177" s="7">
        <v>4594.0</v>
      </c>
      <c r="O1177" s="7" t="str">
        <f>VLOOKUP(N1177, products, 2, FALSE)</f>
        <v>Fruits</v>
      </c>
      <c r="P1177" s="7" t="s">
        <v>334</v>
      </c>
      <c r="Q1177" s="7">
        <v>983.0</v>
      </c>
      <c r="R1177" s="17">
        <v>9.33</v>
      </c>
      <c r="S1177" s="17">
        <v>6.92</v>
      </c>
      <c r="U1177" s="18">
        <f t="shared" si="6"/>
        <v>9171.39</v>
      </c>
      <c r="V1177" s="18">
        <f t="shared" si="7"/>
        <v>6802.36</v>
      </c>
      <c r="W1177" s="19">
        <f t="shared" si="8"/>
        <v>2369.03</v>
      </c>
    </row>
    <row r="1178">
      <c r="A1178" s="7">
        <v>8.91681563E8</v>
      </c>
      <c r="B1178" s="12">
        <v>40969.0</v>
      </c>
      <c r="C1178" s="7">
        <f t="shared" si="1"/>
        <v>2012</v>
      </c>
      <c r="D1178" s="14" t="str">
        <f t="shared" si="2"/>
        <v>03 - Mar</v>
      </c>
      <c r="E1178" s="15" t="str">
        <f t="shared" si="3"/>
        <v>Thu</v>
      </c>
      <c r="F1178" s="15">
        <f t="shared" si="4"/>
        <v>4</v>
      </c>
      <c r="G1178" s="16">
        <v>40995.0</v>
      </c>
      <c r="H1178" s="14">
        <f t="shared" si="5"/>
        <v>26</v>
      </c>
      <c r="I1178" s="7" t="s">
        <v>232</v>
      </c>
      <c r="J1178" s="7" t="s">
        <v>146</v>
      </c>
      <c r="K1178" s="7" t="str">
        <f>VLOOKUP(J1178,countries,2,false)</f>
        <v>Bosnia and Herzegovina</v>
      </c>
      <c r="L1178" s="7" t="str">
        <f>VLOOKUP($J1178,countries,5,false)</f>
        <v>Europe</v>
      </c>
      <c r="M1178" s="7" t="str">
        <f>VLOOKUP($J1178,countries,6,false)</f>
        <v>Southern Europe</v>
      </c>
      <c r="N1178" s="7">
        <v>7940.0</v>
      </c>
      <c r="O1178" s="7" t="str">
        <f>VLOOKUP(N1178, products, 2, FALSE)</f>
        <v>Household</v>
      </c>
      <c r="P1178" s="7" t="s">
        <v>334</v>
      </c>
      <c r="Q1178" s="7">
        <v>7245.0</v>
      </c>
      <c r="R1178" s="17">
        <v>668.27</v>
      </c>
      <c r="S1178" s="17">
        <v>502.54</v>
      </c>
      <c r="U1178" s="18">
        <f t="shared" si="6"/>
        <v>4841616.15</v>
      </c>
      <c r="V1178" s="18">
        <f t="shared" si="7"/>
        <v>3640902.3</v>
      </c>
      <c r="W1178" s="19">
        <f t="shared" si="8"/>
        <v>1200713.85</v>
      </c>
    </row>
    <row r="1179">
      <c r="A1179" s="7">
        <v>8.91808593E8</v>
      </c>
      <c r="B1179" s="12">
        <v>41059.0</v>
      </c>
      <c r="C1179" s="7">
        <f t="shared" si="1"/>
        <v>2012</v>
      </c>
      <c r="D1179" s="14" t="str">
        <f t="shared" si="2"/>
        <v>05 - May</v>
      </c>
      <c r="E1179" s="15" t="str">
        <f t="shared" si="3"/>
        <v>Wed</v>
      </c>
      <c r="F1179" s="15">
        <f t="shared" si="4"/>
        <v>3</v>
      </c>
      <c r="G1179" s="16">
        <v>41071.0</v>
      </c>
      <c r="H1179" s="14">
        <f t="shared" si="5"/>
        <v>12</v>
      </c>
      <c r="I1179" s="7" t="s">
        <v>399</v>
      </c>
      <c r="J1179" s="7" t="s">
        <v>435</v>
      </c>
      <c r="K1179" s="7" t="str">
        <f>VLOOKUP(J1179,countries,2,false)</f>
        <v>Slovakia</v>
      </c>
      <c r="L1179" s="7" t="str">
        <f>VLOOKUP($J1179,countries,5,false)</f>
        <v>Europe</v>
      </c>
      <c r="M1179" s="7" t="str">
        <f>VLOOKUP($J1179,countries,6,false)</f>
        <v>Eastern Europe</v>
      </c>
      <c r="N1179" s="7">
        <v>7331.0</v>
      </c>
      <c r="O1179" s="7" t="str">
        <f>VLOOKUP(N1179, products, 2, FALSE)</f>
        <v>Baby Food</v>
      </c>
      <c r="P1179" s="7" t="s">
        <v>334</v>
      </c>
      <c r="Q1179" s="7">
        <v>4835.0</v>
      </c>
      <c r="R1179" s="17">
        <v>255.28</v>
      </c>
      <c r="S1179" s="17">
        <v>159.42</v>
      </c>
      <c r="U1179" s="18">
        <f t="shared" si="6"/>
        <v>1234278.8</v>
      </c>
      <c r="V1179" s="18">
        <f t="shared" si="7"/>
        <v>770795.7</v>
      </c>
      <c r="W1179" s="19">
        <f t="shared" si="8"/>
        <v>463483.1</v>
      </c>
    </row>
    <row r="1180">
      <c r="A1180" s="7">
        <v>8.92042911E8</v>
      </c>
      <c r="B1180" s="12">
        <v>40646.0</v>
      </c>
      <c r="C1180" s="7">
        <f t="shared" si="1"/>
        <v>2011</v>
      </c>
      <c r="D1180" s="14" t="str">
        <f t="shared" si="2"/>
        <v>04 - Apr</v>
      </c>
      <c r="E1180" s="15" t="str">
        <f t="shared" si="3"/>
        <v>Wed</v>
      </c>
      <c r="F1180" s="15">
        <f t="shared" si="4"/>
        <v>3</v>
      </c>
      <c r="G1180" s="16">
        <v>40675.0</v>
      </c>
      <c r="H1180" s="14">
        <f t="shared" si="5"/>
        <v>29</v>
      </c>
      <c r="I1180" s="7" t="s">
        <v>399</v>
      </c>
      <c r="J1180" s="7" t="s">
        <v>608</v>
      </c>
      <c r="K1180" s="7" t="str">
        <f>VLOOKUP(J1180,countries,2,false)</f>
        <v>Poland</v>
      </c>
      <c r="L1180" s="7" t="str">
        <f>VLOOKUP($J1180,countries,5,false)</f>
        <v>Europe</v>
      </c>
      <c r="M1180" s="7" t="str">
        <f>VLOOKUP($J1180,countries,6,false)</f>
        <v>Eastern Europe</v>
      </c>
      <c r="N1180" s="7">
        <v>8293.0</v>
      </c>
      <c r="O1180" s="7" t="str">
        <f>VLOOKUP(N1180, products, 2, FALSE)</f>
        <v>Cosmetics</v>
      </c>
      <c r="P1180" s="7" t="s">
        <v>334</v>
      </c>
      <c r="Q1180" s="7">
        <v>4175.0</v>
      </c>
      <c r="R1180" s="17">
        <v>437.2</v>
      </c>
      <c r="S1180" s="17">
        <v>263.33</v>
      </c>
      <c r="U1180" s="18">
        <f t="shared" si="6"/>
        <v>1825310</v>
      </c>
      <c r="V1180" s="18">
        <f t="shared" si="7"/>
        <v>1099402.75</v>
      </c>
      <c r="W1180" s="19">
        <f t="shared" si="8"/>
        <v>725907.25</v>
      </c>
    </row>
    <row r="1181">
      <c r="A1181" s="7">
        <v>8.94589078E8</v>
      </c>
      <c r="B1181" s="12">
        <v>41709.0</v>
      </c>
      <c r="C1181" s="7">
        <f t="shared" si="1"/>
        <v>2014</v>
      </c>
      <c r="D1181" s="14" t="str">
        <f t="shared" si="2"/>
        <v>03 - Mar</v>
      </c>
      <c r="E1181" s="15" t="str">
        <f t="shared" si="3"/>
        <v>Tue</v>
      </c>
      <c r="F1181" s="15">
        <f t="shared" si="4"/>
        <v>2</v>
      </c>
      <c r="G1181" s="16">
        <v>41739.0</v>
      </c>
      <c r="H1181" s="14">
        <f t="shared" si="5"/>
        <v>30</v>
      </c>
      <c r="I1181" s="7" t="s">
        <v>232</v>
      </c>
      <c r="J1181" s="7" t="s">
        <v>489</v>
      </c>
      <c r="K1181" s="7" t="str">
        <f>VLOOKUP(J1181,countries,2,false)</f>
        <v>Malta</v>
      </c>
      <c r="L1181" s="7" t="str">
        <f>VLOOKUP($J1181,countries,5,false)</f>
        <v>Europe</v>
      </c>
      <c r="M1181" s="7" t="str">
        <f>VLOOKUP($J1181,countries,6,false)</f>
        <v>Southern Europe</v>
      </c>
      <c r="N1181" s="7">
        <v>5988.0</v>
      </c>
      <c r="O1181" s="7" t="str">
        <f>VLOOKUP(N1181, products, 2, FALSE)</f>
        <v>Vegetables</v>
      </c>
      <c r="P1181" s="7" t="s">
        <v>264</v>
      </c>
      <c r="Q1181" s="7">
        <v>7643.0</v>
      </c>
      <c r="R1181" s="17">
        <v>154.06</v>
      </c>
      <c r="S1181" s="17">
        <v>90.93</v>
      </c>
      <c r="U1181" s="18">
        <f t="shared" si="6"/>
        <v>1177480.58</v>
      </c>
      <c r="V1181" s="18">
        <f t="shared" si="7"/>
        <v>694977.99</v>
      </c>
      <c r="W1181" s="19">
        <f t="shared" si="8"/>
        <v>482502.59</v>
      </c>
    </row>
    <row r="1182">
      <c r="A1182" s="7">
        <v>8.97317206E8</v>
      </c>
      <c r="B1182" s="12">
        <v>42229.0</v>
      </c>
      <c r="C1182" s="7">
        <f t="shared" si="1"/>
        <v>2015</v>
      </c>
      <c r="D1182" s="14" t="str">
        <f t="shared" si="2"/>
        <v>08 - Aug</v>
      </c>
      <c r="E1182" s="15" t="str">
        <f t="shared" si="3"/>
        <v>Thu</v>
      </c>
      <c r="F1182" s="15">
        <f t="shared" si="4"/>
        <v>4</v>
      </c>
      <c r="G1182" s="16">
        <v>42248.0</v>
      </c>
      <c r="H1182" s="14">
        <f t="shared" si="5"/>
        <v>19</v>
      </c>
      <c r="I1182" s="7" t="s">
        <v>399</v>
      </c>
      <c r="J1182" s="7" t="s">
        <v>406</v>
      </c>
      <c r="K1182" s="7" t="str">
        <f>VLOOKUP(J1182,countries,2,false)</f>
        <v>Italy</v>
      </c>
      <c r="L1182" s="7" t="str">
        <f>VLOOKUP($J1182,countries,5,false)</f>
        <v>Europe</v>
      </c>
      <c r="M1182" s="7" t="str">
        <f>VLOOKUP($J1182,countries,6,false)</f>
        <v>Southern Europe</v>
      </c>
      <c r="N1182" s="7">
        <v>1270.0</v>
      </c>
      <c r="O1182" s="7" t="str">
        <f>VLOOKUP(N1182, products, 2, FALSE)</f>
        <v>Beverages</v>
      </c>
      <c r="P1182" s="7" t="s">
        <v>264</v>
      </c>
      <c r="Q1182" s="7">
        <v>4957.0</v>
      </c>
      <c r="R1182" s="17">
        <v>47.45</v>
      </c>
      <c r="S1182" s="17">
        <v>31.79</v>
      </c>
      <c r="U1182" s="18">
        <f t="shared" si="6"/>
        <v>235209.65</v>
      </c>
      <c r="V1182" s="18">
        <f t="shared" si="7"/>
        <v>157583.03</v>
      </c>
      <c r="W1182" s="19">
        <f t="shared" si="8"/>
        <v>77626.62</v>
      </c>
    </row>
    <row r="1183">
      <c r="A1183" s="7">
        <v>8.97638213E8</v>
      </c>
      <c r="B1183" s="12">
        <v>41896.0</v>
      </c>
      <c r="C1183" s="7">
        <f t="shared" si="1"/>
        <v>2014</v>
      </c>
      <c r="D1183" s="14" t="str">
        <f t="shared" si="2"/>
        <v>09 - Sep</v>
      </c>
      <c r="E1183" s="15" t="str">
        <f t="shared" si="3"/>
        <v>Sun</v>
      </c>
      <c r="F1183" s="15">
        <f t="shared" si="4"/>
        <v>7</v>
      </c>
      <c r="G1183" s="16">
        <v>41920.0</v>
      </c>
      <c r="H1183" s="14">
        <f t="shared" si="5"/>
        <v>24</v>
      </c>
      <c r="I1183" s="7" t="s">
        <v>232</v>
      </c>
      <c r="J1183" s="7" t="s">
        <v>611</v>
      </c>
      <c r="K1183" s="7" t="str">
        <f>VLOOKUP(J1183,countries,2,false)</f>
        <v>Portugal</v>
      </c>
      <c r="L1183" s="7" t="str">
        <f>VLOOKUP($J1183,countries,5,false)</f>
        <v>Europe</v>
      </c>
      <c r="M1183" s="7" t="str">
        <f>VLOOKUP($J1183,countries,6,false)</f>
        <v>Southern Europe</v>
      </c>
      <c r="N1183" s="7">
        <v>2103.0</v>
      </c>
      <c r="O1183" s="7" t="str">
        <f>VLOOKUP(N1183, products, 2, FALSE)</f>
        <v>Cereal</v>
      </c>
      <c r="P1183" s="7" t="s">
        <v>334</v>
      </c>
      <c r="Q1183" s="7">
        <v>9950.0</v>
      </c>
      <c r="R1183" s="17">
        <v>205.7</v>
      </c>
      <c r="S1183" s="17">
        <v>117.11</v>
      </c>
      <c r="U1183" s="18">
        <f t="shared" si="6"/>
        <v>2046715</v>
      </c>
      <c r="V1183" s="18">
        <f t="shared" si="7"/>
        <v>1165244.5</v>
      </c>
      <c r="W1183" s="19">
        <f t="shared" si="8"/>
        <v>881470.5</v>
      </c>
    </row>
    <row r="1184">
      <c r="A1184" s="7">
        <v>8.97785842E8</v>
      </c>
      <c r="B1184" s="12">
        <v>41402.0</v>
      </c>
      <c r="C1184" s="7">
        <f t="shared" si="1"/>
        <v>2013</v>
      </c>
      <c r="D1184" s="14" t="str">
        <f t="shared" si="2"/>
        <v>05 - May</v>
      </c>
      <c r="E1184" s="15" t="str">
        <f t="shared" si="3"/>
        <v>Wed</v>
      </c>
      <c r="F1184" s="15">
        <f t="shared" si="4"/>
        <v>3</v>
      </c>
      <c r="G1184" s="16">
        <v>41406.0</v>
      </c>
      <c r="H1184" s="14">
        <f t="shared" si="5"/>
        <v>4</v>
      </c>
      <c r="I1184" s="7" t="s">
        <v>364</v>
      </c>
      <c r="J1184" s="7" t="s">
        <v>240</v>
      </c>
      <c r="K1184" s="7" t="str">
        <f>VLOOKUP(J1184,countries,2,false)</f>
        <v>Cyprus</v>
      </c>
      <c r="L1184" s="7" t="str">
        <f>VLOOKUP($J1184,countries,5,false)</f>
        <v>Asia</v>
      </c>
      <c r="M1184" s="7" t="str">
        <f>VLOOKUP($J1184,countries,6,false)</f>
        <v>Western Asia</v>
      </c>
      <c r="N1184" s="7">
        <v>8681.0</v>
      </c>
      <c r="O1184" s="7" t="str">
        <f>VLOOKUP(N1184, products, 2, FALSE)</f>
        <v>Office Supplies</v>
      </c>
      <c r="P1184" s="7" t="s">
        <v>334</v>
      </c>
      <c r="Q1184" s="7">
        <v>3636.0</v>
      </c>
      <c r="R1184" s="17">
        <v>651.21</v>
      </c>
      <c r="S1184" s="17">
        <v>524.96</v>
      </c>
      <c r="U1184" s="18">
        <f t="shared" si="6"/>
        <v>2367799.56</v>
      </c>
      <c r="V1184" s="18">
        <f t="shared" si="7"/>
        <v>1908754.56</v>
      </c>
      <c r="W1184" s="19">
        <f t="shared" si="8"/>
        <v>459045</v>
      </c>
    </row>
    <row r="1185">
      <c r="A1185" s="7">
        <v>8.98211562E8</v>
      </c>
      <c r="B1185" s="12">
        <v>41330.0</v>
      </c>
      <c r="C1185" s="7">
        <f t="shared" si="1"/>
        <v>2013</v>
      </c>
      <c r="D1185" s="14" t="str">
        <f t="shared" si="2"/>
        <v>02 - Feb</v>
      </c>
      <c r="E1185" s="15" t="str">
        <f t="shared" si="3"/>
        <v>Mon</v>
      </c>
      <c r="F1185" s="15">
        <f t="shared" si="4"/>
        <v>1</v>
      </c>
      <c r="G1185" s="16">
        <v>41345.0</v>
      </c>
      <c r="H1185" s="14">
        <f t="shared" si="5"/>
        <v>15</v>
      </c>
      <c r="I1185" s="7" t="s">
        <v>364</v>
      </c>
      <c r="J1185" s="7" t="s">
        <v>274</v>
      </c>
      <c r="K1185" s="7" t="str">
        <f>VLOOKUP(J1185,countries,2,false)</f>
        <v>Estonia</v>
      </c>
      <c r="L1185" s="7" t="str">
        <f>VLOOKUP($J1185,countries,5,false)</f>
        <v>Europe</v>
      </c>
      <c r="M1185" s="7" t="str">
        <f>VLOOKUP($J1185,countries,6,false)</f>
        <v>Northern Europe</v>
      </c>
      <c r="N1185" s="7">
        <v>4594.0</v>
      </c>
      <c r="O1185" s="7" t="str">
        <f>VLOOKUP(N1185, products, 2, FALSE)</f>
        <v>Fruits</v>
      </c>
      <c r="P1185" s="7" t="s">
        <v>334</v>
      </c>
      <c r="Q1185" s="7">
        <v>9616.0</v>
      </c>
      <c r="R1185" s="17">
        <v>9.33</v>
      </c>
      <c r="S1185" s="17">
        <v>6.92</v>
      </c>
      <c r="U1185" s="18">
        <f t="shared" si="6"/>
        <v>89717.28</v>
      </c>
      <c r="V1185" s="18">
        <f t="shared" si="7"/>
        <v>66542.72</v>
      </c>
      <c r="W1185" s="19">
        <f t="shared" si="8"/>
        <v>23174.56</v>
      </c>
    </row>
    <row r="1186">
      <c r="A1186" s="7">
        <v>8.99868094E8</v>
      </c>
      <c r="B1186" s="12">
        <v>40970.0</v>
      </c>
      <c r="C1186" s="7">
        <f t="shared" si="1"/>
        <v>2012</v>
      </c>
      <c r="D1186" s="14" t="str">
        <f t="shared" si="2"/>
        <v>03 - Mar</v>
      </c>
      <c r="E1186" s="15" t="str">
        <f t="shared" si="3"/>
        <v>Fri</v>
      </c>
      <c r="F1186" s="15">
        <f t="shared" si="4"/>
        <v>5</v>
      </c>
      <c r="G1186" s="16">
        <v>40994.0</v>
      </c>
      <c r="H1186" s="14">
        <f t="shared" si="5"/>
        <v>24</v>
      </c>
      <c r="I1186" s="7" t="s">
        <v>305</v>
      </c>
      <c r="J1186" s="7" t="s">
        <v>348</v>
      </c>
      <c r="K1186" s="7" t="s">
        <v>348</v>
      </c>
      <c r="L1186" s="7" t="s">
        <v>348</v>
      </c>
      <c r="M1186" s="7" t="s">
        <v>348</v>
      </c>
      <c r="N1186" s="7">
        <v>4594.0</v>
      </c>
      <c r="O1186" s="7" t="str">
        <f>VLOOKUP(N1186, products, 2, FALSE)</f>
        <v>Fruits</v>
      </c>
      <c r="P1186" s="7" t="s">
        <v>264</v>
      </c>
      <c r="Q1186" s="7">
        <v>9821.0</v>
      </c>
      <c r="R1186" s="17">
        <v>9.33</v>
      </c>
      <c r="S1186" s="17">
        <v>6.92</v>
      </c>
      <c r="U1186" s="18">
        <f t="shared" si="6"/>
        <v>91629.93</v>
      </c>
      <c r="V1186" s="18">
        <f t="shared" si="7"/>
        <v>67961.32</v>
      </c>
      <c r="W1186" s="19">
        <f t="shared" si="8"/>
        <v>23668.61</v>
      </c>
    </row>
    <row r="1187">
      <c r="A1187" s="7">
        <v>9.00808799E8</v>
      </c>
      <c r="B1187" s="12">
        <v>42906.0</v>
      </c>
      <c r="C1187" s="7">
        <f t="shared" si="1"/>
        <v>2017</v>
      </c>
      <c r="D1187" s="14" t="str">
        <f t="shared" si="2"/>
        <v>06 - Jun</v>
      </c>
      <c r="E1187" s="15" t="str">
        <f t="shared" si="3"/>
        <v>Tue</v>
      </c>
      <c r="F1187" s="15">
        <f t="shared" si="4"/>
        <v>2</v>
      </c>
      <c r="G1187" s="16">
        <v>42914.0</v>
      </c>
      <c r="H1187" s="14">
        <f t="shared" si="5"/>
        <v>8</v>
      </c>
      <c r="I1187" s="7" t="s">
        <v>305</v>
      </c>
      <c r="J1187" s="7" t="s">
        <v>328</v>
      </c>
      <c r="K1187" s="7" t="str">
        <f>VLOOKUP(J1187,countries,2,false)</f>
        <v>Greece</v>
      </c>
      <c r="L1187" s="7" t="str">
        <f>VLOOKUP($J1187,countries,5,false)</f>
        <v>Europe</v>
      </c>
      <c r="M1187" s="7" t="str">
        <f>VLOOKUP($J1187,countries,6,false)</f>
        <v>Southern Europe</v>
      </c>
      <c r="N1187" s="7">
        <v>8293.0</v>
      </c>
      <c r="O1187" s="7" t="str">
        <f>VLOOKUP(N1187, products, 2, FALSE)</f>
        <v>Cosmetics</v>
      </c>
      <c r="P1187" s="7" t="s">
        <v>264</v>
      </c>
      <c r="Q1187" s="7">
        <v>8196.0</v>
      </c>
      <c r="R1187" s="17">
        <v>437.2</v>
      </c>
      <c r="S1187" s="17">
        <v>263.33</v>
      </c>
      <c r="U1187" s="18">
        <f t="shared" si="6"/>
        <v>3583291.2</v>
      </c>
      <c r="V1187" s="18">
        <f t="shared" si="7"/>
        <v>2158252.68</v>
      </c>
      <c r="W1187" s="19">
        <f t="shared" si="8"/>
        <v>1425038.52</v>
      </c>
    </row>
    <row r="1188">
      <c r="A1188" s="7">
        <v>9.01670968E8</v>
      </c>
      <c r="B1188" s="12">
        <v>40498.0</v>
      </c>
      <c r="C1188" s="7">
        <f t="shared" si="1"/>
        <v>2010</v>
      </c>
      <c r="D1188" s="14" t="str">
        <f t="shared" si="2"/>
        <v>11 - Nov</v>
      </c>
      <c r="E1188" s="15" t="str">
        <f t="shared" si="3"/>
        <v>Tue</v>
      </c>
      <c r="F1188" s="15">
        <f t="shared" si="4"/>
        <v>2</v>
      </c>
      <c r="G1188" s="16">
        <v>40523.0</v>
      </c>
      <c r="H1188" s="14">
        <f t="shared" si="5"/>
        <v>25</v>
      </c>
      <c r="I1188" s="7" t="s">
        <v>305</v>
      </c>
      <c r="J1188" s="7" t="s">
        <v>396</v>
      </c>
      <c r="K1188" s="7" t="str">
        <f>VLOOKUP(J1188,countries,2,false)</f>
        <v>Ireland</v>
      </c>
      <c r="L1188" s="7" t="str">
        <f>VLOOKUP($J1188,countries,5,false)</f>
        <v>Europe</v>
      </c>
      <c r="M1188" s="7" t="str">
        <f>VLOOKUP($J1188,countries,6,false)</f>
        <v>Northern Europe</v>
      </c>
      <c r="N1188" s="7">
        <v>5988.0</v>
      </c>
      <c r="O1188" s="7" t="str">
        <f>VLOOKUP(N1188, products, 2, FALSE)</f>
        <v>Vegetables</v>
      </c>
      <c r="P1188" s="7" t="s">
        <v>334</v>
      </c>
      <c r="Q1188" s="7">
        <v>3331.0</v>
      </c>
      <c r="R1188" s="17">
        <v>154.06</v>
      </c>
      <c r="S1188" s="17">
        <v>90.93</v>
      </c>
      <c r="U1188" s="18">
        <f t="shared" si="6"/>
        <v>513173.86</v>
      </c>
      <c r="V1188" s="18">
        <f t="shared" si="7"/>
        <v>302887.83</v>
      </c>
      <c r="W1188" s="19">
        <f t="shared" si="8"/>
        <v>210286.03</v>
      </c>
    </row>
    <row r="1189">
      <c r="A1189" s="7">
        <v>9.01789844E8</v>
      </c>
      <c r="B1189" s="12">
        <v>42087.0</v>
      </c>
      <c r="C1189" s="7">
        <f t="shared" si="1"/>
        <v>2015</v>
      </c>
      <c r="D1189" s="14" t="str">
        <f t="shared" si="2"/>
        <v>03 - Mar</v>
      </c>
      <c r="E1189" s="15" t="str">
        <f t="shared" si="3"/>
        <v>Tue</v>
      </c>
      <c r="F1189" s="15">
        <f t="shared" si="4"/>
        <v>2</v>
      </c>
      <c r="G1189" s="16">
        <v>42129.0</v>
      </c>
      <c r="H1189" s="14">
        <f t="shared" si="5"/>
        <v>42</v>
      </c>
      <c r="I1189" s="7" t="s">
        <v>399</v>
      </c>
      <c r="J1189" s="7" t="s">
        <v>489</v>
      </c>
      <c r="K1189" s="7" t="str">
        <f>VLOOKUP(J1189,countries,2,false)</f>
        <v>Malta</v>
      </c>
      <c r="L1189" s="7" t="str">
        <f>VLOOKUP($J1189,countries,5,false)</f>
        <v>Europe</v>
      </c>
      <c r="M1189" s="7" t="str">
        <f>VLOOKUP($J1189,countries,6,false)</f>
        <v>Southern Europe</v>
      </c>
      <c r="N1189" s="7">
        <v>8875.0</v>
      </c>
      <c r="O1189" s="7" t="str">
        <f>VLOOKUP(N1189, products, 2, FALSE)</f>
        <v>Meat</v>
      </c>
      <c r="P1189" s="7" t="s">
        <v>264</v>
      </c>
      <c r="Q1189" s="7">
        <v>8509.0</v>
      </c>
      <c r="R1189" s="17">
        <v>421.89</v>
      </c>
      <c r="S1189" s="17">
        <v>364.69</v>
      </c>
      <c r="U1189" s="18">
        <f t="shared" si="6"/>
        <v>3589862.01</v>
      </c>
      <c r="V1189" s="18">
        <f t="shared" si="7"/>
        <v>3103147.21</v>
      </c>
      <c r="W1189" s="19">
        <f t="shared" si="8"/>
        <v>486714.8</v>
      </c>
    </row>
    <row r="1190">
      <c r="A1190" s="7">
        <v>9.04589211E8</v>
      </c>
      <c r="B1190" s="12">
        <v>41742.0</v>
      </c>
      <c r="C1190" s="7">
        <f t="shared" si="1"/>
        <v>2014</v>
      </c>
      <c r="D1190" s="14" t="str">
        <f t="shared" si="2"/>
        <v>04 - Apr</v>
      </c>
      <c r="E1190" s="15" t="str">
        <f t="shared" si="3"/>
        <v>Sun</v>
      </c>
      <c r="F1190" s="15">
        <f t="shared" si="4"/>
        <v>7</v>
      </c>
      <c r="G1190" s="16">
        <v>41763.0</v>
      </c>
      <c r="H1190" s="14">
        <f t="shared" si="5"/>
        <v>21</v>
      </c>
      <c r="I1190" s="7" t="s">
        <v>399</v>
      </c>
      <c r="J1190" s="7" t="s">
        <v>656</v>
      </c>
      <c r="K1190" s="7" t="str">
        <f>VLOOKUP(J1190,countries,2,false)</f>
        <v>San Marino</v>
      </c>
      <c r="L1190" s="7" t="str">
        <f>VLOOKUP($J1190,countries,5,false)</f>
        <v>Europe</v>
      </c>
      <c r="M1190" s="7" t="str">
        <f>VLOOKUP($J1190,countries,6,false)</f>
        <v>Southern Europe</v>
      </c>
      <c r="N1190" s="7">
        <v>8681.0</v>
      </c>
      <c r="O1190" s="7" t="str">
        <f>VLOOKUP(N1190, products, 2, FALSE)</f>
        <v>Office Supplies</v>
      </c>
      <c r="P1190" s="7" t="s">
        <v>264</v>
      </c>
      <c r="Q1190" s="7">
        <v>6905.0</v>
      </c>
      <c r="R1190" s="17">
        <v>651.21</v>
      </c>
      <c r="S1190" s="17">
        <v>524.96</v>
      </c>
      <c r="U1190" s="18">
        <f t="shared" si="6"/>
        <v>4496605.05</v>
      </c>
      <c r="V1190" s="18">
        <f t="shared" si="7"/>
        <v>3624848.8</v>
      </c>
      <c r="W1190" s="19">
        <f t="shared" si="8"/>
        <v>871756.25</v>
      </c>
    </row>
    <row r="1191">
      <c r="A1191" s="7">
        <v>9.048128E8</v>
      </c>
      <c r="B1191" s="12">
        <v>40825.0</v>
      </c>
      <c r="C1191" s="7">
        <f t="shared" si="1"/>
        <v>2011</v>
      </c>
      <c r="D1191" s="14" t="str">
        <f t="shared" si="2"/>
        <v>10 - Oct</v>
      </c>
      <c r="E1191" s="15" t="str">
        <f t="shared" si="3"/>
        <v>Sun</v>
      </c>
      <c r="F1191" s="15">
        <f t="shared" si="4"/>
        <v>7</v>
      </c>
      <c r="G1191" s="16">
        <v>40871.0</v>
      </c>
      <c r="H1191" s="14">
        <f t="shared" si="5"/>
        <v>46</v>
      </c>
      <c r="I1191" s="7" t="s">
        <v>232</v>
      </c>
      <c r="J1191" s="7" t="s">
        <v>623</v>
      </c>
      <c r="K1191" s="7" t="str">
        <f>VLOOKUP(J1191,countries,2,false)</f>
        <v>Romania</v>
      </c>
      <c r="L1191" s="7" t="str">
        <f>VLOOKUP($J1191,countries,5,false)</f>
        <v>Europe</v>
      </c>
      <c r="M1191" s="7" t="str">
        <f>VLOOKUP($J1191,countries,6,false)</f>
        <v>Eastern Europe</v>
      </c>
      <c r="N1191" s="7">
        <v>4594.0</v>
      </c>
      <c r="O1191" s="7" t="str">
        <f>VLOOKUP(N1191, products, 2, FALSE)</f>
        <v>Fruits</v>
      </c>
      <c r="P1191" s="7" t="s">
        <v>334</v>
      </c>
      <c r="Q1191" s="7">
        <v>3069.0</v>
      </c>
      <c r="R1191" s="17">
        <v>9.33</v>
      </c>
      <c r="S1191" s="17">
        <v>6.92</v>
      </c>
      <c r="U1191" s="18">
        <f t="shared" si="6"/>
        <v>28633.77</v>
      </c>
      <c r="V1191" s="18">
        <f t="shared" si="7"/>
        <v>21237.48</v>
      </c>
      <c r="W1191" s="19">
        <f t="shared" si="8"/>
        <v>7396.29</v>
      </c>
    </row>
    <row r="1192">
      <c r="A1192" s="7">
        <v>9.05036389E8</v>
      </c>
      <c r="B1192" s="12">
        <v>42675.0</v>
      </c>
      <c r="C1192" s="7">
        <f t="shared" si="1"/>
        <v>2016</v>
      </c>
      <c r="D1192" s="14" t="str">
        <f t="shared" si="2"/>
        <v>11 - Nov</v>
      </c>
      <c r="E1192" s="15" t="str">
        <f t="shared" si="3"/>
        <v>Tue</v>
      </c>
      <c r="F1192" s="15">
        <f t="shared" si="4"/>
        <v>2</v>
      </c>
      <c r="G1192" s="16">
        <v>42694.0</v>
      </c>
      <c r="H1192" s="14">
        <f t="shared" si="5"/>
        <v>19</v>
      </c>
      <c r="I1192" s="7" t="s">
        <v>364</v>
      </c>
      <c r="J1192" s="7" t="s">
        <v>608</v>
      </c>
      <c r="K1192" s="7" t="str">
        <f>VLOOKUP(J1192,countries,2,false)</f>
        <v>Poland</v>
      </c>
      <c r="L1192" s="7" t="str">
        <f>VLOOKUP($J1192,countries,5,false)</f>
        <v>Europe</v>
      </c>
      <c r="M1192" s="7" t="str">
        <f>VLOOKUP($J1192,countries,6,false)</f>
        <v>Eastern Europe</v>
      </c>
      <c r="N1192" s="7">
        <v>2103.0</v>
      </c>
      <c r="O1192" s="7" t="str">
        <f>VLOOKUP(N1192, products, 2, FALSE)</f>
        <v>Cereal</v>
      </c>
      <c r="P1192" s="7" t="s">
        <v>264</v>
      </c>
      <c r="Q1192" s="7">
        <v>9234.0</v>
      </c>
      <c r="R1192" s="17">
        <v>205.7</v>
      </c>
      <c r="S1192" s="17">
        <v>117.11</v>
      </c>
      <c r="U1192" s="18">
        <f t="shared" si="6"/>
        <v>1899433.8</v>
      </c>
      <c r="V1192" s="18">
        <f t="shared" si="7"/>
        <v>1081393.74</v>
      </c>
      <c r="W1192" s="19">
        <f t="shared" si="8"/>
        <v>818040.06</v>
      </c>
    </row>
    <row r="1193">
      <c r="A1193" s="7">
        <v>9.05509746E8</v>
      </c>
      <c r="B1193" s="12">
        <v>42290.0</v>
      </c>
      <c r="C1193" s="7">
        <f t="shared" si="1"/>
        <v>2015</v>
      </c>
      <c r="D1193" s="14" t="str">
        <f t="shared" si="2"/>
        <v>10 - Oct</v>
      </c>
      <c r="E1193" s="15" t="str">
        <f t="shared" si="3"/>
        <v>Tue</v>
      </c>
      <c r="F1193" s="15">
        <f t="shared" si="4"/>
        <v>2</v>
      </c>
      <c r="G1193" s="16">
        <v>42297.0</v>
      </c>
      <c r="H1193" s="14">
        <f t="shared" si="5"/>
        <v>7</v>
      </c>
      <c r="I1193" s="7" t="s">
        <v>364</v>
      </c>
      <c r="J1193" s="7" t="s">
        <v>570</v>
      </c>
      <c r="K1193" s="7" t="str">
        <f>VLOOKUP(J1193,countries,2,false)</f>
        <v>Macedonia</v>
      </c>
      <c r="L1193" s="7" t="str">
        <f>VLOOKUP($J1193,countries,5,false)</f>
        <v>Europe</v>
      </c>
      <c r="M1193" s="7" t="str">
        <f>VLOOKUP($J1193,countries,6,false)</f>
        <v>Southern Europe</v>
      </c>
      <c r="N1193" s="7">
        <v>7940.0</v>
      </c>
      <c r="O1193" s="7" t="str">
        <f>VLOOKUP(N1193, products, 2, FALSE)</f>
        <v>Household</v>
      </c>
      <c r="P1193" s="7" t="s">
        <v>334</v>
      </c>
      <c r="Q1193" s="7">
        <v>9311.0</v>
      </c>
      <c r="R1193" s="17">
        <v>668.27</v>
      </c>
      <c r="S1193" s="17">
        <v>502.54</v>
      </c>
      <c r="U1193" s="18">
        <f t="shared" si="6"/>
        <v>6222261.97</v>
      </c>
      <c r="V1193" s="18">
        <f t="shared" si="7"/>
        <v>4679149.94</v>
      </c>
      <c r="W1193" s="19">
        <f t="shared" si="8"/>
        <v>1543112.03</v>
      </c>
    </row>
    <row r="1194">
      <c r="A1194" s="7">
        <v>9.05947482E8</v>
      </c>
      <c r="B1194" s="12">
        <v>42338.0</v>
      </c>
      <c r="C1194" s="7">
        <f t="shared" si="1"/>
        <v>2015</v>
      </c>
      <c r="D1194" s="14" t="str">
        <f t="shared" si="2"/>
        <v>11 - Nov</v>
      </c>
      <c r="E1194" s="15" t="str">
        <f t="shared" si="3"/>
        <v>Mon</v>
      </c>
      <c r="F1194" s="15">
        <f t="shared" si="4"/>
        <v>1</v>
      </c>
      <c r="G1194" s="16">
        <v>42387.0</v>
      </c>
      <c r="H1194" s="14">
        <f t="shared" si="5"/>
        <v>49</v>
      </c>
      <c r="I1194" s="7" t="s">
        <v>305</v>
      </c>
      <c r="J1194" s="7" t="s">
        <v>246</v>
      </c>
      <c r="K1194" s="7" t="str">
        <f>VLOOKUP(J1194,countries,2,false)</f>
        <v>Denmark</v>
      </c>
      <c r="L1194" s="7" t="str">
        <f>VLOOKUP($J1194,countries,5,false)</f>
        <v>Europe</v>
      </c>
      <c r="M1194" s="7" t="str">
        <f>VLOOKUP($J1194,countries,6,false)</f>
        <v>Northern Europe</v>
      </c>
      <c r="N1194" s="7">
        <v>2103.0</v>
      </c>
      <c r="O1194" s="7" t="str">
        <f>VLOOKUP(N1194, products, 2, FALSE)</f>
        <v>Cereal</v>
      </c>
      <c r="P1194" s="7" t="s">
        <v>264</v>
      </c>
      <c r="Q1194" s="7">
        <v>8847.0</v>
      </c>
      <c r="R1194" s="17">
        <v>205.7</v>
      </c>
      <c r="S1194" s="17">
        <v>117.11</v>
      </c>
      <c r="U1194" s="18">
        <f t="shared" si="6"/>
        <v>1819827.9</v>
      </c>
      <c r="V1194" s="18">
        <f t="shared" si="7"/>
        <v>1036072.17</v>
      </c>
      <c r="W1194" s="19">
        <f t="shared" si="8"/>
        <v>783755.73</v>
      </c>
    </row>
    <row r="1195">
      <c r="A1195" s="7">
        <v>9.06345736E8</v>
      </c>
      <c r="B1195" s="12">
        <v>41200.0</v>
      </c>
      <c r="C1195" s="7">
        <f t="shared" si="1"/>
        <v>2012</v>
      </c>
      <c r="D1195" s="14" t="str">
        <f t="shared" si="2"/>
        <v>10 - Oct</v>
      </c>
      <c r="E1195" s="15" t="str">
        <f t="shared" si="3"/>
        <v>Thu</v>
      </c>
      <c r="F1195" s="15">
        <f t="shared" si="4"/>
        <v>4</v>
      </c>
      <c r="G1195" s="16">
        <v>41234.0</v>
      </c>
      <c r="H1195" s="14">
        <f t="shared" si="5"/>
        <v>34</v>
      </c>
      <c r="I1195" s="7" t="s">
        <v>305</v>
      </c>
      <c r="J1195" s="7" t="s">
        <v>546</v>
      </c>
      <c r="K1195" s="7" t="str">
        <f>VLOOKUP(J1195,countries,2,false)</f>
        <v>Netherlands</v>
      </c>
      <c r="L1195" s="7" t="str">
        <f>VLOOKUP($J1195,countries,5,false)</f>
        <v>Europe</v>
      </c>
      <c r="M1195" s="7" t="str">
        <f>VLOOKUP($J1195,countries,6,false)</f>
        <v>Western Europe</v>
      </c>
      <c r="N1195" s="7">
        <v>1270.0</v>
      </c>
      <c r="O1195" s="7" t="str">
        <f>VLOOKUP(N1195, products, 2, FALSE)</f>
        <v>Beverages</v>
      </c>
      <c r="P1195" s="7" t="s">
        <v>334</v>
      </c>
      <c r="Q1195" s="7">
        <v>6699.0</v>
      </c>
      <c r="R1195" s="17">
        <v>47.45</v>
      </c>
      <c r="S1195" s="17">
        <v>31.79</v>
      </c>
      <c r="U1195" s="18">
        <f t="shared" si="6"/>
        <v>317867.55</v>
      </c>
      <c r="V1195" s="18">
        <f t="shared" si="7"/>
        <v>212961.21</v>
      </c>
      <c r="W1195" s="19">
        <f t="shared" si="8"/>
        <v>104906.34</v>
      </c>
    </row>
    <row r="1196">
      <c r="A1196" s="7">
        <v>9.06508815E8</v>
      </c>
      <c r="B1196" s="12">
        <v>41652.0</v>
      </c>
      <c r="C1196" s="7">
        <f t="shared" si="1"/>
        <v>2014</v>
      </c>
      <c r="D1196" s="14" t="str">
        <f t="shared" si="2"/>
        <v>01 - Jan</v>
      </c>
      <c r="E1196" s="15" t="str">
        <f t="shared" si="3"/>
        <v>Mon</v>
      </c>
      <c r="F1196" s="15">
        <f t="shared" si="4"/>
        <v>1</v>
      </c>
      <c r="G1196" s="16">
        <v>41662.0</v>
      </c>
      <c r="H1196" s="14">
        <f t="shared" si="5"/>
        <v>10</v>
      </c>
      <c r="I1196" s="7" t="s">
        <v>399</v>
      </c>
      <c r="J1196" s="7" t="s">
        <v>229</v>
      </c>
      <c r="K1196" s="7" t="str">
        <f>VLOOKUP(J1196,countries,2,false)</f>
        <v>Croatia</v>
      </c>
      <c r="L1196" s="7" t="str">
        <f>VLOOKUP($J1196,countries,5,false)</f>
        <v>Europe</v>
      </c>
      <c r="M1196" s="7" t="str">
        <f>VLOOKUP($J1196,countries,6,false)</f>
        <v>Southern Europe</v>
      </c>
      <c r="N1196" s="7">
        <v>2455.0</v>
      </c>
      <c r="O1196" s="7" t="str">
        <f>VLOOKUP(N1196, products, 2, FALSE)</f>
        <v>Clothes</v>
      </c>
      <c r="P1196" s="7" t="s">
        <v>264</v>
      </c>
      <c r="Q1196" s="7">
        <v>4958.0</v>
      </c>
      <c r="R1196" s="17">
        <v>109.28</v>
      </c>
      <c r="S1196" s="17">
        <v>35.84</v>
      </c>
      <c r="U1196" s="18">
        <f t="shared" si="6"/>
        <v>541810.24</v>
      </c>
      <c r="V1196" s="18">
        <f t="shared" si="7"/>
        <v>177694.72</v>
      </c>
      <c r="W1196" s="19">
        <f t="shared" si="8"/>
        <v>364115.52</v>
      </c>
    </row>
    <row r="1197">
      <c r="A1197" s="7">
        <v>9.06794202E8</v>
      </c>
      <c r="B1197" s="12">
        <v>41751.0</v>
      </c>
      <c r="C1197" s="7">
        <f t="shared" si="1"/>
        <v>2014</v>
      </c>
      <c r="D1197" s="14" t="str">
        <f t="shared" si="2"/>
        <v>04 - Apr</v>
      </c>
      <c r="E1197" s="15" t="str">
        <f t="shared" si="3"/>
        <v>Tue</v>
      </c>
      <c r="F1197" s="15">
        <f t="shared" si="4"/>
        <v>2</v>
      </c>
      <c r="G1197" s="16">
        <v>41770.0</v>
      </c>
      <c r="H1197" s="14">
        <f t="shared" si="5"/>
        <v>19</v>
      </c>
      <c r="I1197" s="7" t="s">
        <v>364</v>
      </c>
      <c r="J1197" s="7" t="s">
        <v>293</v>
      </c>
      <c r="K1197" s="7" t="str">
        <f>VLOOKUP(J1197,countries,2,false)</f>
        <v>Finland</v>
      </c>
      <c r="L1197" s="7" t="str">
        <f>VLOOKUP($J1197,countries,5,false)</f>
        <v>Europe</v>
      </c>
      <c r="M1197" s="7" t="str">
        <f>VLOOKUP($J1197,countries,6,false)</f>
        <v>Northern Europe</v>
      </c>
      <c r="N1197" s="7">
        <v>2455.0</v>
      </c>
      <c r="O1197" s="7" t="str">
        <f>VLOOKUP(N1197, products, 2, FALSE)</f>
        <v>Clothes</v>
      </c>
      <c r="P1197" s="7" t="s">
        <v>264</v>
      </c>
      <c r="Q1197" s="7">
        <v>9410.0</v>
      </c>
      <c r="R1197" s="17">
        <v>109.28</v>
      </c>
      <c r="S1197" s="17">
        <v>35.84</v>
      </c>
      <c r="U1197" s="18">
        <f t="shared" si="6"/>
        <v>1028324.8</v>
      </c>
      <c r="V1197" s="18">
        <f t="shared" si="7"/>
        <v>337254.4</v>
      </c>
      <c r="W1197" s="19">
        <f t="shared" si="8"/>
        <v>691070.4</v>
      </c>
    </row>
    <row r="1198">
      <c r="A1198" s="7">
        <v>9.07047402E8</v>
      </c>
      <c r="B1198" s="12">
        <v>40342.0</v>
      </c>
      <c r="C1198" s="7">
        <f t="shared" si="1"/>
        <v>2010</v>
      </c>
      <c r="D1198" s="14" t="str">
        <f t="shared" si="2"/>
        <v>06 - Jun</v>
      </c>
      <c r="E1198" s="15" t="str">
        <f t="shared" si="3"/>
        <v>Sun</v>
      </c>
      <c r="F1198" s="15">
        <f t="shared" si="4"/>
        <v>7</v>
      </c>
      <c r="G1198" s="16">
        <v>40391.0</v>
      </c>
      <c r="H1198" s="14">
        <f t="shared" si="5"/>
        <v>49</v>
      </c>
      <c r="I1198" s="7" t="s">
        <v>232</v>
      </c>
      <c r="J1198" s="7" t="s">
        <v>348</v>
      </c>
      <c r="K1198" s="7" t="s">
        <v>348</v>
      </c>
      <c r="L1198" s="7" t="s">
        <v>348</v>
      </c>
      <c r="M1198" s="7" t="s">
        <v>348</v>
      </c>
      <c r="N1198" s="7">
        <v>8875.0</v>
      </c>
      <c r="O1198" s="7" t="str">
        <f>VLOOKUP(N1198, products, 2, FALSE)</f>
        <v>Meat</v>
      </c>
      <c r="P1198" s="7" t="s">
        <v>264</v>
      </c>
      <c r="Q1198" s="7">
        <v>4338.0</v>
      </c>
      <c r="R1198" s="17">
        <v>421.89</v>
      </c>
      <c r="S1198" s="17">
        <v>364.69</v>
      </c>
      <c r="U1198" s="18">
        <f t="shared" si="6"/>
        <v>1830158.82</v>
      </c>
      <c r="V1198" s="18">
        <f t="shared" si="7"/>
        <v>1582025.22</v>
      </c>
      <c r="W1198" s="19">
        <f t="shared" si="8"/>
        <v>248133.6</v>
      </c>
    </row>
    <row r="1199">
      <c r="A1199" s="7">
        <v>9.07349526E8</v>
      </c>
      <c r="B1199" s="12">
        <v>41004.0</v>
      </c>
      <c r="C1199" s="7">
        <f t="shared" si="1"/>
        <v>2012</v>
      </c>
      <c r="D1199" s="14" t="str">
        <f t="shared" si="2"/>
        <v>04 - Apr</v>
      </c>
      <c r="E1199" s="15" t="str">
        <f t="shared" si="3"/>
        <v>Thu</v>
      </c>
      <c r="F1199" s="15">
        <f t="shared" si="4"/>
        <v>4</v>
      </c>
      <c r="G1199" s="16">
        <v>41045.0</v>
      </c>
      <c r="H1199" s="14">
        <f t="shared" si="5"/>
        <v>41</v>
      </c>
      <c r="I1199" s="7" t="s">
        <v>305</v>
      </c>
      <c r="J1199" s="7" t="s">
        <v>381</v>
      </c>
      <c r="K1199" s="7" t="str">
        <f>VLOOKUP(J1199,countries,2,false)</f>
        <v>Iceland</v>
      </c>
      <c r="L1199" s="7" t="str">
        <f>VLOOKUP($J1199,countries,5,false)</f>
        <v>Europe</v>
      </c>
      <c r="M1199" s="7" t="str">
        <f>VLOOKUP($J1199,countries,6,false)</f>
        <v>Northern Europe</v>
      </c>
      <c r="N1199" s="7">
        <v>8293.0</v>
      </c>
      <c r="O1199" s="7" t="str">
        <f>VLOOKUP(N1199, products, 2, FALSE)</f>
        <v>Cosmetics</v>
      </c>
      <c r="P1199" s="7" t="s">
        <v>264</v>
      </c>
      <c r="Q1199" s="7">
        <v>3743.0</v>
      </c>
      <c r="R1199" s="17">
        <v>437.2</v>
      </c>
      <c r="S1199" s="17">
        <v>263.33</v>
      </c>
      <c r="U1199" s="18">
        <f t="shared" si="6"/>
        <v>1636439.6</v>
      </c>
      <c r="V1199" s="18">
        <f t="shared" si="7"/>
        <v>985644.19</v>
      </c>
      <c r="W1199" s="19">
        <f t="shared" si="8"/>
        <v>650795.41</v>
      </c>
    </row>
    <row r="1200">
      <c r="A1200" s="7">
        <v>9.07691991E8</v>
      </c>
      <c r="B1200" s="12">
        <v>41676.0</v>
      </c>
      <c r="C1200" s="7">
        <f t="shared" si="1"/>
        <v>2014</v>
      </c>
      <c r="D1200" s="14" t="str">
        <f t="shared" si="2"/>
        <v>02 - Feb</v>
      </c>
      <c r="E1200" s="15" t="str">
        <f t="shared" si="3"/>
        <v>Thu</v>
      </c>
      <c r="F1200" s="15">
        <f t="shared" si="4"/>
        <v>4</v>
      </c>
      <c r="G1200" s="16">
        <v>41707.0</v>
      </c>
      <c r="H1200" s="14">
        <f t="shared" si="5"/>
        <v>31</v>
      </c>
      <c r="I1200" s="7" t="s">
        <v>232</v>
      </c>
      <c r="J1200" s="7" t="s">
        <v>465</v>
      </c>
      <c r="K1200" s="7" t="str">
        <f>VLOOKUP(J1200,countries,2,false)</f>
        <v>Lithuania</v>
      </c>
      <c r="L1200" s="7" t="str">
        <f>VLOOKUP($J1200,countries,5,false)</f>
        <v>Europe</v>
      </c>
      <c r="M1200" s="7" t="str">
        <f>VLOOKUP($J1200,countries,6,false)</f>
        <v>Northern Europe</v>
      </c>
      <c r="N1200" s="7">
        <v>2103.0</v>
      </c>
      <c r="O1200" s="7" t="str">
        <f>VLOOKUP(N1200, products, 2, FALSE)</f>
        <v>Cereal</v>
      </c>
      <c r="P1200" s="7" t="s">
        <v>334</v>
      </c>
      <c r="Q1200" s="7">
        <v>5086.0</v>
      </c>
      <c r="R1200" s="17">
        <v>205.7</v>
      </c>
      <c r="S1200" s="17">
        <v>117.11</v>
      </c>
      <c r="U1200" s="18">
        <f t="shared" si="6"/>
        <v>1046190.2</v>
      </c>
      <c r="V1200" s="18">
        <f t="shared" si="7"/>
        <v>595621.46</v>
      </c>
      <c r="W1200" s="19">
        <f t="shared" si="8"/>
        <v>450568.74</v>
      </c>
    </row>
    <row r="1201">
      <c r="A1201" s="7">
        <v>9.10610234E8</v>
      </c>
      <c r="B1201" s="12">
        <v>42919.0</v>
      </c>
      <c r="C1201" s="7">
        <f t="shared" si="1"/>
        <v>2017</v>
      </c>
      <c r="D1201" s="14" t="str">
        <f t="shared" si="2"/>
        <v>07 - Jul</v>
      </c>
      <c r="E1201" s="15" t="str">
        <f t="shared" si="3"/>
        <v>Mon</v>
      </c>
      <c r="F1201" s="15">
        <f t="shared" si="4"/>
        <v>1</v>
      </c>
      <c r="G1201" s="16">
        <v>42947.0</v>
      </c>
      <c r="H1201" s="14">
        <f t="shared" si="5"/>
        <v>28</v>
      </c>
      <c r="I1201" s="7" t="s">
        <v>364</v>
      </c>
      <c r="J1201" s="7" t="s">
        <v>717</v>
      </c>
      <c r="K1201" s="7" t="str">
        <f>VLOOKUP(J1201,countries,2,false)</f>
        <v>Sweden</v>
      </c>
      <c r="L1201" s="7" t="str">
        <f>VLOOKUP($J1201,countries,5,false)</f>
        <v>Europe</v>
      </c>
      <c r="M1201" s="7" t="str">
        <f>VLOOKUP($J1201,countries,6,false)</f>
        <v>Northern Europe</v>
      </c>
      <c r="N1201" s="7">
        <v>8293.0</v>
      </c>
      <c r="O1201" s="7" t="str">
        <f>VLOOKUP(N1201, products, 2, FALSE)</f>
        <v>Cosmetics</v>
      </c>
      <c r="P1201" s="7" t="s">
        <v>264</v>
      </c>
      <c r="Q1201" s="7">
        <v>8659.0</v>
      </c>
      <c r="R1201" s="17">
        <v>437.2</v>
      </c>
      <c r="S1201" s="17">
        <v>263.33</v>
      </c>
      <c r="U1201" s="18">
        <f t="shared" si="6"/>
        <v>3785714.8</v>
      </c>
      <c r="V1201" s="18">
        <f t="shared" si="7"/>
        <v>2280174.47</v>
      </c>
      <c r="W1201" s="19">
        <f t="shared" si="8"/>
        <v>1505540.33</v>
      </c>
    </row>
    <row r="1202">
      <c r="A1202" s="7">
        <v>9.1088618E8</v>
      </c>
      <c r="B1202" s="12">
        <v>42134.0</v>
      </c>
      <c r="C1202" s="7">
        <f t="shared" si="1"/>
        <v>2015</v>
      </c>
      <c r="D1202" s="14" t="str">
        <f t="shared" si="2"/>
        <v>05 - May</v>
      </c>
      <c r="E1202" s="15" t="str">
        <f t="shared" si="3"/>
        <v>Sun</v>
      </c>
      <c r="F1202" s="15">
        <f t="shared" si="4"/>
        <v>7</v>
      </c>
      <c r="G1202" s="16">
        <v>42165.0</v>
      </c>
      <c r="H1202" s="14">
        <f t="shared" si="5"/>
        <v>31</v>
      </c>
      <c r="I1202" s="7" t="s">
        <v>232</v>
      </c>
      <c r="J1202" s="7" t="s">
        <v>623</v>
      </c>
      <c r="K1202" s="7" t="str">
        <f>VLOOKUP(J1202,countries,2,false)</f>
        <v>Romania</v>
      </c>
      <c r="L1202" s="7" t="str">
        <f>VLOOKUP($J1202,countries,5,false)</f>
        <v>Europe</v>
      </c>
      <c r="M1202" s="7" t="str">
        <f>VLOOKUP($J1202,countries,6,false)</f>
        <v>Eastern Europe</v>
      </c>
      <c r="N1202" s="7">
        <v>1270.0</v>
      </c>
      <c r="O1202" s="7" t="str">
        <f>VLOOKUP(N1202, products, 2, FALSE)</f>
        <v>Beverages</v>
      </c>
      <c r="P1202" s="7" t="s">
        <v>264</v>
      </c>
      <c r="Q1202" s="7">
        <v>317.0</v>
      </c>
      <c r="R1202" s="17">
        <v>47.45</v>
      </c>
      <c r="S1202" s="17">
        <v>31.79</v>
      </c>
      <c r="U1202" s="18">
        <f t="shared" si="6"/>
        <v>15041.65</v>
      </c>
      <c r="V1202" s="18">
        <f t="shared" si="7"/>
        <v>10077.43</v>
      </c>
      <c r="W1202" s="19">
        <f t="shared" si="8"/>
        <v>4964.22</v>
      </c>
    </row>
    <row r="1203">
      <c r="A1203" s="7">
        <v>9.11891257E8</v>
      </c>
      <c r="B1203" s="12">
        <v>41555.0</v>
      </c>
      <c r="C1203" s="7">
        <f t="shared" si="1"/>
        <v>2013</v>
      </c>
      <c r="D1203" s="14" t="str">
        <f t="shared" si="2"/>
        <v>10 - Oct</v>
      </c>
      <c r="E1203" s="15" t="str">
        <f t="shared" si="3"/>
        <v>Tue</v>
      </c>
      <c r="F1203" s="15">
        <f t="shared" si="4"/>
        <v>2</v>
      </c>
      <c r="G1203" s="16">
        <v>41579.0</v>
      </c>
      <c r="H1203" s="14">
        <f t="shared" si="5"/>
        <v>24</v>
      </c>
      <c r="I1203" s="7" t="s">
        <v>305</v>
      </c>
      <c r="J1203" s="7" t="s">
        <v>165</v>
      </c>
      <c r="K1203" s="7" t="str">
        <f>VLOOKUP(J1203,countries,2,false)</f>
        <v>Bulgaria</v>
      </c>
      <c r="L1203" s="7" t="str">
        <f>VLOOKUP($J1203,countries,5,false)</f>
        <v>Europe</v>
      </c>
      <c r="M1203" s="7" t="str">
        <f>VLOOKUP($J1203,countries,6,false)</f>
        <v>Eastern Europe</v>
      </c>
      <c r="N1203" s="7">
        <v>4594.0</v>
      </c>
      <c r="O1203" s="7" t="str">
        <f>VLOOKUP(N1203, products, 2, FALSE)</f>
        <v>Fruits</v>
      </c>
      <c r="P1203" s="7" t="s">
        <v>334</v>
      </c>
      <c r="Q1203" s="7">
        <v>7742.0</v>
      </c>
      <c r="R1203" s="17">
        <v>9.33</v>
      </c>
      <c r="S1203" s="17">
        <v>6.92</v>
      </c>
      <c r="U1203" s="18">
        <f t="shared" si="6"/>
        <v>72232.86</v>
      </c>
      <c r="V1203" s="18">
        <f t="shared" si="7"/>
        <v>53574.64</v>
      </c>
      <c r="W1203" s="19">
        <f t="shared" si="8"/>
        <v>18658.22</v>
      </c>
    </row>
    <row r="1204">
      <c r="A1204" s="7">
        <v>9.13074433E8</v>
      </c>
      <c r="B1204" s="12">
        <v>41580.0</v>
      </c>
      <c r="C1204" s="7">
        <f t="shared" si="1"/>
        <v>2013</v>
      </c>
      <c r="D1204" s="14" t="str">
        <f t="shared" si="2"/>
        <v>11 - Nov</v>
      </c>
      <c r="E1204" s="15" t="str">
        <f t="shared" si="3"/>
        <v>Sat</v>
      </c>
      <c r="F1204" s="15">
        <f t="shared" si="4"/>
        <v>6</v>
      </c>
      <c r="G1204" s="16">
        <v>41625.0</v>
      </c>
      <c r="H1204" s="14">
        <f t="shared" si="5"/>
        <v>45</v>
      </c>
      <c r="I1204" s="7" t="s">
        <v>399</v>
      </c>
      <c r="J1204" s="7" t="s">
        <v>447</v>
      </c>
      <c r="K1204" s="7" t="str">
        <f>VLOOKUP(J1204,countries,2,false)</f>
        <v>Latvia</v>
      </c>
      <c r="L1204" s="7" t="str">
        <f>VLOOKUP($J1204,countries,5,false)</f>
        <v>Europe</v>
      </c>
      <c r="M1204" s="7" t="str">
        <f>VLOOKUP($J1204,countries,6,false)</f>
        <v>Northern Europe</v>
      </c>
      <c r="N1204" s="7">
        <v>3127.0</v>
      </c>
      <c r="O1204" s="7" t="str">
        <f>VLOOKUP(N1204, products, 2, FALSE)</f>
        <v>Personal Care</v>
      </c>
      <c r="P1204" s="7" t="s">
        <v>334</v>
      </c>
      <c r="Q1204" s="7">
        <v>7870.0</v>
      </c>
      <c r="R1204" s="17">
        <v>81.73</v>
      </c>
      <c r="S1204" s="17">
        <v>56.67</v>
      </c>
      <c r="U1204" s="18">
        <f t="shared" si="6"/>
        <v>643215.1</v>
      </c>
      <c r="V1204" s="18">
        <f t="shared" si="7"/>
        <v>445992.9</v>
      </c>
      <c r="W1204" s="19">
        <f t="shared" si="8"/>
        <v>197222.2</v>
      </c>
    </row>
    <row r="1205">
      <c r="A1205" s="7">
        <v>9.13729751E8</v>
      </c>
      <c r="B1205" s="12">
        <v>40651.0</v>
      </c>
      <c r="C1205" s="7">
        <f t="shared" si="1"/>
        <v>2011</v>
      </c>
      <c r="D1205" s="14" t="str">
        <f t="shared" si="2"/>
        <v>04 - Apr</v>
      </c>
      <c r="E1205" s="15" t="str">
        <f t="shared" si="3"/>
        <v>Mon</v>
      </c>
      <c r="F1205" s="15">
        <f t="shared" si="4"/>
        <v>1</v>
      </c>
      <c r="G1205" s="16">
        <v>40672.0</v>
      </c>
      <c r="H1205" s="14">
        <f t="shared" si="5"/>
        <v>21</v>
      </c>
      <c r="I1205" s="7" t="s">
        <v>232</v>
      </c>
      <c r="J1205" s="7" t="s">
        <v>316</v>
      </c>
      <c r="K1205" s="7" t="str">
        <f>VLOOKUP(J1205,countries,2,false)</f>
        <v>Georgia</v>
      </c>
      <c r="L1205" s="7" t="str">
        <f>VLOOKUP($J1205,countries,5,false)</f>
        <v>Asia</v>
      </c>
      <c r="M1205" s="7" t="str">
        <f>VLOOKUP($J1205,countries,6,false)</f>
        <v>Western Asia</v>
      </c>
      <c r="N1205" s="7">
        <v>8875.0</v>
      </c>
      <c r="O1205" s="7" t="str">
        <f>VLOOKUP(N1205, products, 2, FALSE)</f>
        <v>Meat</v>
      </c>
      <c r="P1205" s="7" t="s">
        <v>264</v>
      </c>
      <c r="Q1205" s="7">
        <v>1793.0</v>
      </c>
      <c r="R1205" s="17">
        <v>421.89</v>
      </c>
      <c r="S1205" s="17">
        <v>364.69</v>
      </c>
      <c r="U1205" s="18">
        <f t="shared" si="6"/>
        <v>756448.77</v>
      </c>
      <c r="V1205" s="18">
        <f t="shared" si="7"/>
        <v>653889.17</v>
      </c>
      <c r="W1205" s="19">
        <f t="shared" si="8"/>
        <v>102559.6</v>
      </c>
    </row>
    <row r="1206">
      <c r="A1206" s="7">
        <v>9.16089236E8</v>
      </c>
      <c r="B1206" s="12">
        <v>41817.0</v>
      </c>
      <c r="C1206" s="7">
        <f t="shared" si="1"/>
        <v>2014</v>
      </c>
      <c r="D1206" s="14" t="str">
        <f t="shared" si="2"/>
        <v>06 - Jun</v>
      </c>
      <c r="E1206" s="15" t="str">
        <f t="shared" si="3"/>
        <v>Fri</v>
      </c>
      <c r="F1206" s="15">
        <f t="shared" si="4"/>
        <v>5</v>
      </c>
      <c r="G1206" s="16">
        <v>41848.0</v>
      </c>
      <c r="H1206" s="14">
        <f t="shared" si="5"/>
        <v>31</v>
      </c>
      <c r="I1206" s="7" t="s">
        <v>305</v>
      </c>
      <c r="J1206" s="7" t="s">
        <v>124</v>
      </c>
      <c r="K1206" s="7" t="str">
        <f>VLOOKUP(J1206,countries,2,false)</f>
        <v>Belgium</v>
      </c>
      <c r="L1206" s="7" t="str">
        <f>VLOOKUP($J1206,countries,5,false)</f>
        <v>Europe</v>
      </c>
      <c r="M1206" s="7" t="str">
        <f>VLOOKUP($J1206,countries,6,false)</f>
        <v>Western Europe</v>
      </c>
      <c r="N1206" s="7">
        <v>8293.0</v>
      </c>
      <c r="O1206" s="7" t="str">
        <f>VLOOKUP(N1206, products, 2, FALSE)</f>
        <v>Cosmetics</v>
      </c>
      <c r="P1206" s="7" t="s">
        <v>334</v>
      </c>
      <c r="Q1206" s="7">
        <v>17.0</v>
      </c>
      <c r="R1206" s="17">
        <v>437.2</v>
      </c>
      <c r="S1206" s="17">
        <v>263.33</v>
      </c>
      <c r="U1206" s="18">
        <f t="shared" si="6"/>
        <v>7432.4</v>
      </c>
      <c r="V1206" s="18">
        <f t="shared" si="7"/>
        <v>4476.61</v>
      </c>
      <c r="W1206" s="19">
        <f t="shared" si="8"/>
        <v>2955.79</v>
      </c>
    </row>
    <row r="1207">
      <c r="A1207" s="7">
        <v>9.17485272E8</v>
      </c>
      <c r="B1207" s="12">
        <v>40422.0</v>
      </c>
      <c r="C1207" s="7">
        <f t="shared" si="1"/>
        <v>2010</v>
      </c>
      <c r="D1207" s="14" t="str">
        <f t="shared" si="2"/>
        <v>09 - Sep</v>
      </c>
      <c r="E1207" s="15" t="str">
        <f t="shared" si="3"/>
        <v>Wed</v>
      </c>
      <c r="F1207" s="15">
        <f t="shared" si="4"/>
        <v>3</v>
      </c>
      <c r="G1207" s="16">
        <v>40454.0</v>
      </c>
      <c r="H1207" s="14">
        <f t="shared" si="5"/>
        <v>32</v>
      </c>
      <c r="I1207" s="7" t="s">
        <v>364</v>
      </c>
      <c r="J1207" s="7" t="s">
        <v>447</v>
      </c>
      <c r="K1207" s="7" t="str">
        <f>VLOOKUP(J1207,countries,2,false)</f>
        <v>Latvia</v>
      </c>
      <c r="L1207" s="7" t="str">
        <f>VLOOKUP($J1207,countries,5,false)</f>
        <v>Europe</v>
      </c>
      <c r="M1207" s="7" t="str">
        <f>VLOOKUP($J1207,countries,6,false)</f>
        <v>Northern Europe</v>
      </c>
      <c r="N1207" s="7">
        <v>7331.0</v>
      </c>
      <c r="O1207" s="7" t="str">
        <f>VLOOKUP(N1207, products, 2, FALSE)</f>
        <v>Baby Food</v>
      </c>
      <c r="P1207" s="7" t="s">
        <v>264</v>
      </c>
      <c r="Q1207" s="7">
        <v>3136.0</v>
      </c>
      <c r="R1207" s="17">
        <v>255.28</v>
      </c>
      <c r="S1207" s="17">
        <v>159.42</v>
      </c>
      <c r="U1207" s="18">
        <f t="shared" si="6"/>
        <v>800558.08</v>
      </c>
      <c r="V1207" s="18">
        <f t="shared" si="7"/>
        <v>499941.12</v>
      </c>
      <c r="W1207" s="19">
        <f t="shared" si="8"/>
        <v>300616.96</v>
      </c>
    </row>
    <row r="1208">
      <c r="A1208" s="7">
        <v>9.17639768E8</v>
      </c>
      <c r="B1208" s="12">
        <v>41578.0</v>
      </c>
      <c r="C1208" s="7">
        <f t="shared" si="1"/>
        <v>2013</v>
      </c>
      <c r="D1208" s="14" t="str">
        <f t="shared" si="2"/>
        <v>10 - Oct</v>
      </c>
      <c r="E1208" s="15" t="str">
        <f t="shared" si="3"/>
        <v>Thu</v>
      </c>
      <c r="F1208" s="15">
        <f t="shared" si="4"/>
        <v>4</v>
      </c>
      <c r="G1208" s="16">
        <v>41622.0</v>
      </c>
      <c r="H1208" s="14">
        <f t="shared" si="5"/>
        <v>44</v>
      </c>
      <c r="I1208" s="7" t="s">
        <v>364</v>
      </c>
      <c r="J1208" s="7" t="s">
        <v>306</v>
      </c>
      <c r="K1208" s="7" t="str">
        <f>VLOOKUP(J1208,countries,2,false)</f>
        <v>Serbia</v>
      </c>
      <c r="L1208" s="7" t="str">
        <f>VLOOKUP($J1208,countries,5,false)</f>
        <v>Europe</v>
      </c>
      <c r="M1208" s="7" t="str">
        <f>VLOOKUP($J1208,countries,6,false)</f>
        <v>Southern Europe</v>
      </c>
      <c r="N1208" s="7">
        <v>5988.0</v>
      </c>
      <c r="O1208" s="7" t="str">
        <f>VLOOKUP(N1208, products, 2, FALSE)</f>
        <v>Vegetables</v>
      </c>
      <c r="P1208" s="7" t="s">
        <v>264</v>
      </c>
      <c r="Q1208" s="7">
        <v>8854.0</v>
      </c>
      <c r="R1208" s="17">
        <v>154.06</v>
      </c>
      <c r="S1208" s="17">
        <v>90.93</v>
      </c>
      <c r="U1208" s="18">
        <f t="shared" si="6"/>
        <v>1364047.24</v>
      </c>
      <c r="V1208" s="18">
        <f t="shared" si="7"/>
        <v>805094.22</v>
      </c>
      <c r="W1208" s="19">
        <f t="shared" si="8"/>
        <v>558953.02</v>
      </c>
    </row>
    <row r="1209">
      <c r="A1209" s="7">
        <v>9.17792117E8</v>
      </c>
      <c r="B1209" s="12">
        <v>41527.0</v>
      </c>
      <c r="C1209" s="7">
        <f t="shared" si="1"/>
        <v>2013</v>
      </c>
      <c r="D1209" s="14" t="str">
        <f t="shared" si="2"/>
        <v>09 - Sep</v>
      </c>
      <c r="E1209" s="15" t="str">
        <f t="shared" si="3"/>
        <v>Tue</v>
      </c>
      <c r="F1209" s="15">
        <f t="shared" si="4"/>
        <v>2</v>
      </c>
      <c r="G1209" s="16">
        <v>41554.0</v>
      </c>
      <c r="H1209" s="14">
        <f t="shared" si="5"/>
        <v>27</v>
      </c>
      <c r="I1209" s="7" t="s">
        <v>232</v>
      </c>
      <c r="J1209" s="7" t="s">
        <v>381</v>
      </c>
      <c r="K1209" s="7" t="str">
        <f>VLOOKUP(J1209,countries,2,false)</f>
        <v>Iceland</v>
      </c>
      <c r="L1209" s="7" t="str">
        <f>VLOOKUP($J1209,countries,5,false)</f>
        <v>Europe</v>
      </c>
      <c r="M1209" s="7" t="str">
        <f>VLOOKUP($J1209,countries,6,false)</f>
        <v>Northern Europe</v>
      </c>
      <c r="N1209" s="7">
        <v>2455.0</v>
      </c>
      <c r="O1209" s="7" t="str">
        <f>VLOOKUP(N1209, products, 2, FALSE)</f>
        <v>Clothes</v>
      </c>
      <c r="P1209" s="7" t="s">
        <v>264</v>
      </c>
      <c r="Q1209" s="7">
        <v>3938.0</v>
      </c>
      <c r="R1209" s="17">
        <v>109.28</v>
      </c>
      <c r="S1209" s="17">
        <v>35.84</v>
      </c>
      <c r="U1209" s="18">
        <f t="shared" si="6"/>
        <v>430344.64</v>
      </c>
      <c r="V1209" s="18">
        <f t="shared" si="7"/>
        <v>141137.92</v>
      </c>
      <c r="W1209" s="19">
        <f t="shared" si="8"/>
        <v>289206.72</v>
      </c>
    </row>
    <row r="1210">
      <c r="A1210" s="7">
        <v>9.17835032E8</v>
      </c>
      <c r="B1210" s="12">
        <v>40772.0</v>
      </c>
      <c r="C1210" s="7">
        <f t="shared" si="1"/>
        <v>2011</v>
      </c>
      <c r="D1210" s="14" t="str">
        <f t="shared" si="2"/>
        <v>08 - Aug</v>
      </c>
      <c r="E1210" s="15" t="str">
        <f t="shared" si="3"/>
        <v>Wed</v>
      </c>
      <c r="F1210" s="15">
        <f t="shared" si="4"/>
        <v>3</v>
      </c>
      <c r="G1210" s="16">
        <v>40822.0</v>
      </c>
      <c r="H1210" s="14">
        <f t="shared" si="5"/>
        <v>50</v>
      </c>
      <c r="I1210" s="7" t="s">
        <v>305</v>
      </c>
      <c r="J1210" s="7" t="s">
        <v>101</v>
      </c>
      <c r="K1210" s="7" t="str">
        <f>VLOOKUP(J1210,countries,2,false)</f>
        <v>Austria</v>
      </c>
      <c r="L1210" s="7" t="str">
        <f>VLOOKUP($J1210,countries,5,false)</f>
        <v>Europe</v>
      </c>
      <c r="M1210" s="7" t="str">
        <f>VLOOKUP($J1210,countries,6,false)</f>
        <v>Western Europe</v>
      </c>
      <c r="N1210" s="7">
        <v>5988.0</v>
      </c>
      <c r="O1210" s="7" t="str">
        <f>VLOOKUP(N1210, products, 2, FALSE)</f>
        <v>Vegetables</v>
      </c>
      <c r="P1210" s="7" t="s">
        <v>334</v>
      </c>
      <c r="Q1210" s="7">
        <v>6637.0</v>
      </c>
      <c r="R1210" s="17">
        <v>154.06</v>
      </c>
      <c r="S1210" s="17">
        <v>90.93</v>
      </c>
      <c r="U1210" s="18">
        <f t="shared" si="6"/>
        <v>1022496.22</v>
      </c>
      <c r="V1210" s="18">
        <f t="shared" si="7"/>
        <v>603502.41</v>
      </c>
      <c r="W1210" s="19">
        <f t="shared" si="8"/>
        <v>418993.81</v>
      </c>
    </row>
    <row r="1211">
      <c r="A1211" s="7">
        <v>9.17874085E8</v>
      </c>
      <c r="B1211" s="12">
        <v>41164.0</v>
      </c>
      <c r="C1211" s="7">
        <f t="shared" si="1"/>
        <v>2012</v>
      </c>
      <c r="D1211" s="14" t="str">
        <f t="shared" si="2"/>
        <v>09 - Sep</v>
      </c>
      <c r="E1211" s="15" t="str">
        <f t="shared" si="3"/>
        <v>Wed</v>
      </c>
      <c r="F1211" s="15">
        <f t="shared" si="4"/>
        <v>3</v>
      </c>
      <c r="G1211" s="16">
        <v>41175.0</v>
      </c>
      <c r="H1211" s="14">
        <f t="shared" si="5"/>
        <v>11</v>
      </c>
      <c r="I1211" s="7" t="s">
        <v>232</v>
      </c>
      <c r="J1211" s="7" t="s">
        <v>233</v>
      </c>
      <c r="K1211" s="7" t="str">
        <f>VLOOKUP(J1211,countries,2,false)</f>
        <v>Norway</v>
      </c>
      <c r="L1211" s="7" t="str">
        <f>VLOOKUP($J1211,countries,5,false)</f>
        <v>Europe</v>
      </c>
      <c r="M1211" s="7" t="str">
        <f>VLOOKUP($J1211,countries,6,false)</f>
        <v>Northern Europe</v>
      </c>
      <c r="N1211" s="7">
        <v>8875.0</v>
      </c>
      <c r="O1211" s="7" t="str">
        <f>VLOOKUP(N1211, products, 2, FALSE)</f>
        <v>Meat</v>
      </c>
      <c r="P1211" s="7" t="s">
        <v>334</v>
      </c>
      <c r="Q1211" s="7">
        <v>8194.0</v>
      </c>
      <c r="R1211" s="17">
        <v>421.89</v>
      </c>
      <c r="S1211" s="17">
        <v>364.69</v>
      </c>
      <c r="U1211" s="18">
        <f t="shared" si="6"/>
        <v>3456966.66</v>
      </c>
      <c r="V1211" s="18">
        <f t="shared" si="7"/>
        <v>2988269.86</v>
      </c>
      <c r="W1211" s="19">
        <f t="shared" si="8"/>
        <v>468696.8</v>
      </c>
    </row>
    <row r="1212">
      <c r="A1212" s="7">
        <v>9.17904984E8</v>
      </c>
      <c r="B1212" s="12">
        <v>40289.0</v>
      </c>
      <c r="C1212" s="7">
        <f t="shared" si="1"/>
        <v>2010</v>
      </c>
      <c r="D1212" s="14" t="str">
        <f t="shared" si="2"/>
        <v>04 - Apr</v>
      </c>
      <c r="E1212" s="15" t="str">
        <f t="shared" si="3"/>
        <v>Wed</v>
      </c>
      <c r="F1212" s="15">
        <f t="shared" si="4"/>
        <v>3</v>
      </c>
      <c r="G1212" s="16">
        <v>40292.0</v>
      </c>
      <c r="H1212" s="14">
        <f t="shared" si="5"/>
        <v>3</v>
      </c>
      <c r="I1212" s="7" t="s">
        <v>364</v>
      </c>
      <c r="J1212" s="7" t="s">
        <v>623</v>
      </c>
      <c r="K1212" s="7" t="str">
        <f>VLOOKUP(J1212,countries,2,false)</f>
        <v>Romania</v>
      </c>
      <c r="L1212" s="7" t="str">
        <f>VLOOKUP($J1212,countries,5,false)</f>
        <v>Europe</v>
      </c>
      <c r="M1212" s="7" t="str">
        <f>VLOOKUP($J1212,countries,6,false)</f>
        <v>Eastern Europe</v>
      </c>
      <c r="N1212" s="7">
        <v>3127.0</v>
      </c>
      <c r="O1212" s="7" t="str">
        <f>VLOOKUP(N1212, products, 2, FALSE)</f>
        <v>Personal Care</v>
      </c>
      <c r="P1212" s="7" t="s">
        <v>264</v>
      </c>
      <c r="Q1212" s="7">
        <v>7338.0</v>
      </c>
      <c r="R1212" s="17">
        <v>81.73</v>
      </c>
      <c r="S1212" s="17">
        <v>56.67</v>
      </c>
      <c r="U1212" s="18">
        <f t="shared" si="6"/>
        <v>599734.74</v>
      </c>
      <c r="V1212" s="18">
        <f t="shared" si="7"/>
        <v>415844.46</v>
      </c>
      <c r="W1212" s="19">
        <f t="shared" si="8"/>
        <v>183890.28</v>
      </c>
    </row>
    <row r="1213">
      <c r="A1213" s="7">
        <v>9.18364179E8</v>
      </c>
      <c r="B1213" s="12">
        <v>41343.0</v>
      </c>
      <c r="C1213" s="7">
        <f t="shared" si="1"/>
        <v>2013</v>
      </c>
      <c r="D1213" s="14" t="str">
        <f t="shared" si="2"/>
        <v>03 - Mar</v>
      </c>
      <c r="E1213" s="15" t="str">
        <f t="shared" si="3"/>
        <v>Sun</v>
      </c>
      <c r="F1213" s="15">
        <f t="shared" si="4"/>
        <v>7</v>
      </c>
      <c r="G1213" s="16">
        <v>41375.0</v>
      </c>
      <c r="H1213" s="14">
        <f t="shared" si="5"/>
        <v>32</v>
      </c>
      <c r="I1213" s="7" t="s">
        <v>399</v>
      </c>
      <c r="J1213" s="7" t="s">
        <v>293</v>
      </c>
      <c r="K1213" s="7" t="str">
        <f>VLOOKUP(J1213,countries,2,false)</f>
        <v>Finland</v>
      </c>
      <c r="L1213" s="7" t="str">
        <f>VLOOKUP($J1213,countries,5,false)</f>
        <v>Europe</v>
      </c>
      <c r="M1213" s="7" t="str">
        <f>VLOOKUP($J1213,countries,6,false)</f>
        <v>Northern Europe</v>
      </c>
      <c r="N1213" s="7">
        <v>8969.0</v>
      </c>
      <c r="O1213" s="7" t="str">
        <f>VLOOKUP(N1213, products, 2, FALSE)</f>
        <v>Snacks</v>
      </c>
      <c r="P1213" s="7" t="s">
        <v>334</v>
      </c>
      <c r="Q1213" s="7">
        <v>3223.0</v>
      </c>
      <c r="R1213" s="17">
        <v>152.58</v>
      </c>
      <c r="S1213" s="17">
        <v>97.44</v>
      </c>
      <c r="U1213" s="18">
        <f t="shared" si="6"/>
        <v>491765.34</v>
      </c>
      <c r="V1213" s="18">
        <f t="shared" si="7"/>
        <v>314049.12</v>
      </c>
      <c r="W1213" s="19">
        <f t="shared" si="8"/>
        <v>177716.22</v>
      </c>
    </row>
    <row r="1214">
      <c r="A1214" s="7">
        <v>9.19133651E8</v>
      </c>
      <c r="B1214" s="12">
        <v>41561.0</v>
      </c>
      <c r="C1214" s="7">
        <f t="shared" si="1"/>
        <v>2013</v>
      </c>
      <c r="D1214" s="14" t="str">
        <f t="shared" si="2"/>
        <v>10 - Oct</v>
      </c>
      <c r="E1214" s="15" t="str">
        <f t="shared" si="3"/>
        <v>Mon</v>
      </c>
      <c r="F1214" s="15">
        <f t="shared" si="4"/>
        <v>1</v>
      </c>
      <c r="G1214" s="16">
        <v>41582.0</v>
      </c>
      <c r="H1214" s="14">
        <f t="shared" si="5"/>
        <v>21</v>
      </c>
      <c r="I1214" s="7" t="s">
        <v>232</v>
      </c>
      <c r="J1214" s="7" t="s">
        <v>146</v>
      </c>
      <c r="K1214" s="7" t="str">
        <f>VLOOKUP(J1214,countries,2,false)</f>
        <v>Bosnia and Herzegovina</v>
      </c>
      <c r="L1214" s="7" t="str">
        <f>VLOOKUP($J1214,countries,5,false)</f>
        <v>Europe</v>
      </c>
      <c r="M1214" s="7" t="str">
        <f>VLOOKUP($J1214,countries,6,false)</f>
        <v>Southern Europe</v>
      </c>
      <c r="N1214" s="7">
        <v>2455.0</v>
      </c>
      <c r="O1214" s="7" t="str">
        <f>VLOOKUP(N1214, products, 2, FALSE)</f>
        <v>Clothes</v>
      </c>
      <c r="P1214" s="7" t="s">
        <v>264</v>
      </c>
      <c r="Q1214" s="7">
        <v>927.0</v>
      </c>
      <c r="R1214" s="17">
        <v>109.28</v>
      </c>
      <c r="S1214" s="17">
        <v>35.84</v>
      </c>
      <c r="U1214" s="18">
        <f t="shared" si="6"/>
        <v>101302.56</v>
      </c>
      <c r="V1214" s="18">
        <f t="shared" si="7"/>
        <v>33223.68</v>
      </c>
      <c r="W1214" s="19">
        <f t="shared" si="8"/>
        <v>68078.88</v>
      </c>
    </row>
    <row r="1215">
      <c r="A1215" s="7">
        <v>9.19922006E8</v>
      </c>
      <c r="B1215" s="12">
        <v>40782.0</v>
      </c>
      <c r="C1215" s="7">
        <f t="shared" si="1"/>
        <v>2011</v>
      </c>
      <c r="D1215" s="14" t="str">
        <f t="shared" si="2"/>
        <v>08 - Aug</v>
      </c>
      <c r="E1215" s="15" t="str">
        <f t="shared" si="3"/>
        <v>Sat</v>
      </c>
      <c r="F1215" s="15">
        <f t="shared" si="4"/>
        <v>6</v>
      </c>
      <c r="G1215" s="16">
        <v>40804.0</v>
      </c>
      <c r="H1215" s="14">
        <f t="shared" si="5"/>
        <v>22</v>
      </c>
      <c r="I1215" s="7" t="s">
        <v>364</v>
      </c>
      <c r="J1215" s="7" t="s">
        <v>348</v>
      </c>
      <c r="K1215" s="7" t="s">
        <v>348</v>
      </c>
      <c r="L1215" s="7" t="s">
        <v>348</v>
      </c>
      <c r="M1215" s="7" t="s">
        <v>348</v>
      </c>
      <c r="N1215" s="7">
        <v>4594.0</v>
      </c>
      <c r="O1215" s="7" t="str">
        <f>VLOOKUP(N1215, products, 2, FALSE)</f>
        <v>Fruits</v>
      </c>
      <c r="P1215" s="7" t="s">
        <v>264</v>
      </c>
      <c r="Q1215" s="7">
        <v>4219.0</v>
      </c>
      <c r="R1215" s="17">
        <v>9.33</v>
      </c>
      <c r="S1215" s="17">
        <v>6.92</v>
      </c>
      <c r="U1215" s="18">
        <f t="shared" si="6"/>
        <v>39363.27</v>
      </c>
      <c r="V1215" s="18">
        <f t="shared" si="7"/>
        <v>29195.48</v>
      </c>
      <c r="W1215" s="19">
        <f t="shared" si="8"/>
        <v>10167.79</v>
      </c>
    </row>
    <row r="1216">
      <c r="A1216" s="7">
        <v>9.2001127E8</v>
      </c>
      <c r="B1216" s="12">
        <v>42864.0</v>
      </c>
      <c r="C1216" s="7">
        <f t="shared" si="1"/>
        <v>2017</v>
      </c>
      <c r="D1216" s="14" t="str">
        <f t="shared" si="2"/>
        <v>05 - May</v>
      </c>
      <c r="E1216" s="15" t="str">
        <f t="shared" si="3"/>
        <v>Tue</v>
      </c>
      <c r="F1216" s="15">
        <f t="shared" si="4"/>
        <v>2</v>
      </c>
      <c r="G1216" s="16">
        <v>42898.0</v>
      </c>
      <c r="H1216" s="14">
        <f t="shared" si="5"/>
        <v>34</v>
      </c>
      <c r="I1216" s="7" t="s">
        <v>232</v>
      </c>
      <c r="J1216" s="7" t="s">
        <v>243</v>
      </c>
      <c r="K1216" s="7" t="str">
        <f>VLOOKUP(J1216,countries,2,false)</f>
        <v>Czech Republic</v>
      </c>
      <c r="L1216" s="7" t="str">
        <f>VLOOKUP($J1216,countries,5,false)</f>
        <v>Europe</v>
      </c>
      <c r="M1216" s="7" t="str">
        <f>VLOOKUP($J1216,countries,6,false)</f>
        <v>Eastern Europe</v>
      </c>
      <c r="N1216" s="7">
        <v>8875.0</v>
      </c>
      <c r="O1216" s="7" t="str">
        <f>VLOOKUP(N1216, products, 2, FALSE)</f>
        <v>Meat</v>
      </c>
      <c r="P1216" s="7" t="s">
        <v>334</v>
      </c>
      <c r="Q1216" s="7">
        <v>634.0</v>
      </c>
      <c r="R1216" s="17">
        <v>421.89</v>
      </c>
      <c r="S1216" s="17">
        <v>364.69</v>
      </c>
      <c r="U1216" s="18">
        <f t="shared" si="6"/>
        <v>267478.26</v>
      </c>
      <c r="V1216" s="18">
        <f t="shared" si="7"/>
        <v>231213.46</v>
      </c>
      <c r="W1216" s="19">
        <f t="shared" si="8"/>
        <v>36264.8</v>
      </c>
    </row>
    <row r="1217">
      <c r="A1217" s="7">
        <v>9.20688903E8</v>
      </c>
      <c r="B1217" s="12">
        <v>41764.0</v>
      </c>
      <c r="C1217" s="7">
        <f t="shared" si="1"/>
        <v>2014</v>
      </c>
      <c r="D1217" s="14" t="str">
        <f t="shared" si="2"/>
        <v>05 - May</v>
      </c>
      <c r="E1217" s="15" t="str">
        <f t="shared" si="3"/>
        <v>Mon</v>
      </c>
      <c r="F1217" s="15">
        <f t="shared" si="4"/>
        <v>1</v>
      </c>
      <c r="G1217" s="16">
        <v>41802.0</v>
      </c>
      <c r="H1217" s="14">
        <f t="shared" si="5"/>
        <v>38</v>
      </c>
      <c r="I1217" s="7" t="s">
        <v>364</v>
      </c>
      <c r="J1217" s="7" t="s">
        <v>771</v>
      </c>
      <c r="K1217" s="7" t="str">
        <f>VLOOKUP(J1217,countries,2,false)</f>
        <v>Ukraine</v>
      </c>
      <c r="L1217" s="7" t="str">
        <f>VLOOKUP($J1217,countries,5,false)</f>
        <v>Europe</v>
      </c>
      <c r="M1217" s="7" t="str">
        <f>VLOOKUP($J1217,countries,6,false)</f>
        <v>Eastern Europe</v>
      </c>
      <c r="N1217" s="7">
        <v>7331.0</v>
      </c>
      <c r="O1217" s="7" t="str">
        <f>VLOOKUP(N1217, products, 2, FALSE)</f>
        <v>Baby Food</v>
      </c>
      <c r="P1217" s="7" t="s">
        <v>334</v>
      </c>
      <c r="Q1217" s="7">
        <v>1161.0</v>
      </c>
      <c r="R1217" s="17">
        <v>255.28</v>
      </c>
      <c r="S1217" s="17">
        <v>159.42</v>
      </c>
      <c r="U1217" s="18">
        <f t="shared" si="6"/>
        <v>296380.08</v>
      </c>
      <c r="V1217" s="18">
        <f t="shared" si="7"/>
        <v>185086.62</v>
      </c>
      <c r="W1217" s="19">
        <f t="shared" si="8"/>
        <v>111293.46</v>
      </c>
    </row>
    <row r="1218">
      <c r="A1218" s="7">
        <v>9.21133935E8</v>
      </c>
      <c r="B1218" s="12">
        <v>41491.0</v>
      </c>
      <c r="C1218" s="7">
        <f t="shared" si="1"/>
        <v>2013</v>
      </c>
      <c r="D1218" s="14" t="str">
        <f t="shared" si="2"/>
        <v>08 - Aug</v>
      </c>
      <c r="E1218" s="15" t="str">
        <f t="shared" si="3"/>
        <v>Mon</v>
      </c>
      <c r="F1218" s="15">
        <f t="shared" si="4"/>
        <v>1</v>
      </c>
      <c r="G1218" s="16">
        <v>41497.0</v>
      </c>
      <c r="H1218" s="14">
        <f t="shared" si="5"/>
        <v>6</v>
      </c>
      <c r="I1218" s="7" t="s">
        <v>364</v>
      </c>
      <c r="J1218" s="7" t="s">
        <v>124</v>
      </c>
      <c r="K1218" s="7" t="str">
        <f>VLOOKUP(J1218,countries,2,false)</f>
        <v>Belgium</v>
      </c>
      <c r="L1218" s="7" t="str">
        <f>VLOOKUP($J1218,countries,5,false)</f>
        <v>Europe</v>
      </c>
      <c r="M1218" s="7" t="str">
        <f>VLOOKUP($J1218,countries,6,false)</f>
        <v>Western Europe</v>
      </c>
      <c r="N1218" s="7">
        <v>8969.0</v>
      </c>
      <c r="O1218" s="7" t="str">
        <f>VLOOKUP(N1218, products, 2, FALSE)</f>
        <v>Snacks</v>
      </c>
      <c r="P1218" s="7" t="s">
        <v>264</v>
      </c>
      <c r="Q1218" s="7">
        <v>2856.0</v>
      </c>
      <c r="R1218" s="17">
        <v>152.58</v>
      </c>
      <c r="S1218" s="17">
        <v>97.44</v>
      </c>
      <c r="U1218" s="18">
        <f t="shared" si="6"/>
        <v>435768.48</v>
      </c>
      <c r="V1218" s="18">
        <f t="shared" si="7"/>
        <v>278288.64</v>
      </c>
      <c r="W1218" s="19">
        <f t="shared" si="8"/>
        <v>157479.84</v>
      </c>
    </row>
    <row r="1219">
      <c r="A1219" s="7">
        <v>9.21230065E8</v>
      </c>
      <c r="B1219" s="12">
        <v>42456.0</v>
      </c>
      <c r="C1219" s="7">
        <f t="shared" si="1"/>
        <v>2016</v>
      </c>
      <c r="D1219" s="14" t="str">
        <f t="shared" si="2"/>
        <v>03 - Mar</v>
      </c>
      <c r="E1219" s="15" t="str">
        <f t="shared" si="3"/>
        <v>Sun</v>
      </c>
      <c r="F1219" s="15">
        <f t="shared" si="4"/>
        <v>7</v>
      </c>
      <c r="G1219" s="16">
        <v>42506.0</v>
      </c>
      <c r="H1219" s="14">
        <f t="shared" si="5"/>
        <v>50</v>
      </c>
      <c r="I1219" s="7" t="s">
        <v>232</v>
      </c>
      <c r="J1219" s="7" t="s">
        <v>611</v>
      </c>
      <c r="K1219" s="7" t="str">
        <f>VLOOKUP(J1219,countries,2,false)</f>
        <v>Portugal</v>
      </c>
      <c r="L1219" s="7" t="str">
        <f>VLOOKUP($J1219,countries,5,false)</f>
        <v>Europe</v>
      </c>
      <c r="M1219" s="7" t="str">
        <f>VLOOKUP($J1219,countries,6,false)</f>
        <v>Southern Europe</v>
      </c>
      <c r="N1219" s="7">
        <v>7331.0</v>
      </c>
      <c r="O1219" s="7" t="str">
        <f>VLOOKUP(N1219, products, 2, FALSE)</f>
        <v>Baby Food</v>
      </c>
      <c r="P1219" s="7" t="s">
        <v>334</v>
      </c>
      <c r="Q1219" s="7">
        <v>1303.0</v>
      </c>
      <c r="R1219" s="17">
        <v>255.28</v>
      </c>
      <c r="S1219" s="17">
        <v>159.42</v>
      </c>
      <c r="U1219" s="18">
        <f t="shared" si="6"/>
        <v>332629.84</v>
      </c>
      <c r="V1219" s="18">
        <f t="shared" si="7"/>
        <v>207724.26</v>
      </c>
      <c r="W1219" s="19">
        <f t="shared" si="8"/>
        <v>124905.58</v>
      </c>
    </row>
    <row r="1220">
      <c r="A1220" s="7">
        <v>9.2169398E8</v>
      </c>
      <c r="B1220" s="12">
        <v>41186.0</v>
      </c>
      <c r="C1220" s="7">
        <f t="shared" si="1"/>
        <v>2012</v>
      </c>
      <c r="D1220" s="14" t="str">
        <f t="shared" si="2"/>
        <v>10 - Oct</v>
      </c>
      <c r="E1220" s="15" t="str">
        <f t="shared" si="3"/>
        <v>Thu</v>
      </c>
      <c r="F1220" s="15">
        <f t="shared" si="4"/>
        <v>4</v>
      </c>
      <c r="G1220" s="16">
        <v>41217.0</v>
      </c>
      <c r="H1220" s="14">
        <f t="shared" si="5"/>
        <v>31</v>
      </c>
      <c r="I1220" s="7" t="s">
        <v>232</v>
      </c>
      <c r="J1220" s="7" t="s">
        <v>328</v>
      </c>
      <c r="K1220" s="7" t="str">
        <f>VLOOKUP(J1220,countries,2,false)</f>
        <v>Greece</v>
      </c>
      <c r="L1220" s="7" t="str">
        <f>VLOOKUP($J1220,countries,5,false)</f>
        <v>Europe</v>
      </c>
      <c r="M1220" s="7" t="str">
        <f>VLOOKUP($J1220,countries,6,false)</f>
        <v>Southern Europe</v>
      </c>
      <c r="N1220" s="7">
        <v>5988.0</v>
      </c>
      <c r="O1220" s="7" t="str">
        <f>VLOOKUP(N1220, products, 2, FALSE)</f>
        <v>Vegetables</v>
      </c>
      <c r="P1220" s="7" t="s">
        <v>264</v>
      </c>
      <c r="Q1220" s="7">
        <v>8586.0</v>
      </c>
      <c r="R1220" s="17">
        <v>154.06</v>
      </c>
      <c r="S1220" s="17">
        <v>90.93</v>
      </c>
      <c r="U1220" s="18">
        <f t="shared" si="6"/>
        <v>1322759.16</v>
      </c>
      <c r="V1220" s="18">
        <f t="shared" si="7"/>
        <v>780724.98</v>
      </c>
      <c r="W1220" s="19">
        <f t="shared" si="8"/>
        <v>542034.18</v>
      </c>
    </row>
    <row r="1221">
      <c r="A1221" s="7">
        <v>9.2236346E8</v>
      </c>
      <c r="B1221" s="12">
        <v>41585.0</v>
      </c>
      <c r="C1221" s="7">
        <f t="shared" si="1"/>
        <v>2013</v>
      </c>
      <c r="D1221" s="14" t="str">
        <f t="shared" si="2"/>
        <v>11 - Nov</v>
      </c>
      <c r="E1221" s="15" t="str">
        <f t="shared" si="3"/>
        <v>Thu</v>
      </c>
      <c r="F1221" s="15">
        <f t="shared" si="4"/>
        <v>4</v>
      </c>
      <c r="G1221" s="16">
        <v>41601.0</v>
      </c>
      <c r="H1221" s="14">
        <f t="shared" si="5"/>
        <v>16</v>
      </c>
      <c r="I1221" s="7" t="s">
        <v>399</v>
      </c>
      <c r="J1221" s="7" t="s">
        <v>468</v>
      </c>
      <c r="K1221" s="7" t="str">
        <f>VLOOKUP(J1221,countries,2,false)</f>
        <v>Luxembourg</v>
      </c>
      <c r="L1221" s="7" t="str">
        <f>VLOOKUP($J1221,countries,5,false)</f>
        <v>Europe</v>
      </c>
      <c r="M1221" s="7" t="str">
        <f>VLOOKUP($J1221,countries,6,false)</f>
        <v>Western Europe</v>
      </c>
      <c r="N1221" s="7">
        <v>2455.0</v>
      </c>
      <c r="O1221" s="7" t="str">
        <f>VLOOKUP(N1221, products, 2, FALSE)</f>
        <v>Clothes</v>
      </c>
      <c r="P1221" s="7" t="s">
        <v>264</v>
      </c>
      <c r="Q1221" s="7">
        <v>6700.0</v>
      </c>
      <c r="R1221" s="17">
        <v>109.28</v>
      </c>
      <c r="S1221" s="17">
        <v>35.84</v>
      </c>
      <c r="U1221" s="18">
        <f t="shared" si="6"/>
        <v>732176</v>
      </c>
      <c r="V1221" s="18">
        <f t="shared" si="7"/>
        <v>240128</v>
      </c>
      <c r="W1221" s="19">
        <f t="shared" si="8"/>
        <v>492048</v>
      </c>
    </row>
    <row r="1222">
      <c r="A1222" s="7">
        <v>9.22564303E8</v>
      </c>
      <c r="B1222" s="12">
        <v>42811.0</v>
      </c>
      <c r="C1222" s="7">
        <f t="shared" si="1"/>
        <v>2017</v>
      </c>
      <c r="D1222" s="14" t="str">
        <f t="shared" si="2"/>
        <v>03 - Mar</v>
      </c>
      <c r="E1222" s="15" t="str">
        <f t="shared" si="3"/>
        <v>Fri</v>
      </c>
      <c r="F1222" s="15">
        <f t="shared" si="4"/>
        <v>5</v>
      </c>
      <c r="G1222" s="16">
        <v>42827.0</v>
      </c>
      <c r="H1222" s="14">
        <f t="shared" si="5"/>
        <v>16</v>
      </c>
      <c r="I1222" s="7" t="s">
        <v>364</v>
      </c>
      <c r="J1222" s="7" t="s">
        <v>348</v>
      </c>
      <c r="K1222" s="7" t="s">
        <v>348</v>
      </c>
      <c r="L1222" s="7" t="s">
        <v>348</v>
      </c>
      <c r="M1222" s="7" t="s">
        <v>348</v>
      </c>
      <c r="N1222" s="7">
        <v>7940.0</v>
      </c>
      <c r="O1222" s="7" t="str">
        <f>VLOOKUP(N1222, products, 2, FALSE)</f>
        <v>Household</v>
      </c>
      <c r="P1222" s="7" t="s">
        <v>334</v>
      </c>
      <c r="Q1222" s="7">
        <v>6134.0</v>
      </c>
      <c r="R1222" s="17">
        <v>668.27</v>
      </c>
      <c r="S1222" s="17">
        <v>502.54</v>
      </c>
      <c r="U1222" s="18">
        <f t="shared" si="6"/>
        <v>4099168.18</v>
      </c>
      <c r="V1222" s="18">
        <f t="shared" si="7"/>
        <v>3082580.36</v>
      </c>
      <c r="W1222" s="19">
        <f t="shared" si="8"/>
        <v>1016587.82</v>
      </c>
    </row>
    <row r="1223">
      <c r="A1223" s="7">
        <v>9.23160398E8</v>
      </c>
      <c r="B1223" s="12">
        <v>42869.0</v>
      </c>
      <c r="C1223" s="7">
        <f t="shared" si="1"/>
        <v>2017</v>
      </c>
      <c r="D1223" s="14" t="str">
        <f t="shared" si="2"/>
        <v>05 - May</v>
      </c>
      <c r="E1223" s="15" t="str">
        <f t="shared" si="3"/>
        <v>Sun</v>
      </c>
      <c r="F1223" s="15">
        <f t="shared" si="4"/>
        <v>7</v>
      </c>
      <c r="G1223" s="16">
        <v>42901.0</v>
      </c>
      <c r="H1223" s="14">
        <f t="shared" si="5"/>
        <v>32</v>
      </c>
      <c r="I1223" s="7" t="s">
        <v>364</v>
      </c>
      <c r="J1223" s="7" t="s">
        <v>67</v>
      </c>
      <c r="K1223" s="7" t="str">
        <f>VLOOKUP(J1223,countries,2,false)</f>
        <v>Andorra</v>
      </c>
      <c r="L1223" s="7" t="str">
        <f>VLOOKUP($J1223,countries,5,false)</f>
        <v>Europe</v>
      </c>
      <c r="M1223" s="7" t="str">
        <f>VLOOKUP($J1223,countries,6,false)</f>
        <v>Southern Europe</v>
      </c>
      <c r="N1223" s="7">
        <v>2455.0</v>
      </c>
      <c r="O1223" s="7" t="str">
        <f>VLOOKUP(N1223, products, 2, FALSE)</f>
        <v>Clothes</v>
      </c>
      <c r="P1223" s="7" t="s">
        <v>334</v>
      </c>
      <c r="Q1223" s="7">
        <v>2531.0</v>
      </c>
      <c r="R1223" s="17">
        <v>109.28</v>
      </c>
      <c r="S1223" s="17">
        <v>35.84</v>
      </c>
      <c r="U1223" s="18">
        <f t="shared" si="6"/>
        <v>276587.68</v>
      </c>
      <c r="V1223" s="18">
        <f t="shared" si="7"/>
        <v>90711.04</v>
      </c>
      <c r="W1223" s="19">
        <f t="shared" si="8"/>
        <v>185876.64</v>
      </c>
    </row>
    <row r="1224">
      <c r="A1224" s="7">
        <v>9.23922574E8</v>
      </c>
      <c r="B1224" s="12">
        <v>40642.0</v>
      </c>
      <c r="C1224" s="7">
        <f t="shared" si="1"/>
        <v>2011</v>
      </c>
      <c r="D1224" s="14" t="str">
        <f t="shared" si="2"/>
        <v>04 - Apr</v>
      </c>
      <c r="E1224" s="15" t="str">
        <f t="shared" si="3"/>
        <v>Sat</v>
      </c>
      <c r="F1224" s="15">
        <f t="shared" si="4"/>
        <v>6</v>
      </c>
      <c r="G1224" s="16">
        <v>40686.0</v>
      </c>
      <c r="H1224" s="14">
        <f t="shared" si="5"/>
        <v>44</v>
      </c>
      <c r="I1224" s="7" t="s">
        <v>232</v>
      </c>
      <c r="J1224" s="7" t="s">
        <v>396</v>
      </c>
      <c r="K1224" s="7" t="str">
        <f>VLOOKUP(J1224,countries,2,false)</f>
        <v>Ireland</v>
      </c>
      <c r="L1224" s="7" t="str">
        <f>VLOOKUP($J1224,countries,5,false)</f>
        <v>Europe</v>
      </c>
      <c r="M1224" s="7" t="str">
        <f>VLOOKUP($J1224,countries,6,false)</f>
        <v>Northern Europe</v>
      </c>
      <c r="N1224" s="7">
        <v>5988.0</v>
      </c>
      <c r="O1224" s="7" t="str">
        <f>VLOOKUP(N1224, products, 2, FALSE)</f>
        <v>Vegetables</v>
      </c>
      <c r="P1224" s="7" t="s">
        <v>334</v>
      </c>
      <c r="Q1224" s="7">
        <v>8076.0</v>
      </c>
      <c r="R1224" s="17">
        <v>154.06</v>
      </c>
      <c r="S1224" s="17">
        <v>90.93</v>
      </c>
      <c r="U1224" s="18">
        <f t="shared" si="6"/>
        <v>1244188.56</v>
      </c>
      <c r="V1224" s="18">
        <f t="shared" si="7"/>
        <v>734350.68</v>
      </c>
      <c r="W1224" s="19">
        <f t="shared" si="8"/>
        <v>509837.88</v>
      </c>
    </row>
    <row r="1225">
      <c r="A1225" s="7">
        <v>9.26064479E8</v>
      </c>
      <c r="B1225" s="12">
        <v>42784.0</v>
      </c>
      <c r="C1225" s="7">
        <f t="shared" si="1"/>
        <v>2017</v>
      </c>
      <c r="D1225" s="14" t="str">
        <f t="shared" si="2"/>
        <v>02 - Feb</v>
      </c>
      <c r="E1225" s="15" t="str">
        <f t="shared" si="3"/>
        <v>Sat</v>
      </c>
      <c r="F1225" s="15">
        <f t="shared" si="4"/>
        <v>6</v>
      </c>
      <c r="G1225" s="16">
        <v>42804.0</v>
      </c>
      <c r="H1225" s="14">
        <f t="shared" si="5"/>
        <v>20</v>
      </c>
      <c r="I1225" s="7" t="s">
        <v>364</v>
      </c>
      <c r="J1225" s="7" t="s">
        <v>101</v>
      </c>
      <c r="K1225" s="7" t="str">
        <f>VLOOKUP(J1225,countries,2,false)</f>
        <v>Austria</v>
      </c>
      <c r="L1225" s="7" t="str">
        <f>VLOOKUP($J1225,countries,5,false)</f>
        <v>Europe</v>
      </c>
      <c r="M1225" s="7" t="str">
        <f>VLOOKUP($J1225,countries,6,false)</f>
        <v>Western Europe</v>
      </c>
      <c r="N1225" s="7">
        <v>8681.0</v>
      </c>
      <c r="O1225" s="7" t="str">
        <f>VLOOKUP(N1225, products, 2, FALSE)</f>
        <v>Office Supplies</v>
      </c>
      <c r="P1225" s="7" t="s">
        <v>264</v>
      </c>
      <c r="Q1225" s="7">
        <v>1913.0</v>
      </c>
      <c r="R1225" s="17">
        <v>651.21</v>
      </c>
      <c r="S1225" s="17">
        <v>524.96</v>
      </c>
      <c r="U1225" s="18">
        <f t="shared" si="6"/>
        <v>1245764.73</v>
      </c>
      <c r="V1225" s="18">
        <f t="shared" si="7"/>
        <v>1004248.48</v>
      </c>
      <c r="W1225" s="19">
        <f t="shared" si="8"/>
        <v>241516.25</v>
      </c>
    </row>
    <row r="1226">
      <c r="A1226" s="7">
        <v>9.26280772E8</v>
      </c>
      <c r="B1226" s="12">
        <v>42190.0</v>
      </c>
      <c r="C1226" s="7">
        <f t="shared" si="1"/>
        <v>2015</v>
      </c>
      <c r="D1226" s="14" t="str">
        <f t="shared" si="2"/>
        <v>07 - Jul</v>
      </c>
      <c r="E1226" s="15" t="str">
        <f t="shared" si="3"/>
        <v>Sun</v>
      </c>
      <c r="F1226" s="15">
        <f t="shared" si="4"/>
        <v>7</v>
      </c>
      <c r="G1226" s="16">
        <v>42206.0</v>
      </c>
      <c r="H1226" s="14">
        <f t="shared" si="5"/>
        <v>16</v>
      </c>
      <c r="I1226" s="7" t="s">
        <v>399</v>
      </c>
      <c r="J1226" s="7" t="s">
        <v>465</v>
      </c>
      <c r="K1226" s="7" t="str">
        <f>VLOOKUP(J1226,countries,2,false)</f>
        <v>Lithuania</v>
      </c>
      <c r="L1226" s="7" t="str">
        <f>VLOOKUP($J1226,countries,5,false)</f>
        <v>Europe</v>
      </c>
      <c r="M1226" s="7" t="str">
        <f>VLOOKUP($J1226,countries,6,false)</f>
        <v>Northern Europe</v>
      </c>
      <c r="N1226" s="7">
        <v>1270.0</v>
      </c>
      <c r="O1226" s="7" t="str">
        <f>VLOOKUP(N1226, products, 2, FALSE)</f>
        <v>Beverages</v>
      </c>
      <c r="P1226" s="7" t="s">
        <v>334</v>
      </c>
      <c r="Q1226" s="7">
        <v>5919.0</v>
      </c>
      <c r="R1226" s="17">
        <v>47.45</v>
      </c>
      <c r="S1226" s="17">
        <v>31.79</v>
      </c>
      <c r="U1226" s="18">
        <f t="shared" si="6"/>
        <v>280856.55</v>
      </c>
      <c r="V1226" s="18">
        <f t="shared" si="7"/>
        <v>188165.01</v>
      </c>
      <c r="W1226" s="19">
        <f t="shared" si="8"/>
        <v>92691.54</v>
      </c>
    </row>
    <row r="1227">
      <c r="A1227" s="7">
        <v>9.2676357E8</v>
      </c>
      <c r="B1227" s="12">
        <v>42690.0</v>
      </c>
      <c r="C1227" s="7">
        <f t="shared" si="1"/>
        <v>2016</v>
      </c>
      <c r="D1227" s="14" t="str">
        <f t="shared" si="2"/>
        <v>11 - Nov</v>
      </c>
      <c r="E1227" s="15" t="str">
        <f t="shared" si="3"/>
        <v>Wed</v>
      </c>
      <c r="F1227" s="15">
        <f t="shared" si="4"/>
        <v>3</v>
      </c>
      <c r="G1227" s="16">
        <v>42699.0</v>
      </c>
      <c r="H1227" s="14">
        <f t="shared" si="5"/>
        <v>9</v>
      </c>
      <c r="I1227" s="7" t="s">
        <v>399</v>
      </c>
      <c r="J1227" s="7" t="s">
        <v>516</v>
      </c>
      <c r="K1227" s="7" t="str">
        <f>VLOOKUP(J1227,countries,2,false)</f>
        <v>Monaco</v>
      </c>
      <c r="L1227" s="7" t="str">
        <f>VLOOKUP($J1227,countries,5,false)</f>
        <v>Europe</v>
      </c>
      <c r="M1227" s="7" t="str">
        <f>VLOOKUP($J1227,countries,6,false)</f>
        <v>Western Europe</v>
      </c>
      <c r="N1227" s="7">
        <v>2455.0</v>
      </c>
      <c r="O1227" s="7" t="str">
        <f>VLOOKUP(N1227, products, 2, FALSE)</f>
        <v>Clothes</v>
      </c>
      <c r="P1227" s="7" t="s">
        <v>334</v>
      </c>
      <c r="Q1227" s="7">
        <v>8790.0</v>
      </c>
      <c r="R1227" s="17">
        <v>109.28</v>
      </c>
      <c r="S1227" s="17">
        <v>35.84</v>
      </c>
      <c r="U1227" s="18">
        <f t="shared" si="6"/>
        <v>960571.2</v>
      </c>
      <c r="V1227" s="18">
        <f t="shared" si="7"/>
        <v>315033.6</v>
      </c>
      <c r="W1227" s="19">
        <f t="shared" si="8"/>
        <v>645537.6</v>
      </c>
    </row>
    <row r="1228">
      <c r="A1228" s="7">
        <v>9.26826655E8</v>
      </c>
      <c r="B1228" s="12">
        <v>40558.0</v>
      </c>
      <c r="C1228" s="7">
        <f t="shared" si="1"/>
        <v>2011</v>
      </c>
      <c r="D1228" s="14" t="str">
        <f t="shared" si="2"/>
        <v>01 - Jan</v>
      </c>
      <c r="E1228" s="15" t="str">
        <f t="shared" si="3"/>
        <v>Sat</v>
      </c>
      <c r="F1228" s="15">
        <f t="shared" si="4"/>
        <v>6</v>
      </c>
      <c r="G1228" s="16">
        <v>40590.0</v>
      </c>
      <c r="H1228" s="14">
        <f t="shared" si="5"/>
        <v>32</v>
      </c>
      <c r="I1228" s="7" t="s">
        <v>399</v>
      </c>
      <c r="J1228" s="7" t="s">
        <v>406</v>
      </c>
      <c r="K1228" s="7" t="str">
        <f>VLOOKUP(J1228,countries,2,false)</f>
        <v>Italy</v>
      </c>
      <c r="L1228" s="7" t="str">
        <f>VLOOKUP($J1228,countries,5,false)</f>
        <v>Europe</v>
      </c>
      <c r="M1228" s="7" t="str">
        <f>VLOOKUP($J1228,countries,6,false)</f>
        <v>Southern Europe</v>
      </c>
      <c r="N1228" s="7">
        <v>7331.0</v>
      </c>
      <c r="O1228" s="7" t="str">
        <f>VLOOKUP(N1228, products, 2, FALSE)</f>
        <v>Baby Food</v>
      </c>
      <c r="P1228" s="7" t="s">
        <v>264</v>
      </c>
      <c r="Q1228" s="7">
        <v>7458.0</v>
      </c>
      <c r="R1228" s="17">
        <v>255.28</v>
      </c>
      <c r="S1228" s="17">
        <v>159.42</v>
      </c>
      <c r="U1228" s="18">
        <f t="shared" si="6"/>
        <v>1903878.24</v>
      </c>
      <c r="V1228" s="18">
        <f t="shared" si="7"/>
        <v>1188954.36</v>
      </c>
      <c r="W1228" s="19">
        <f t="shared" si="8"/>
        <v>714923.88</v>
      </c>
    </row>
    <row r="1229">
      <c r="A1229" s="7">
        <v>9.27351081E8</v>
      </c>
      <c r="B1229" s="12">
        <v>40686.0</v>
      </c>
      <c r="C1229" s="7">
        <f t="shared" si="1"/>
        <v>2011</v>
      </c>
      <c r="D1229" s="14" t="str">
        <f t="shared" si="2"/>
        <v>05 - May</v>
      </c>
      <c r="E1229" s="15" t="str">
        <f t="shared" si="3"/>
        <v>Mon</v>
      </c>
      <c r="F1229" s="15">
        <f t="shared" si="4"/>
        <v>1</v>
      </c>
      <c r="G1229" s="16">
        <v>40696.0</v>
      </c>
      <c r="H1229" s="14">
        <f t="shared" si="5"/>
        <v>10</v>
      </c>
      <c r="I1229" s="7" t="s">
        <v>399</v>
      </c>
      <c r="J1229" s="7" t="s">
        <v>462</v>
      </c>
      <c r="K1229" s="7" t="str">
        <f>VLOOKUP(J1229,countries,2,false)</f>
        <v>Liechtenstein</v>
      </c>
      <c r="L1229" s="7" t="str">
        <f>VLOOKUP($J1229,countries,5,false)</f>
        <v>Europe</v>
      </c>
      <c r="M1229" s="7" t="str">
        <f>VLOOKUP($J1229,countries,6,false)</f>
        <v>Western Europe</v>
      </c>
      <c r="N1229" s="7">
        <v>5988.0</v>
      </c>
      <c r="O1229" s="7" t="str">
        <f>VLOOKUP(N1229, products, 2, FALSE)</f>
        <v>Vegetables</v>
      </c>
      <c r="P1229" s="7" t="s">
        <v>334</v>
      </c>
      <c r="Q1229" s="7">
        <v>2647.0</v>
      </c>
      <c r="R1229" s="17">
        <v>154.06</v>
      </c>
      <c r="S1229" s="17">
        <v>90.93</v>
      </c>
      <c r="U1229" s="18">
        <f t="shared" si="6"/>
        <v>407796.82</v>
      </c>
      <c r="V1229" s="18">
        <f t="shared" si="7"/>
        <v>240691.71</v>
      </c>
      <c r="W1229" s="19">
        <f t="shared" si="8"/>
        <v>167105.11</v>
      </c>
    </row>
    <row r="1230">
      <c r="A1230" s="7">
        <v>9.28168189E8</v>
      </c>
      <c r="B1230" s="12">
        <v>40591.0</v>
      </c>
      <c r="C1230" s="7">
        <f t="shared" si="1"/>
        <v>2011</v>
      </c>
      <c r="D1230" s="14" t="str">
        <f t="shared" si="2"/>
        <v>02 - Feb</v>
      </c>
      <c r="E1230" s="15" t="str">
        <f t="shared" si="3"/>
        <v>Thu</v>
      </c>
      <c r="F1230" s="15">
        <f t="shared" si="4"/>
        <v>4</v>
      </c>
      <c r="G1230" s="16">
        <v>40617.0</v>
      </c>
      <c r="H1230" s="14">
        <f t="shared" si="5"/>
        <v>26</v>
      </c>
      <c r="I1230" s="7" t="s">
        <v>399</v>
      </c>
      <c r="J1230" s="7" t="s">
        <v>165</v>
      </c>
      <c r="K1230" s="7" t="str">
        <f>VLOOKUP(J1230,countries,2,false)</f>
        <v>Bulgaria</v>
      </c>
      <c r="L1230" s="7" t="str">
        <f>VLOOKUP($J1230,countries,5,false)</f>
        <v>Europe</v>
      </c>
      <c r="M1230" s="7" t="str">
        <f>VLOOKUP($J1230,countries,6,false)</f>
        <v>Eastern Europe</v>
      </c>
      <c r="N1230" s="7">
        <v>2103.0</v>
      </c>
      <c r="O1230" s="7" t="str">
        <f>VLOOKUP(N1230, products, 2, FALSE)</f>
        <v>Cereal</v>
      </c>
      <c r="P1230" s="7" t="s">
        <v>334</v>
      </c>
      <c r="Q1230" s="7">
        <v>4448.0</v>
      </c>
      <c r="R1230" s="17">
        <v>205.7</v>
      </c>
      <c r="S1230" s="17">
        <v>117.11</v>
      </c>
      <c r="U1230" s="18">
        <f t="shared" si="6"/>
        <v>914953.6</v>
      </c>
      <c r="V1230" s="18">
        <f t="shared" si="7"/>
        <v>520905.28</v>
      </c>
      <c r="W1230" s="19">
        <f t="shared" si="8"/>
        <v>394048.32</v>
      </c>
    </row>
    <row r="1231">
      <c r="A1231" s="7">
        <v>9.29812705E8</v>
      </c>
      <c r="B1231" s="12">
        <v>42877.0</v>
      </c>
      <c r="C1231" s="7">
        <f t="shared" si="1"/>
        <v>2017</v>
      </c>
      <c r="D1231" s="14" t="str">
        <f t="shared" si="2"/>
        <v>05 - May</v>
      </c>
      <c r="E1231" s="15" t="str">
        <f t="shared" si="3"/>
        <v>Mon</v>
      </c>
      <c r="F1231" s="15">
        <f t="shared" si="4"/>
        <v>1</v>
      </c>
      <c r="G1231" s="16">
        <v>42880.0</v>
      </c>
      <c r="H1231" s="14">
        <f t="shared" si="5"/>
        <v>3</v>
      </c>
      <c r="I1231" s="7" t="s">
        <v>399</v>
      </c>
      <c r="J1231" s="7" t="s">
        <v>623</v>
      </c>
      <c r="K1231" s="7" t="str">
        <f>VLOOKUP(J1231,countries,2,false)</f>
        <v>Romania</v>
      </c>
      <c r="L1231" s="7" t="str">
        <f>VLOOKUP($J1231,countries,5,false)</f>
        <v>Europe</v>
      </c>
      <c r="M1231" s="7" t="str">
        <f>VLOOKUP($J1231,countries,6,false)</f>
        <v>Eastern Europe</v>
      </c>
      <c r="N1231" s="7">
        <v>8875.0</v>
      </c>
      <c r="O1231" s="7" t="str">
        <f>VLOOKUP(N1231, products, 2, FALSE)</f>
        <v>Meat</v>
      </c>
      <c r="P1231" s="7" t="s">
        <v>264</v>
      </c>
      <c r="Q1231" s="7">
        <v>1097.0</v>
      </c>
      <c r="R1231" s="17">
        <v>421.89</v>
      </c>
      <c r="S1231" s="17">
        <v>364.69</v>
      </c>
      <c r="U1231" s="18">
        <f t="shared" si="6"/>
        <v>462813.33</v>
      </c>
      <c r="V1231" s="18">
        <f t="shared" si="7"/>
        <v>400064.93</v>
      </c>
      <c r="W1231" s="19">
        <f t="shared" si="8"/>
        <v>62748.4</v>
      </c>
    </row>
    <row r="1232">
      <c r="A1232" s="7">
        <v>9.30136287E8</v>
      </c>
      <c r="B1232" s="12">
        <v>41779.0</v>
      </c>
      <c r="C1232" s="7">
        <f t="shared" si="1"/>
        <v>2014</v>
      </c>
      <c r="D1232" s="14" t="str">
        <f t="shared" si="2"/>
        <v>05 - May</v>
      </c>
      <c r="E1232" s="15" t="str">
        <f t="shared" si="3"/>
        <v>Tue</v>
      </c>
      <c r="F1232" s="15">
        <f t="shared" si="4"/>
        <v>2</v>
      </c>
      <c r="G1232" s="16">
        <v>41811.0</v>
      </c>
      <c r="H1232" s="14">
        <f t="shared" si="5"/>
        <v>32</v>
      </c>
      <c r="I1232" s="7" t="s">
        <v>364</v>
      </c>
      <c r="J1232" s="7" t="s">
        <v>378</v>
      </c>
      <c r="K1232" s="7" t="str">
        <f>VLOOKUP(J1232,countries,2,false)</f>
        <v>Hungary</v>
      </c>
      <c r="L1232" s="7" t="str">
        <f>VLOOKUP($J1232,countries,5,false)</f>
        <v>Europe</v>
      </c>
      <c r="M1232" s="7" t="str">
        <f>VLOOKUP($J1232,countries,6,false)</f>
        <v>Eastern Europe</v>
      </c>
      <c r="N1232" s="7">
        <v>1270.0</v>
      </c>
      <c r="O1232" s="7" t="str">
        <f>VLOOKUP(N1232, products, 2, FALSE)</f>
        <v>Beverages</v>
      </c>
      <c r="P1232" s="7" t="s">
        <v>264</v>
      </c>
      <c r="Q1232" s="7">
        <v>6852.0</v>
      </c>
      <c r="R1232" s="17">
        <v>47.45</v>
      </c>
      <c r="S1232" s="17">
        <v>31.79</v>
      </c>
      <c r="U1232" s="18">
        <f t="shared" si="6"/>
        <v>325127.4</v>
      </c>
      <c r="V1232" s="18">
        <f t="shared" si="7"/>
        <v>217825.08</v>
      </c>
      <c r="W1232" s="19">
        <f t="shared" si="8"/>
        <v>107302.32</v>
      </c>
    </row>
    <row r="1233">
      <c r="A1233" s="7">
        <v>9.3029679E8</v>
      </c>
      <c r="B1233" s="12">
        <v>40229.0</v>
      </c>
      <c r="C1233" s="7">
        <f t="shared" si="1"/>
        <v>2010</v>
      </c>
      <c r="D1233" s="14" t="str">
        <f t="shared" si="2"/>
        <v>02 - Feb</v>
      </c>
      <c r="E1233" s="15" t="str">
        <f t="shared" si="3"/>
        <v>Sat</v>
      </c>
      <c r="F1233" s="15">
        <f t="shared" si="4"/>
        <v>6</v>
      </c>
      <c r="G1233" s="16">
        <v>40263.0</v>
      </c>
      <c r="H1233" s="14">
        <f t="shared" si="5"/>
        <v>34</v>
      </c>
      <c r="I1233" s="7" t="s">
        <v>305</v>
      </c>
      <c r="J1233" s="7" t="s">
        <v>465</v>
      </c>
      <c r="K1233" s="7" t="str">
        <f>VLOOKUP(J1233,countries,2,false)</f>
        <v>Lithuania</v>
      </c>
      <c r="L1233" s="7" t="str">
        <f>VLOOKUP($J1233,countries,5,false)</f>
        <v>Europe</v>
      </c>
      <c r="M1233" s="7" t="str">
        <f>VLOOKUP($J1233,countries,6,false)</f>
        <v>Northern Europe</v>
      </c>
      <c r="N1233" s="7">
        <v>8875.0</v>
      </c>
      <c r="O1233" s="7" t="str">
        <f>VLOOKUP(N1233, products, 2, FALSE)</f>
        <v>Meat</v>
      </c>
      <c r="P1233" s="7" t="s">
        <v>334</v>
      </c>
      <c r="Q1233" s="7">
        <v>4348.0</v>
      </c>
      <c r="R1233" s="17">
        <v>421.89</v>
      </c>
      <c r="S1233" s="17">
        <v>364.69</v>
      </c>
      <c r="U1233" s="18">
        <f t="shared" si="6"/>
        <v>1834377.72</v>
      </c>
      <c r="V1233" s="18">
        <f t="shared" si="7"/>
        <v>1585672.12</v>
      </c>
      <c r="W1233" s="19">
        <f t="shared" si="8"/>
        <v>248705.6</v>
      </c>
    </row>
    <row r="1234">
      <c r="A1234" s="7">
        <v>9.30457293E8</v>
      </c>
      <c r="B1234" s="12">
        <v>41445.0</v>
      </c>
      <c r="C1234" s="7">
        <f t="shared" si="1"/>
        <v>2013</v>
      </c>
      <c r="D1234" s="14" t="str">
        <f t="shared" si="2"/>
        <v>06 - Jun</v>
      </c>
      <c r="E1234" s="15" t="str">
        <f t="shared" si="3"/>
        <v>Thu</v>
      </c>
      <c r="F1234" s="15">
        <f t="shared" si="4"/>
        <v>4</v>
      </c>
      <c r="G1234" s="16">
        <v>41481.0</v>
      </c>
      <c r="H1234" s="14">
        <f t="shared" si="5"/>
        <v>36</v>
      </c>
      <c r="I1234" s="7" t="s">
        <v>399</v>
      </c>
      <c r="J1234" s="7" t="s">
        <v>365</v>
      </c>
      <c r="K1234" s="7" t="str">
        <f>VLOOKUP(J1234,countries,2,false)</f>
        <v>Montenegro</v>
      </c>
      <c r="L1234" s="7" t="str">
        <f>VLOOKUP($J1234,countries,5,false)</f>
        <v>Europe</v>
      </c>
      <c r="M1234" s="7" t="str">
        <f>VLOOKUP($J1234,countries,6,false)</f>
        <v>Southern Europe</v>
      </c>
      <c r="N1234" s="7">
        <v>2103.0</v>
      </c>
      <c r="O1234" s="7" t="str">
        <f>VLOOKUP(N1234, products, 2, FALSE)</f>
        <v>Cereal</v>
      </c>
      <c r="P1234" s="7" t="s">
        <v>334</v>
      </c>
      <c r="Q1234" s="7">
        <v>1845.0</v>
      </c>
      <c r="R1234" s="17">
        <v>205.7</v>
      </c>
      <c r="S1234" s="17">
        <v>117.11</v>
      </c>
      <c r="U1234" s="18">
        <f t="shared" si="6"/>
        <v>379516.5</v>
      </c>
      <c r="V1234" s="18">
        <f t="shared" si="7"/>
        <v>216067.95</v>
      </c>
      <c r="W1234" s="19">
        <f t="shared" si="8"/>
        <v>163448.55</v>
      </c>
    </row>
    <row r="1235">
      <c r="A1235" s="7">
        <v>9.30670154E8</v>
      </c>
      <c r="B1235" s="12">
        <v>42792.0</v>
      </c>
      <c r="C1235" s="7">
        <f t="shared" si="1"/>
        <v>2017</v>
      </c>
      <c r="D1235" s="14" t="str">
        <f t="shared" si="2"/>
        <v>02 - Feb</v>
      </c>
      <c r="E1235" s="15" t="str">
        <f t="shared" si="3"/>
        <v>Sun</v>
      </c>
      <c r="F1235" s="15">
        <f t="shared" si="4"/>
        <v>7</v>
      </c>
      <c r="G1235" s="16">
        <v>42809.0</v>
      </c>
      <c r="H1235" s="14">
        <f t="shared" si="5"/>
        <v>17</v>
      </c>
      <c r="I1235" s="7" t="s">
        <v>364</v>
      </c>
      <c r="J1235" s="7" t="s">
        <v>233</v>
      </c>
      <c r="K1235" s="7" t="str">
        <f>VLOOKUP(J1235,countries,2,false)</f>
        <v>Norway</v>
      </c>
      <c r="L1235" s="7" t="str">
        <f>VLOOKUP($J1235,countries,5,false)</f>
        <v>Europe</v>
      </c>
      <c r="M1235" s="7" t="str">
        <f>VLOOKUP($J1235,countries,6,false)</f>
        <v>Northern Europe</v>
      </c>
      <c r="N1235" s="7">
        <v>8875.0</v>
      </c>
      <c r="O1235" s="7" t="str">
        <f>VLOOKUP(N1235, products, 2, FALSE)</f>
        <v>Meat</v>
      </c>
      <c r="P1235" s="7" t="s">
        <v>264</v>
      </c>
      <c r="Q1235" s="7">
        <v>4835.0</v>
      </c>
      <c r="R1235" s="17">
        <v>421.89</v>
      </c>
      <c r="S1235" s="17">
        <v>364.69</v>
      </c>
      <c r="U1235" s="18">
        <f t="shared" si="6"/>
        <v>2039838.15</v>
      </c>
      <c r="V1235" s="18">
        <f t="shared" si="7"/>
        <v>1763276.15</v>
      </c>
      <c r="W1235" s="19">
        <f t="shared" si="8"/>
        <v>276562</v>
      </c>
    </row>
    <row r="1236">
      <c r="A1236" s="7">
        <v>9.3147782E8</v>
      </c>
      <c r="B1236" s="12">
        <v>41813.0</v>
      </c>
      <c r="C1236" s="7">
        <f t="shared" si="1"/>
        <v>2014</v>
      </c>
      <c r="D1236" s="14" t="str">
        <f t="shared" si="2"/>
        <v>06 - Jun</v>
      </c>
      <c r="E1236" s="15" t="str">
        <f t="shared" si="3"/>
        <v>Mon</v>
      </c>
      <c r="F1236" s="15">
        <f t="shared" si="4"/>
        <v>1</v>
      </c>
      <c r="G1236" s="16">
        <v>41839.0</v>
      </c>
      <c r="H1236" s="14">
        <f t="shared" si="5"/>
        <v>26</v>
      </c>
      <c r="I1236" s="7" t="s">
        <v>364</v>
      </c>
      <c r="J1236" s="7" t="s">
        <v>124</v>
      </c>
      <c r="K1236" s="7" t="str">
        <f>VLOOKUP(J1236,countries,2,false)</f>
        <v>Belgium</v>
      </c>
      <c r="L1236" s="7" t="str">
        <f>VLOOKUP($J1236,countries,5,false)</f>
        <v>Europe</v>
      </c>
      <c r="M1236" s="7" t="str">
        <f>VLOOKUP($J1236,countries,6,false)</f>
        <v>Western Europe</v>
      </c>
      <c r="N1236" s="7">
        <v>1270.0</v>
      </c>
      <c r="O1236" s="7" t="str">
        <f>VLOOKUP(N1236, products, 2, FALSE)</f>
        <v>Beverages</v>
      </c>
      <c r="P1236" s="7" t="s">
        <v>264</v>
      </c>
      <c r="Q1236" s="7">
        <v>3841.0</v>
      </c>
      <c r="R1236" s="17">
        <v>47.45</v>
      </c>
      <c r="S1236" s="17">
        <v>31.79</v>
      </c>
      <c r="U1236" s="18">
        <f t="shared" si="6"/>
        <v>182255.45</v>
      </c>
      <c r="V1236" s="18">
        <f t="shared" si="7"/>
        <v>122105.39</v>
      </c>
      <c r="W1236" s="19">
        <f t="shared" si="8"/>
        <v>60150.06</v>
      </c>
    </row>
    <row r="1237">
      <c r="A1237" s="7">
        <v>9.31559789E8</v>
      </c>
      <c r="B1237" s="12">
        <v>41450.0</v>
      </c>
      <c r="C1237" s="7">
        <f t="shared" si="1"/>
        <v>2013</v>
      </c>
      <c r="D1237" s="14" t="str">
        <f t="shared" si="2"/>
        <v>06 - Jun</v>
      </c>
      <c r="E1237" s="15" t="str">
        <f t="shared" si="3"/>
        <v>Tue</v>
      </c>
      <c r="F1237" s="15">
        <f t="shared" si="4"/>
        <v>2</v>
      </c>
      <c r="G1237" s="16">
        <v>41460.0</v>
      </c>
      <c r="H1237" s="14">
        <f t="shared" si="5"/>
        <v>10</v>
      </c>
      <c r="I1237" s="7" t="s">
        <v>305</v>
      </c>
      <c r="J1237" s="7" t="s">
        <v>378</v>
      </c>
      <c r="K1237" s="7" t="str">
        <f>VLOOKUP(J1237,countries,2,false)</f>
        <v>Hungary</v>
      </c>
      <c r="L1237" s="7" t="str">
        <f>VLOOKUP($J1237,countries,5,false)</f>
        <v>Europe</v>
      </c>
      <c r="M1237" s="7" t="str">
        <f>VLOOKUP($J1237,countries,6,false)</f>
        <v>Eastern Europe</v>
      </c>
      <c r="N1237" s="7">
        <v>2455.0</v>
      </c>
      <c r="O1237" s="7" t="str">
        <f>VLOOKUP(N1237, products, 2, FALSE)</f>
        <v>Clothes</v>
      </c>
      <c r="P1237" s="7" t="s">
        <v>334</v>
      </c>
      <c r="Q1237" s="7">
        <v>8098.0</v>
      </c>
      <c r="R1237" s="17">
        <v>109.28</v>
      </c>
      <c r="S1237" s="17">
        <v>35.84</v>
      </c>
      <c r="U1237" s="18">
        <f t="shared" si="6"/>
        <v>884949.44</v>
      </c>
      <c r="V1237" s="18">
        <f t="shared" si="7"/>
        <v>290232.32</v>
      </c>
      <c r="W1237" s="19">
        <f t="shared" si="8"/>
        <v>594717.12</v>
      </c>
    </row>
    <row r="1238">
      <c r="A1238" s="7">
        <v>9.32475602E8</v>
      </c>
      <c r="B1238" s="12">
        <v>41556.0</v>
      </c>
      <c r="C1238" s="7">
        <f t="shared" si="1"/>
        <v>2013</v>
      </c>
      <c r="D1238" s="14" t="str">
        <f t="shared" si="2"/>
        <v>10 - Oct</v>
      </c>
      <c r="E1238" s="15" t="str">
        <f t="shared" si="3"/>
        <v>Wed</v>
      </c>
      <c r="F1238" s="15">
        <f t="shared" si="4"/>
        <v>3</v>
      </c>
      <c r="G1238" s="16">
        <v>41599.0</v>
      </c>
      <c r="H1238" s="14">
        <f t="shared" si="5"/>
        <v>43</v>
      </c>
      <c r="I1238" s="7" t="s">
        <v>364</v>
      </c>
      <c r="J1238" s="7" t="s">
        <v>67</v>
      </c>
      <c r="K1238" s="7" t="str">
        <f>VLOOKUP(J1238,countries,2,false)</f>
        <v>Andorra</v>
      </c>
      <c r="L1238" s="7" t="str">
        <f>VLOOKUP($J1238,countries,5,false)</f>
        <v>Europe</v>
      </c>
      <c r="M1238" s="7" t="str">
        <f>VLOOKUP($J1238,countries,6,false)</f>
        <v>Southern Europe</v>
      </c>
      <c r="N1238" s="7">
        <v>1270.0</v>
      </c>
      <c r="O1238" s="7" t="str">
        <f>VLOOKUP(N1238, products, 2, FALSE)</f>
        <v>Beverages</v>
      </c>
      <c r="P1238" s="7" t="s">
        <v>334</v>
      </c>
      <c r="Q1238" s="7">
        <v>9107.0</v>
      </c>
      <c r="R1238" s="17">
        <v>47.45</v>
      </c>
      <c r="S1238" s="17">
        <v>31.79</v>
      </c>
      <c r="U1238" s="18">
        <f t="shared" si="6"/>
        <v>432127.15</v>
      </c>
      <c r="V1238" s="18">
        <f t="shared" si="7"/>
        <v>289511.53</v>
      </c>
      <c r="W1238" s="19">
        <f t="shared" si="8"/>
        <v>142615.62</v>
      </c>
    </row>
    <row r="1239">
      <c r="A1239" s="7">
        <v>9.33642041E8</v>
      </c>
      <c r="B1239" s="12">
        <v>41018.0</v>
      </c>
      <c r="C1239" s="7">
        <f t="shared" si="1"/>
        <v>2012</v>
      </c>
      <c r="D1239" s="14" t="str">
        <f t="shared" si="2"/>
        <v>04 - Apr</v>
      </c>
      <c r="E1239" s="15" t="str">
        <f t="shared" si="3"/>
        <v>Thu</v>
      </c>
      <c r="F1239" s="15">
        <f t="shared" si="4"/>
        <v>4</v>
      </c>
      <c r="G1239" s="16">
        <v>41048.0</v>
      </c>
      <c r="H1239" s="14">
        <f t="shared" si="5"/>
        <v>30</v>
      </c>
      <c r="I1239" s="7" t="s">
        <v>399</v>
      </c>
      <c r="J1239" s="7" t="s">
        <v>365</v>
      </c>
      <c r="K1239" s="7" t="str">
        <f>VLOOKUP(J1239,countries,2,false)</f>
        <v>Montenegro</v>
      </c>
      <c r="L1239" s="7" t="str">
        <f>VLOOKUP($J1239,countries,5,false)</f>
        <v>Europe</v>
      </c>
      <c r="M1239" s="7" t="str">
        <f>VLOOKUP($J1239,countries,6,false)</f>
        <v>Southern Europe</v>
      </c>
      <c r="N1239" s="7">
        <v>3127.0</v>
      </c>
      <c r="O1239" s="7" t="str">
        <f>VLOOKUP(N1239, products, 2, FALSE)</f>
        <v>Personal Care</v>
      </c>
      <c r="P1239" s="7" t="s">
        <v>264</v>
      </c>
      <c r="Q1239" s="7">
        <v>4282.0</v>
      </c>
      <c r="R1239" s="17">
        <v>81.73</v>
      </c>
      <c r="S1239" s="17">
        <v>56.67</v>
      </c>
      <c r="U1239" s="18">
        <f t="shared" si="6"/>
        <v>349967.86</v>
      </c>
      <c r="V1239" s="18">
        <f t="shared" si="7"/>
        <v>242660.94</v>
      </c>
      <c r="W1239" s="19">
        <f t="shared" si="8"/>
        <v>107306.92</v>
      </c>
    </row>
    <row r="1240">
      <c r="A1240" s="7">
        <v>9.33699119E8</v>
      </c>
      <c r="B1240" s="12">
        <v>41591.0</v>
      </c>
      <c r="C1240" s="7">
        <f t="shared" si="1"/>
        <v>2013</v>
      </c>
      <c r="D1240" s="14" t="str">
        <f t="shared" si="2"/>
        <v>11 - Nov</v>
      </c>
      <c r="E1240" s="15" t="str">
        <f t="shared" si="3"/>
        <v>Wed</v>
      </c>
      <c r="F1240" s="15">
        <f t="shared" si="4"/>
        <v>3</v>
      </c>
      <c r="G1240" s="16">
        <v>41602.0</v>
      </c>
      <c r="H1240" s="14">
        <f t="shared" si="5"/>
        <v>11</v>
      </c>
      <c r="I1240" s="7" t="s">
        <v>305</v>
      </c>
      <c r="J1240" s="7" t="s">
        <v>546</v>
      </c>
      <c r="K1240" s="7" t="str">
        <f>VLOOKUP(J1240,countries,2,false)</f>
        <v>Netherlands</v>
      </c>
      <c r="L1240" s="7" t="str">
        <f>VLOOKUP($J1240,countries,5,false)</f>
        <v>Europe</v>
      </c>
      <c r="M1240" s="7" t="str">
        <f>VLOOKUP($J1240,countries,6,false)</f>
        <v>Western Europe</v>
      </c>
      <c r="N1240" s="7">
        <v>3127.0</v>
      </c>
      <c r="O1240" s="7" t="str">
        <f>VLOOKUP(N1240, products, 2, FALSE)</f>
        <v>Personal Care</v>
      </c>
      <c r="P1240" s="7" t="s">
        <v>334</v>
      </c>
      <c r="Q1240" s="7">
        <v>1173.0</v>
      </c>
      <c r="R1240" s="17">
        <v>81.73</v>
      </c>
      <c r="S1240" s="17">
        <v>56.67</v>
      </c>
      <c r="U1240" s="18">
        <f t="shared" si="6"/>
        <v>95869.29</v>
      </c>
      <c r="V1240" s="18">
        <f t="shared" si="7"/>
        <v>66473.91</v>
      </c>
      <c r="W1240" s="19">
        <f t="shared" si="8"/>
        <v>29395.38</v>
      </c>
    </row>
    <row r="1241">
      <c r="A1241" s="7">
        <v>9.33720576E8</v>
      </c>
      <c r="B1241" s="12">
        <v>42596.0</v>
      </c>
      <c r="C1241" s="7">
        <f t="shared" si="1"/>
        <v>2016</v>
      </c>
      <c r="D1241" s="14" t="str">
        <f t="shared" si="2"/>
        <v>08 - Aug</v>
      </c>
      <c r="E1241" s="15" t="str">
        <f t="shared" si="3"/>
        <v>Sun</v>
      </c>
      <c r="F1241" s="15">
        <f t="shared" si="4"/>
        <v>7</v>
      </c>
      <c r="G1241" s="16">
        <v>42644.0</v>
      </c>
      <c r="H1241" s="14">
        <f t="shared" si="5"/>
        <v>48</v>
      </c>
      <c r="I1241" s="7" t="s">
        <v>399</v>
      </c>
      <c r="J1241" s="7" t="s">
        <v>462</v>
      </c>
      <c r="K1241" s="7" t="str">
        <f>VLOOKUP(J1241,countries,2,false)</f>
        <v>Liechtenstein</v>
      </c>
      <c r="L1241" s="7" t="str">
        <f>VLOOKUP($J1241,countries,5,false)</f>
        <v>Europe</v>
      </c>
      <c r="M1241" s="7" t="str">
        <f>VLOOKUP($J1241,countries,6,false)</f>
        <v>Western Europe</v>
      </c>
      <c r="N1241" s="7">
        <v>5988.0</v>
      </c>
      <c r="O1241" s="7" t="str">
        <f>VLOOKUP(N1241, products, 2, FALSE)</f>
        <v>Vegetables</v>
      </c>
      <c r="P1241" s="7" t="s">
        <v>334</v>
      </c>
      <c r="Q1241" s="7">
        <v>7523.0</v>
      </c>
      <c r="R1241" s="17">
        <v>154.06</v>
      </c>
      <c r="S1241" s="17">
        <v>90.93</v>
      </c>
      <c r="U1241" s="18">
        <f t="shared" si="6"/>
        <v>1158993.38</v>
      </c>
      <c r="V1241" s="18">
        <f t="shared" si="7"/>
        <v>684066.39</v>
      </c>
      <c r="W1241" s="19">
        <f t="shared" si="8"/>
        <v>474926.99</v>
      </c>
    </row>
    <row r="1242">
      <c r="A1242" s="7">
        <v>9.33963048E8</v>
      </c>
      <c r="B1242" s="12">
        <v>40684.0</v>
      </c>
      <c r="C1242" s="7">
        <f t="shared" si="1"/>
        <v>2011</v>
      </c>
      <c r="D1242" s="14" t="str">
        <f t="shared" si="2"/>
        <v>05 - May</v>
      </c>
      <c r="E1242" s="15" t="str">
        <f t="shared" si="3"/>
        <v>Sat</v>
      </c>
      <c r="F1242" s="15">
        <f t="shared" si="4"/>
        <v>6</v>
      </c>
      <c r="G1242" s="16">
        <v>40718.0</v>
      </c>
      <c r="H1242" s="14">
        <f t="shared" si="5"/>
        <v>34</v>
      </c>
      <c r="I1242" s="7" t="s">
        <v>232</v>
      </c>
      <c r="J1242" s="7" t="s">
        <v>720</v>
      </c>
      <c r="K1242" s="7" t="str">
        <f>VLOOKUP(J1242,countries,2,false)</f>
        <v>Switzerland</v>
      </c>
      <c r="L1242" s="7" t="str">
        <f>VLOOKUP($J1242,countries,5,false)</f>
        <v>Europe</v>
      </c>
      <c r="M1242" s="7" t="str">
        <f>VLOOKUP($J1242,countries,6,false)</f>
        <v>Western Europe</v>
      </c>
      <c r="N1242" s="7">
        <v>2455.0</v>
      </c>
      <c r="O1242" s="7" t="str">
        <f>VLOOKUP(N1242, products, 2, FALSE)</f>
        <v>Clothes</v>
      </c>
      <c r="P1242" s="7" t="s">
        <v>334</v>
      </c>
      <c r="Q1242" s="7">
        <v>9275.0</v>
      </c>
      <c r="R1242" s="17">
        <v>109.28</v>
      </c>
      <c r="S1242" s="17">
        <v>35.84</v>
      </c>
      <c r="U1242" s="18">
        <f t="shared" si="6"/>
        <v>1013572</v>
      </c>
      <c r="V1242" s="18">
        <f t="shared" si="7"/>
        <v>332416</v>
      </c>
      <c r="W1242" s="19">
        <f t="shared" si="8"/>
        <v>681156</v>
      </c>
    </row>
    <row r="1243">
      <c r="A1243" s="7">
        <v>9.34718358E8</v>
      </c>
      <c r="B1243" s="12">
        <v>42340.0</v>
      </c>
      <c r="C1243" s="7">
        <f t="shared" si="1"/>
        <v>2015</v>
      </c>
      <c r="D1243" s="14" t="str">
        <f t="shared" si="2"/>
        <v>12 - Dec</v>
      </c>
      <c r="E1243" s="15" t="str">
        <f t="shared" si="3"/>
        <v>Wed</v>
      </c>
      <c r="F1243" s="15">
        <f t="shared" si="4"/>
        <v>3</v>
      </c>
      <c r="G1243" s="16">
        <v>42354.0</v>
      </c>
      <c r="H1243" s="14">
        <f t="shared" si="5"/>
        <v>14</v>
      </c>
      <c r="I1243" s="7" t="s">
        <v>399</v>
      </c>
      <c r="J1243" s="7" t="s">
        <v>396</v>
      </c>
      <c r="K1243" s="7" t="str">
        <f>VLOOKUP(J1243,countries,2,false)</f>
        <v>Ireland</v>
      </c>
      <c r="L1243" s="7" t="str">
        <f>VLOOKUP($J1243,countries,5,false)</f>
        <v>Europe</v>
      </c>
      <c r="M1243" s="7" t="str">
        <f>VLOOKUP($J1243,countries,6,false)</f>
        <v>Northern Europe</v>
      </c>
      <c r="N1243" s="7">
        <v>5988.0</v>
      </c>
      <c r="O1243" s="7" t="str">
        <f>VLOOKUP(N1243, products, 2, FALSE)</f>
        <v>Vegetables</v>
      </c>
      <c r="P1243" s="7" t="s">
        <v>264</v>
      </c>
      <c r="Q1243" s="7">
        <v>2789.0</v>
      </c>
      <c r="R1243" s="17">
        <v>154.06</v>
      </c>
      <c r="S1243" s="17">
        <v>90.93</v>
      </c>
      <c r="U1243" s="18">
        <f t="shared" si="6"/>
        <v>429673.34</v>
      </c>
      <c r="V1243" s="18">
        <f t="shared" si="7"/>
        <v>253603.77</v>
      </c>
      <c r="W1243" s="19">
        <f t="shared" si="8"/>
        <v>176069.57</v>
      </c>
    </row>
    <row r="1244">
      <c r="A1244" s="7">
        <v>9.35789954E8</v>
      </c>
      <c r="B1244" s="12">
        <v>40454.0</v>
      </c>
      <c r="C1244" s="7">
        <f t="shared" si="1"/>
        <v>2010</v>
      </c>
      <c r="D1244" s="14" t="str">
        <f t="shared" si="2"/>
        <v>10 - Oct</v>
      </c>
      <c r="E1244" s="15" t="str">
        <f t="shared" si="3"/>
        <v>Sun</v>
      </c>
      <c r="F1244" s="15">
        <f t="shared" si="4"/>
        <v>7</v>
      </c>
      <c r="G1244" s="16">
        <v>40500.0</v>
      </c>
      <c r="H1244" s="14">
        <f t="shared" si="5"/>
        <v>46</v>
      </c>
      <c r="I1244" s="7" t="s">
        <v>364</v>
      </c>
      <c r="J1244" s="7" t="s">
        <v>120</v>
      </c>
      <c r="K1244" s="7" t="str">
        <f>VLOOKUP(J1244,countries,2,false)</f>
        <v>Belarus</v>
      </c>
      <c r="L1244" s="7" t="str">
        <f>VLOOKUP($J1244,countries,5,false)</f>
        <v>Europe</v>
      </c>
      <c r="M1244" s="7" t="str">
        <f>VLOOKUP($J1244,countries,6,false)</f>
        <v>Eastern Europe</v>
      </c>
      <c r="N1244" s="7">
        <v>1270.0</v>
      </c>
      <c r="O1244" s="7" t="str">
        <f>VLOOKUP(N1244, products, 2, FALSE)</f>
        <v>Beverages</v>
      </c>
      <c r="P1244" s="7" t="s">
        <v>264</v>
      </c>
      <c r="Q1244" s="7">
        <v>9898.0</v>
      </c>
      <c r="R1244" s="17">
        <v>47.45</v>
      </c>
      <c r="S1244" s="17">
        <v>31.79</v>
      </c>
      <c r="U1244" s="18">
        <f t="shared" si="6"/>
        <v>469660.1</v>
      </c>
      <c r="V1244" s="18">
        <f t="shared" si="7"/>
        <v>314657.42</v>
      </c>
      <c r="W1244" s="19">
        <f t="shared" si="8"/>
        <v>155002.68</v>
      </c>
    </row>
    <row r="1245">
      <c r="A1245" s="7">
        <v>9.35907542E8</v>
      </c>
      <c r="B1245" s="12">
        <v>42425.0</v>
      </c>
      <c r="C1245" s="7">
        <f t="shared" si="1"/>
        <v>2016</v>
      </c>
      <c r="D1245" s="14" t="str">
        <f t="shared" si="2"/>
        <v>02 - Feb</v>
      </c>
      <c r="E1245" s="15" t="str">
        <f t="shared" si="3"/>
        <v>Thu</v>
      </c>
      <c r="F1245" s="15">
        <f t="shared" si="4"/>
        <v>4</v>
      </c>
      <c r="G1245" s="16">
        <v>42450.0</v>
      </c>
      <c r="H1245" s="14">
        <f t="shared" si="5"/>
        <v>25</v>
      </c>
      <c r="I1245" s="7" t="s">
        <v>232</v>
      </c>
      <c r="J1245" s="7" t="s">
        <v>570</v>
      </c>
      <c r="K1245" s="7" t="str">
        <f>VLOOKUP(J1245,countries,2,false)</f>
        <v>Macedonia</v>
      </c>
      <c r="L1245" s="7" t="str">
        <f>VLOOKUP($J1245,countries,5,false)</f>
        <v>Europe</v>
      </c>
      <c r="M1245" s="7" t="str">
        <f>VLOOKUP($J1245,countries,6,false)</f>
        <v>Southern Europe</v>
      </c>
      <c r="N1245" s="7">
        <v>1270.0</v>
      </c>
      <c r="O1245" s="7" t="str">
        <f>VLOOKUP(N1245, products, 2, FALSE)</f>
        <v>Beverages</v>
      </c>
      <c r="P1245" s="7" t="s">
        <v>334</v>
      </c>
      <c r="Q1245" s="7">
        <v>4695.0</v>
      </c>
      <c r="R1245" s="17">
        <v>47.45</v>
      </c>
      <c r="S1245" s="17">
        <v>31.79</v>
      </c>
      <c r="U1245" s="18">
        <f t="shared" si="6"/>
        <v>222777.75</v>
      </c>
      <c r="V1245" s="18">
        <f t="shared" si="7"/>
        <v>149254.05</v>
      </c>
      <c r="W1245" s="19">
        <f t="shared" si="8"/>
        <v>73523.7</v>
      </c>
    </row>
    <row r="1246">
      <c r="A1246" s="7">
        <v>9.36411798E8</v>
      </c>
      <c r="B1246" s="12">
        <v>41165.0</v>
      </c>
      <c r="C1246" s="7">
        <f t="shared" si="1"/>
        <v>2012</v>
      </c>
      <c r="D1246" s="14" t="str">
        <f t="shared" si="2"/>
        <v>09 - Sep</v>
      </c>
      <c r="E1246" s="15" t="str">
        <f t="shared" si="3"/>
        <v>Thu</v>
      </c>
      <c r="F1246" s="15">
        <f t="shared" si="4"/>
        <v>4</v>
      </c>
      <c r="G1246" s="16">
        <v>41169.0</v>
      </c>
      <c r="H1246" s="14">
        <f t="shared" si="5"/>
        <v>4</v>
      </c>
      <c r="I1246" s="7" t="s">
        <v>364</v>
      </c>
      <c r="J1246" s="7" t="s">
        <v>447</v>
      </c>
      <c r="K1246" s="7" t="str">
        <f>VLOOKUP(J1246,countries,2,false)</f>
        <v>Latvia</v>
      </c>
      <c r="L1246" s="7" t="str">
        <f>VLOOKUP($J1246,countries,5,false)</f>
        <v>Europe</v>
      </c>
      <c r="M1246" s="7" t="str">
        <f>VLOOKUP($J1246,countries,6,false)</f>
        <v>Northern Europe</v>
      </c>
      <c r="N1246" s="7">
        <v>3127.0</v>
      </c>
      <c r="O1246" s="7" t="str">
        <f>VLOOKUP(N1246, products, 2, FALSE)</f>
        <v>Personal Care</v>
      </c>
      <c r="P1246" s="7" t="s">
        <v>334</v>
      </c>
      <c r="Q1246" s="7">
        <v>3915.0</v>
      </c>
      <c r="R1246" s="17">
        <v>81.73</v>
      </c>
      <c r="S1246" s="17">
        <v>56.67</v>
      </c>
      <c r="U1246" s="18">
        <f t="shared" si="6"/>
        <v>319972.95</v>
      </c>
      <c r="V1246" s="18">
        <f t="shared" si="7"/>
        <v>221863.05</v>
      </c>
      <c r="W1246" s="19">
        <f t="shared" si="8"/>
        <v>98109.9</v>
      </c>
    </row>
    <row r="1247">
      <c r="A1247" s="7">
        <v>9.3654741E8</v>
      </c>
      <c r="B1247" s="12">
        <v>40551.0</v>
      </c>
      <c r="C1247" s="7">
        <f t="shared" si="1"/>
        <v>2011</v>
      </c>
      <c r="D1247" s="14" t="str">
        <f t="shared" si="2"/>
        <v>01 - Jan</v>
      </c>
      <c r="E1247" s="15" t="str">
        <f t="shared" si="3"/>
        <v>Sat</v>
      </c>
      <c r="F1247" s="15">
        <f t="shared" si="4"/>
        <v>6</v>
      </c>
      <c r="G1247" s="16">
        <v>40555.0</v>
      </c>
      <c r="H1247" s="14">
        <f t="shared" si="5"/>
        <v>4</v>
      </c>
      <c r="I1247" s="7" t="s">
        <v>364</v>
      </c>
      <c r="J1247" s="7" t="s">
        <v>328</v>
      </c>
      <c r="K1247" s="7" t="str">
        <f>VLOOKUP(J1247,countries,2,false)</f>
        <v>Greece</v>
      </c>
      <c r="L1247" s="7" t="str">
        <f>VLOOKUP($J1247,countries,5,false)</f>
        <v>Europe</v>
      </c>
      <c r="M1247" s="7" t="str">
        <f>VLOOKUP($J1247,countries,6,false)</f>
        <v>Southern Europe</v>
      </c>
      <c r="N1247" s="7">
        <v>5988.0</v>
      </c>
      <c r="O1247" s="7" t="str">
        <f>VLOOKUP(N1247, products, 2, FALSE)</f>
        <v>Vegetables</v>
      </c>
      <c r="P1247" s="7" t="s">
        <v>334</v>
      </c>
      <c r="Q1247" s="7">
        <v>4046.0</v>
      </c>
      <c r="R1247" s="17">
        <v>154.06</v>
      </c>
      <c r="S1247" s="17">
        <v>90.93</v>
      </c>
      <c r="U1247" s="18">
        <f t="shared" si="6"/>
        <v>623326.76</v>
      </c>
      <c r="V1247" s="18">
        <f t="shared" si="7"/>
        <v>367902.78</v>
      </c>
      <c r="W1247" s="19">
        <f t="shared" si="8"/>
        <v>255423.98</v>
      </c>
    </row>
    <row r="1248">
      <c r="A1248" s="7">
        <v>9.36664998E8</v>
      </c>
      <c r="B1248" s="12">
        <v>42522.0</v>
      </c>
      <c r="C1248" s="7">
        <f t="shared" si="1"/>
        <v>2016</v>
      </c>
      <c r="D1248" s="14" t="str">
        <f t="shared" si="2"/>
        <v>06 - Jun</v>
      </c>
      <c r="E1248" s="15" t="str">
        <f t="shared" si="3"/>
        <v>Wed</v>
      </c>
      <c r="F1248" s="15">
        <f t="shared" si="4"/>
        <v>3</v>
      </c>
      <c r="G1248" s="16">
        <v>42556.0</v>
      </c>
      <c r="H1248" s="14">
        <f t="shared" si="5"/>
        <v>34</v>
      </c>
      <c r="I1248" s="7" t="s">
        <v>232</v>
      </c>
      <c r="J1248" s="7" t="s">
        <v>435</v>
      </c>
      <c r="K1248" s="7" t="str">
        <f>VLOOKUP(J1248,countries,2,false)</f>
        <v>Slovakia</v>
      </c>
      <c r="L1248" s="7" t="str">
        <f>VLOOKUP($J1248,countries,5,false)</f>
        <v>Europe</v>
      </c>
      <c r="M1248" s="7" t="str">
        <f>VLOOKUP($J1248,countries,6,false)</f>
        <v>Eastern Europe</v>
      </c>
      <c r="N1248" s="7">
        <v>5988.0</v>
      </c>
      <c r="O1248" s="7" t="str">
        <f>VLOOKUP(N1248, products, 2, FALSE)</f>
        <v>Vegetables</v>
      </c>
      <c r="P1248" s="7" t="s">
        <v>334</v>
      </c>
      <c r="Q1248" s="7">
        <v>8843.0</v>
      </c>
      <c r="R1248" s="17">
        <v>154.06</v>
      </c>
      <c r="S1248" s="17">
        <v>90.93</v>
      </c>
      <c r="U1248" s="18">
        <f t="shared" si="6"/>
        <v>1362352.58</v>
      </c>
      <c r="V1248" s="18">
        <f t="shared" si="7"/>
        <v>804093.99</v>
      </c>
      <c r="W1248" s="19">
        <f t="shared" si="8"/>
        <v>558258.59</v>
      </c>
    </row>
    <row r="1249">
      <c r="A1249" s="7">
        <v>9.3787564E8</v>
      </c>
      <c r="B1249" s="12">
        <v>40846.0</v>
      </c>
      <c r="C1249" s="7">
        <f t="shared" si="1"/>
        <v>2011</v>
      </c>
      <c r="D1249" s="14" t="str">
        <f t="shared" si="2"/>
        <v>10 - Oct</v>
      </c>
      <c r="E1249" s="15" t="str">
        <f t="shared" si="3"/>
        <v>Sun</v>
      </c>
      <c r="F1249" s="15">
        <f t="shared" si="4"/>
        <v>7</v>
      </c>
      <c r="G1249" s="16">
        <v>40877.0</v>
      </c>
      <c r="H1249" s="14">
        <f t="shared" si="5"/>
        <v>31</v>
      </c>
      <c r="I1249" s="7" t="s">
        <v>305</v>
      </c>
      <c r="J1249" s="7" t="s">
        <v>656</v>
      </c>
      <c r="K1249" s="7" t="str">
        <f>VLOOKUP(J1249,countries,2,false)</f>
        <v>San Marino</v>
      </c>
      <c r="L1249" s="7" t="str">
        <f>VLOOKUP($J1249,countries,5,false)</f>
        <v>Europe</v>
      </c>
      <c r="M1249" s="7" t="str">
        <f>VLOOKUP($J1249,countries,6,false)</f>
        <v>Southern Europe</v>
      </c>
      <c r="N1249" s="7">
        <v>2455.0</v>
      </c>
      <c r="O1249" s="7" t="str">
        <f>VLOOKUP(N1249, products, 2, FALSE)</f>
        <v>Clothes</v>
      </c>
      <c r="P1249" s="7" t="s">
        <v>264</v>
      </c>
      <c r="Q1249" s="7">
        <v>7098.0</v>
      </c>
      <c r="R1249" s="17">
        <v>109.28</v>
      </c>
      <c r="S1249" s="17">
        <v>35.84</v>
      </c>
      <c r="U1249" s="18">
        <f t="shared" si="6"/>
        <v>775669.44</v>
      </c>
      <c r="V1249" s="18">
        <f t="shared" si="7"/>
        <v>254392.32</v>
      </c>
      <c r="W1249" s="19">
        <f t="shared" si="8"/>
        <v>521277.12</v>
      </c>
    </row>
    <row r="1250">
      <c r="A1250" s="7">
        <v>9.3820995E8</v>
      </c>
      <c r="B1250" s="12">
        <v>40251.0</v>
      </c>
      <c r="C1250" s="7">
        <f t="shared" si="1"/>
        <v>2010</v>
      </c>
      <c r="D1250" s="14" t="str">
        <f t="shared" si="2"/>
        <v>03 - Mar</v>
      </c>
      <c r="E1250" s="15" t="str">
        <f t="shared" si="3"/>
        <v>Sun</v>
      </c>
      <c r="F1250" s="15">
        <f t="shared" si="4"/>
        <v>7</v>
      </c>
      <c r="G1250" s="16">
        <v>40253.0</v>
      </c>
      <c r="H1250" s="14">
        <f t="shared" si="5"/>
        <v>2</v>
      </c>
      <c r="I1250" s="7" t="s">
        <v>305</v>
      </c>
      <c r="J1250" s="7" t="s">
        <v>319</v>
      </c>
      <c r="K1250" s="7" t="str">
        <f>VLOOKUP(J1250,countries,2,false)</f>
        <v>Germany</v>
      </c>
      <c r="L1250" s="7" t="str">
        <f>VLOOKUP($J1250,countries,5,false)</f>
        <v>Europe</v>
      </c>
      <c r="M1250" s="7" t="str">
        <f>VLOOKUP($J1250,countries,6,false)</f>
        <v>Western Europe</v>
      </c>
      <c r="N1250" s="7">
        <v>3127.0</v>
      </c>
      <c r="O1250" s="7" t="str">
        <f>VLOOKUP(N1250, products, 2, FALSE)</f>
        <v>Personal Care</v>
      </c>
      <c r="P1250" s="7" t="s">
        <v>334</v>
      </c>
      <c r="Q1250" s="7">
        <v>6028.0</v>
      </c>
      <c r="R1250" s="17">
        <v>81.73</v>
      </c>
      <c r="S1250" s="17">
        <v>56.67</v>
      </c>
      <c r="U1250" s="18">
        <f t="shared" si="6"/>
        <v>492668.44</v>
      </c>
      <c r="V1250" s="18">
        <f t="shared" si="7"/>
        <v>341606.76</v>
      </c>
      <c r="W1250" s="19">
        <f t="shared" si="8"/>
        <v>151061.68</v>
      </c>
    </row>
    <row r="1251">
      <c r="A1251" s="7">
        <v>9.40682303E8</v>
      </c>
      <c r="B1251" s="12">
        <v>40179.0</v>
      </c>
      <c r="C1251" s="7">
        <f t="shared" si="1"/>
        <v>2010</v>
      </c>
      <c r="D1251" s="14" t="str">
        <f t="shared" si="2"/>
        <v>01 - Jan</v>
      </c>
      <c r="E1251" s="15" t="str">
        <f t="shared" si="3"/>
        <v>Fri</v>
      </c>
      <c r="F1251" s="15">
        <f t="shared" si="4"/>
        <v>5</v>
      </c>
      <c r="G1251" s="16">
        <v>40218.0</v>
      </c>
      <c r="H1251" s="14">
        <f t="shared" si="5"/>
        <v>39</v>
      </c>
      <c r="I1251" s="7" t="s">
        <v>364</v>
      </c>
      <c r="J1251" s="7" t="s">
        <v>462</v>
      </c>
      <c r="K1251" s="7" t="str">
        <f>VLOOKUP(J1251,countries,2,false)</f>
        <v>Liechtenstein</v>
      </c>
      <c r="L1251" s="7" t="str">
        <f>VLOOKUP($J1251,countries,5,false)</f>
        <v>Europe</v>
      </c>
      <c r="M1251" s="7" t="str">
        <f>VLOOKUP($J1251,countries,6,false)</f>
        <v>Western Europe</v>
      </c>
      <c r="N1251" s="7">
        <v>2103.0</v>
      </c>
      <c r="O1251" s="7" t="str">
        <f>VLOOKUP(N1251, products, 2, FALSE)</f>
        <v>Cereal</v>
      </c>
      <c r="P1251" s="7" t="s">
        <v>264</v>
      </c>
      <c r="Q1251" s="7">
        <v>7652.0</v>
      </c>
      <c r="R1251" s="17">
        <v>205.7</v>
      </c>
      <c r="S1251" s="17">
        <v>117.11</v>
      </c>
      <c r="U1251" s="18">
        <f t="shared" si="6"/>
        <v>1574016.4</v>
      </c>
      <c r="V1251" s="18">
        <f t="shared" si="7"/>
        <v>896125.72</v>
      </c>
      <c r="W1251" s="19">
        <f t="shared" si="8"/>
        <v>677890.68</v>
      </c>
    </row>
    <row r="1252">
      <c r="A1252" s="7">
        <v>9.41061675E8</v>
      </c>
      <c r="B1252" s="12">
        <v>42802.0</v>
      </c>
      <c r="C1252" s="7">
        <f t="shared" si="1"/>
        <v>2017</v>
      </c>
      <c r="D1252" s="14" t="str">
        <f t="shared" si="2"/>
        <v>03 - Mar</v>
      </c>
      <c r="E1252" s="15" t="str">
        <f t="shared" si="3"/>
        <v>Wed</v>
      </c>
      <c r="F1252" s="15">
        <f t="shared" si="4"/>
        <v>3</v>
      </c>
      <c r="G1252" s="16">
        <v>42814.0</v>
      </c>
      <c r="H1252" s="14">
        <f t="shared" si="5"/>
        <v>12</v>
      </c>
      <c r="I1252" s="7" t="s">
        <v>232</v>
      </c>
      <c r="J1252" s="7" t="s">
        <v>348</v>
      </c>
      <c r="K1252" s="7" t="s">
        <v>348</v>
      </c>
      <c r="L1252" s="7" t="s">
        <v>348</v>
      </c>
      <c r="M1252" s="7" t="s">
        <v>348</v>
      </c>
      <c r="N1252" s="7">
        <v>5988.0</v>
      </c>
      <c r="O1252" s="7" t="str">
        <f>VLOOKUP(N1252, products, 2, FALSE)</f>
        <v>Vegetables</v>
      </c>
      <c r="P1252" s="7" t="s">
        <v>334</v>
      </c>
      <c r="Q1252" s="7">
        <v>9917.0</v>
      </c>
      <c r="R1252" s="17">
        <v>154.06</v>
      </c>
      <c r="S1252" s="17">
        <v>90.93</v>
      </c>
      <c r="U1252" s="18">
        <f t="shared" si="6"/>
        <v>1527813.02</v>
      </c>
      <c r="V1252" s="18">
        <f t="shared" si="7"/>
        <v>901752.81</v>
      </c>
      <c r="W1252" s="19">
        <f t="shared" si="8"/>
        <v>626060.21</v>
      </c>
    </row>
    <row r="1253">
      <c r="A1253" s="7">
        <v>9.41524302E8</v>
      </c>
      <c r="B1253" s="12">
        <v>41915.0</v>
      </c>
      <c r="C1253" s="7">
        <f t="shared" si="1"/>
        <v>2014</v>
      </c>
      <c r="D1253" s="14" t="str">
        <f t="shared" si="2"/>
        <v>10 - Oct</v>
      </c>
      <c r="E1253" s="15" t="str">
        <f t="shared" si="3"/>
        <v>Fri</v>
      </c>
      <c r="F1253" s="15">
        <f t="shared" si="4"/>
        <v>5</v>
      </c>
      <c r="G1253" s="16">
        <v>41921.0</v>
      </c>
      <c r="H1253" s="14">
        <f t="shared" si="5"/>
        <v>6</v>
      </c>
      <c r="I1253" s="7" t="s">
        <v>305</v>
      </c>
      <c r="J1253" s="7" t="s">
        <v>396</v>
      </c>
      <c r="K1253" s="7" t="str">
        <f>VLOOKUP(J1253,countries,2,false)</f>
        <v>Ireland</v>
      </c>
      <c r="L1253" s="7" t="str">
        <f>VLOOKUP($J1253,countries,5,false)</f>
        <v>Europe</v>
      </c>
      <c r="M1253" s="7" t="str">
        <f>VLOOKUP($J1253,countries,6,false)</f>
        <v>Northern Europe</v>
      </c>
      <c r="N1253" s="7">
        <v>3127.0</v>
      </c>
      <c r="O1253" s="7" t="str">
        <f>VLOOKUP(N1253, products, 2, FALSE)</f>
        <v>Personal Care</v>
      </c>
      <c r="P1253" s="7" t="s">
        <v>264</v>
      </c>
      <c r="Q1253" s="7">
        <v>6819.0</v>
      </c>
      <c r="R1253" s="17">
        <v>81.73</v>
      </c>
      <c r="S1253" s="17">
        <v>56.67</v>
      </c>
      <c r="U1253" s="18">
        <f t="shared" si="6"/>
        <v>557316.87</v>
      </c>
      <c r="V1253" s="18">
        <f t="shared" si="7"/>
        <v>386432.73</v>
      </c>
      <c r="W1253" s="19">
        <f t="shared" si="8"/>
        <v>170884.14</v>
      </c>
    </row>
    <row r="1254">
      <c r="A1254" s="7">
        <v>9.41933286E8</v>
      </c>
      <c r="B1254" s="12">
        <v>41279.0</v>
      </c>
      <c r="C1254" s="7">
        <f t="shared" si="1"/>
        <v>2013</v>
      </c>
      <c r="D1254" s="14" t="str">
        <f t="shared" si="2"/>
        <v>01 - Jan</v>
      </c>
      <c r="E1254" s="15" t="str">
        <f t="shared" si="3"/>
        <v>Sat</v>
      </c>
      <c r="F1254" s="15">
        <f t="shared" si="4"/>
        <v>6</v>
      </c>
      <c r="G1254" s="16">
        <v>41313.0</v>
      </c>
      <c r="H1254" s="14">
        <f t="shared" si="5"/>
        <v>34</v>
      </c>
      <c r="I1254" s="7" t="s">
        <v>232</v>
      </c>
      <c r="J1254" s="7" t="s">
        <v>626</v>
      </c>
      <c r="K1254" s="7" t="str">
        <f>VLOOKUP(J1254,countries,2,false)</f>
        <v>Russia</v>
      </c>
      <c r="L1254" s="7" t="str">
        <f>VLOOKUP($J1254,countries,5,false)</f>
        <v>Europe</v>
      </c>
      <c r="M1254" s="7" t="str">
        <f>VLOOKUP($J1254,countries,6,false)</f>
        <v>Eastern Europe</v>
      </c>
      <c r="N1254" s="7">
        <v>8969.0</v>
      </c>
      <c r="O1254" s="7" t="str">
        <f>VLOOKUP(N1254, products, 2, FALSE)</f>
        <v>Snacks</v>
      </c>
      <c r="P1254" s="7" t="s">
        <v>264</v>
      </c>
      <c r="Q1254" s="7">
        <v>7846.0</v>
      </c>
      <c r="R1254" s="17">
        <v>152.58</v>
      </c>
      <c r="S1254" s="17">
        <v>97.44</v>
      </c>
      <c r="U1254" s="18">
        <f t="shared" si="6"/>
        <v>1197142.68</v>
      </c>
      <c r="V1254" s="18">
        <f t="shared" si="7"/>
        <v>764514.24</v>
      </c>
      <c r="W1254" s="19">
        <f t="shared" si="8"/>
        <v>432628.44</v>
      </c>
    </row>
    <row r="1255">
      <c r="A1255" s="7">
        <v>9.4237231E8</v>
      </c>
      <c r="B1255" s="12">
        <v>40945.0</v>
      </c>
      <c r="C1255" s="7">
        <f t="shared" si="1"/>
        <v>2012</v>
      </c>
      <c r="D1255" s="14" t="str">
        <f t="shared" si="2"/>
        <v>02 - Feb</v>
      </c>
      <c r="E1255" s="15" t="str">
        <f t="shared" si="3"/>
        <v>Mon</v>
      </c>
      <c r="F1255" s="15">
        <f t="shared" si="4"/>
        <v>1</v>
      </c>
      <c r="G1255" s="16">
        <v>40958.0</v>
      </c>
      <c r="H1255" s="14">
        <f t="shared" si="5"/>
        <v>13</v>
      </c>
      <c r="I1255" s="7" t="s">
        <v>232</v>
      </c>
      <c r="J1255" s="7" t="s">
        <v>146</v>
      </c>
      <c r="K1255" s="7" t="str">
        <f>VLOOKUP(J1255,countries,2,false)</f>
        <v>Bosnia and Herzegovina</v>
      </c>
      <c r="L1255" s="7" t="str">
        <f>VLOOKUP($J1255,countries,5,false)</f>
        <v>Europe</v>
      </c>
      <c r="M1255" s="7" t="str">
        <f>VLOOKUP($J1255,countries,6,false)</f>
        <v>Southern Europe</v>
      </c>
      <c r="N1255" s="7">
        <v>5988.0</v>
      </c>
      <c r="O1255" s="7" t="str">
        <f>VLOOKUP(N1255, products, 2, FALSE)</f>
        <v>Vegetables</v>
      </c>
      <c r="P1255" s="7" t="s">
        <v>334</v>
      </c>
      <c r="Q1255" s="7">
        <v>7763.0</v>
      </c>
      <c r="R1255" s="17">
        <v>154.06</v>
      </c>
      <c r="S1255" s="17">
        <v>90.93</v>
      </c>
      <c r="U1255" s="18">
        <f t="shared" si="6"/>
        <v>1195967.78</v>
      </c>
      <c r="V1255" s="18">
        <f t="shared" si="7"/>
        <v>705889.59</v>
      </c>
      <c r="W1255" s="19">
        <f t="shared" si="8"/>
        <v>490078.19</v>
      </c>
    </row>
    <row r="1256">
      <c r="A1256" s="7">
        <v>9.42454278E8</v>
      </c>
      <c r="B1256" s="12">
        <v>40583.0</v>
      </c>
      <c r="C1256" s="7">
        <f t="shared" si="1"/>
        <v>2011</v>
      </c>
      <c r="D1256" s="14" t="str">
        <f t="shared" si="2"/>
        <v>02 - Feb</v>
      </c>
      <c r="E1256" s="15" t="str">
        <f t="shared" si="3"/>
        <v>Wed</v>
      </c>
      <c r="F1256" s="15">
        <f t="shared" si="4"/>
        <v>3</v>
      </c>
      <c r="G1256" s="16">
        <v>40631.0</v>
      </c>
      <c r="H1256" s="14">
        <f t="shared" si="5"/>
        <v>48</v>
      </c>
      <c r="I1256" s="7" t="s">
        <v>232</v>
      </c>
      <c r="J1256" s="7" t="s">
        <v>381</v>
      </c>
      <c r="K1256" s="7" t="str">
        <f>VLOOKUP(J1256,countries,2,false)</f>
        <v>Iceland</v>
      </c>
      <c r="L1256" s="7" t="str">
        <f>VLOOKUP($J1256,countries,5,false)</f>
        <v>Europe</v>
      </c>
      <c r="M1256" s="7" t="str">
        <f>VLOOKUP($J1256,countries,6,false)</f>
        <v>Northern Europe</v>
      </c>
      <c r="N1256" s="7">
        <v>8293.0</v>
      </c>
      <c r="O1256" s="7" t="str">
        <f>VLOOKUP(N1256, products, 2, FALSE)</f>
        <v>Cosmetics</v>
      </c>
      <c r="P1256" s="7" t="s">
        <v>264</v>
      </c>
      <c r="Q1256" s="7">
        <v>2019.0</v>
      </c>
      <c r="R1256" s="17">
        <v>437.2</v>
      </c>
      <c r="S1256" s="17">
        <v>263.33</v>
      </c>
      <c r="U1256" s="18">
        <f t="shared" si="6"/>
        <v>882706.8</v>
      </c>
      <c r="V1256" s="18">
        <f t="shared" si="7"/>
        <v>531663.27</v>
      </c>
      <c r="W1256" s="19">
        <f t="shared" si="8"/>
        <v>351043.53</v>
      </c>
    </row>
    <row r="1257">
      <c r="A1257" s="7">
        <v>9.43274819E8</v>
      </c>
      <c r="B1257" s="12">
        <v>41313.0</v>
      </c>
      <c r="C1257" s="7">
        <f t="shared" si="1"/>
        <v>2013</v>
      </c>
      <c r="D1257" s="14" t="str">
        <f t="shared" si="2"/>
        <v>02 - Feb</v>
      </c>
      <c r="E1257" s="15" t="str">
        <f t="shared" si="3"/>
        <v>Fri</v>
      </c>
      <c r="F1257" s="15">
        <f t="shared" si="4"/>
        <v>5</v>
      </c>
      <c r="G1257" s="16">
        <v>41341.0</v>
      </c>
      <c r="H1257" s="14">
        <f t="shared" si="5"/>
        <v>28</v>
      </c>
      <c r="I1257" s="7" t="s">
        <v>232</v>
      </c>
      <c r="J1257" s="7" t="s">
        <v>447</v>
      </c>
      <c r="K1257" s="7" t="str">
        <f>VLOOKUP(J1257,countries,2,false)</f>
        <v>Latvia</v>
      </c>
      <c r="L1257" s="7" t="str">
        <f>VLOOKUP($J1257,countries,5,false)</f>
        <v>Europe</v>
      </c>
      <c r="M1257" s="7" t="str">
        <f>VLOOKUP($J1257,countries,6,false)</f>
        <v>Northern Europe</v>
      </c>
      <c r="N1257" s="7">
        <v>8969.0</v>
      </c>
      <c r="O1257" s="7" t="str">
        <f>VLOOKUP(N1257, products, 2, FALSE)</f>
        <v>Snacks</v>
      </c>
      <c r="P1257" s="7" t="s">
        <v>264</v>
      </c>
      <c r="Q1257" s="7">
        <v>4836.0</v>
      </c>
      <c r="R1257" s="17">
        <v>152.58</v>
      </c>
      <c r="S1257" s="17">
        <v>97.44</v>
      </c>
      <c r="U1257" s="18">
        <f t="shared" si="6"/>
        <v>737876.88</v>
      </c>
      <c r="V1257" s="18">
        <f t="shared" si="7"/>
        <v>471219.84</v>
      </c>
      <c r="W1257" s="19">
        <f t="shared" si="8"/>
        <v>266657.04</v>
      </c>
    </row>
    <row r="1258">
      <c r="A1258" s="7">
        <v>9.4424771E8</v>
      </c>
      <c r="B1258" s="12">
        <v>41992.0</v>
      </c>
      <c r="C1258" s="7">
        <f t="shared" si="1"/>
        <v>2014</v>
      </c>
      <c r="D1258" s="14" t="str">
        <f t="shared" si="2"/>
        <v>12 - Dec</v>
      </c>
      <c r="E1258" s="15" t="str">
        <f t="shared" si="3"/>
        <v>Fri</v>
      </c>
      <c r="F1258" s="15">
        <f t="shared" si="4"/>
        <v>5</v>
      </c>
      <c r="G1258" s="16">
        <v>42035.0</v>
      </c>
      <c r="H1258" s="14">
        <f t="shared" si="5"/>
        <v>43</v>
      </c>
      <c r="I1258" s="7" t="s">
        <v>399</v>
      </c>
      <c r="J1258" s="7" t="s">
        <v>165</v>
      </c>
      <c r="K1258" s="7" t="str">
        <f>VLOOKUP(J1258,countries,2,false)</f>
        <v>Bulgaria</v>
      </c>
      <c r="L1258" s="7" t="str">
        <f>VLOOKUP($J1258,countries,5,false)</f>
        <v>Europe</v>
      </c>
      <c r="M1258" s="7" t="str">
        <f>VLOOKUP($J1258,countries,6,false)</f>
        <v>Eastern Europe</v>
      </c>
      <c r="N1258" s="7">
        <v>7331.0</v>
      </c>
      <c r="O1258" s="7" t="str">
        <f>VLOOKUP(N1258, products, 2, FALSE)</f>
        <v>Baby Food</v>
      </c>
      <c r="P1258" s="7" t="s">
        <v>264</v>
      </c>
      <c r="Q1258" s="7">
        <v>2736.0</v>
      </c>
      <c r="R1258" s="17">
        <v>255.28</v>
      </c>
      <c r="S1258" s="17">
        <v>159.42</v>
      </c>
      <c r="U1258" s="18">
        <f t="shared" si="6"/>
        <v>698446.08</v>
      </c>
      <c r="V1258" s="18">
        <f t="shared" si="7"/>
        <v>436173.12</v>
      </c>
      <c r="W1258" s="19">
        <f t="shared" si="8"/>
        <v>262272.96</v>
      </c>
    </row>
    <row r="1259">
      <c r="A1259" s="7">
        <v>9.44609057E8</v>
      </c>
      <c r="B1259" s="12">
        <v>41669.0</v>
      </c>
      <c r="C1259" s="7">
        <f t="shared" si="1"/>
        <v>2014</v>
      </c>
      <c r="D1259" s="14" t="str">
        <f t="shared" si="2"/>
        <v>01 - Jan</v>
      </c>
      <c r="E1259" s="15" t="str">
        <f t="shared" si="3"/>
        <v>Thu</v>
      </c>
      <c r="F1259" s="15">
        <f t="shared" si="4"/>
        <v>4</v>
      </c>
      <c r="G1259" s="16">
        <v>41714.0</v>
      </c>
      <c r="H1259" s="14">
        <f t="shared" si="5"/>
        <v>45</v>
      </c>
      <c r="I1259" s="7" t="s">
        <v>364</v>
      </c>
      <c r="J1259" s="7" t="s">
        <v>611</v>
      </c>
      <c r="K1259" s="7" t="str">
        <f>VLOOKUP(J1259,countries,2,false)</f>
        <v>Portugal</v>
      </c>
      <c r="L1259" s="7" t="str">
        <f>VLOOKUP($J1259,countries,5,false)</f>
        <v>Europe</v>
      </c>
      <c r="M1259" s="7" t="str">
        <f>VLOOKUP($J1259,countries,6,false)</f>
        <v>Southern Europe</v>
      </c>
      <c r="N1259" s="7">
        <v>8875.0</v>
      </c>
      <c r="O1259" s="7" t="str">
        <f>VLOOKUP(N1259, products, 2, FALSE)</f>
        <v>Meat</v>
      </c>
      <c r="P1259" s="7" t="s">
        <v>264</v>
      </c>
      <c r="Q1259" s="7">
        <v>9666.0</v>
      </c>
      <c r="R1259" s="17">
        <v>421.89</v>
      </c>
      <c r="S1259" s="17">
        <v>364.69</v>
      </c>
      <c r="U1259" s="18">
        <f t="shared" si="6"/>
        <v>4077988.74</v>
      </c>
      <c r="V1259" s="18">
        <f t="shared" si="7"/>
        <v>3525093.54</v>
      </c>
      <c r="W1259" s="19">
        <f t="shared" si="8"/>
        <v>552895.2</v>
      </c>
    </row>
    <row r="1260">
      <c r="A1260" s="7">
        <v>9.46421372E8</v>
      </c>
      <c r="B1260" s="12">
        <v>42082.0</v>
      </c>
      <c r="C1260" s="7">
        <f t="shared" si="1"/>
        <v>2015</v>
      </c>
      <c r="D1260" s="14" t="str">
        <f t="shared" si="2"/>
        <v>03 - Mar</v>
      </c>
      <c r="E1260" s="15" t="str">
        <f t="shared" si="3"/>
        <v>Thu</v>
      </c>
      <c r="F1260" s="15">
        <f t="shared" si="4"/>
        <v>4</v>
      </c>
      <c r="G1260" s="16">
        <v>42084.0</v>
      </c>
      <c r="H1260" s="14">
        <f t="shared" si="5"/>
        <v>2</v>
      </c>
      <c r="I1260" s="7" t="s">
        <v>232</v>
      </c>
      <c r="J1260" s="7" t="s">
        <v>771</v>
      </c>
      <c r="K1260" s="7" t="str">
        <f>VLOOKUP(J1260,countries,2,false)</f>
        <v>Ukraine</v>
      </c>
      <c r="L1260" s="7" t="str">
        <f>VLOOKUP($J1260,countries,5,false)</f>
        <v>Europe</v>
      </c>
      <c r="M1260" s="7" t="str">
        <f>VLOOKUP($J1260,countries,6,false)</f>
        <v>Eastern Europe</v>
      </c>
      <c r="N1260" s="7">
        <v>1270.0</v>
      </c>
      <c r="O1260" s="7" t="str">
        <f>VLOOKUP(N1260, products, 2, FALSE)</f>
        <v>Beverages</v>
      </c>
      <c r="P1260" s="7" t="s">
        <v>334</v>
      </c>
      <c r="Q1260" s="7">
        <v>5971.0</v>
      </c>
      <c r="R1260" s="17">
        <v>47.45</v>
      </c>
      <c r="S1260" s="17">
        <v>31.79</v>
      </c>
      <c r="U1260" s="18">
        <f t="shared" si="6"/>
        <v>283323.95</v>
      </c>
      <c r="V1260" s="18">
        <f t="shared" si="7"/>
        <v>189818.09</v>
      </c>
      <c r="W1260" s="19">
        <f t="shared" si="8"/>
        <v>93505.86</v>
      </c>
    </row>
    <row r="1261">
      <c r="A1261" s="7">
        <v>9.46823489E8</v>
      </c>
      <c r="B1261" s="12">
        <v>42563.0</v>
      </c>
      <c r="C1261" s="7">
        <f t="shared" si="1"/>
        <v>2016</v>
      </c>
      <c r="D1261" s="14" t="str">
        <f t="shared" si="2"/>
        <v>07 - Jul</v>
      </c>
      <c r="E1261" s="15" t="str">
        <f t="shared" si="3"/>
        <v>Tue</v>
      </c>
      <c r="F1261" s="15">
        <f t="shared" si="4"/>
        <v>2</v>
      </c>
      <c r="G1261" s="16">
        <v>42612.0</v>
      </c>
      <c r="H1261" s="14">
        <f t="shared" si="5"/>
        <v>49</v>
      </c>
      <c r="I1261" s="7" t="s">
        <v>399</v>
      </c>
      <c r="J1261" s="7" t="s">
        <v>396</v>
      </c>
      <c r="K1261" s="7" t="str">
        <f>VLOOKUP(J1261,countries,2,false)</f>
        <v>Ireland</v>
      </c>
      <c r="L1261" s="7" t="str">
        <f>VLOOKUP($J1261,countries,5,false)</f>
        <v>Europe</v>
      </c>
      <c r="M1261" s="7" t="str">
        <f>VLOOKUP($J1261,countries,6,false)</f>
        <v>Northern Europe</v>
      </c>
      <c r="N1261" s="7">
        <v>2103.0</v>
      </c>
      <c r="O1261" s="7" t="str">
        <f>VLOOKUP(N1261, products, 2, FALSE)</f>
        <v>Cereal</v>
      </c>
      <c r="P1261" s="7" t="s">
        <v>264</v>
      </c>
      <c r="Q1261" s="7">
        <v>4966.0</v>
      </c>
      <c r="R1261" s="17">
        <v>205.7</v>
      </c>
      <c r="S1261" s="17">
        <v>117.11</v>
      </c>
      <c r="U1261" s="18">
        <f t="shared" si="6"/>
        <v>1021506.2</v>
      </c>
      <c r="V1261" s="18">
        <f t="shared" si="7"/>
        <v>581568.26</v>
      </c>
      <c r="W1261" s="19">
        <f t="shared" si="8"/>
        <v>439937.94</v>
      </c>
    </row>
    <row r="1262">
      <c r="A1262" s="7">
        <v>9.47073256E8</v>
      </c>
      <c r="B1262" s="12">
        <v>40329.0</v>
      </c>
      <c r="C1262" s="7">
        <f t="shared" si="1"/>
        <v>2010</v>
      </c>
      <c r="D1262" s="14" t="str">
        <f t="shared" si="2"/>
        <v>05 - May</v>
      </c>
      <c r="E1262" s="15" t="str">
        <f t="shared" si="3"/>
        <v>Mon</v>
      </c>
      <c r="F1262" s="15">
        <f t="shared" si="4"/>
        <v>1</v>
      </c>
      <c r="G1262" s="16">
        <v>40341.0</v>
      </c>
      <c r="H1262" s="14">
        <f t="shared" si="5"/>
        <v>12</v>
      </c>
      <c r="I1262" s="7" t="s">
        <v>305</v>
      </c>
      <c r="J1262" s="7" t="s">
        <v>316</v>
      </c>
      <c r="K1262" s="7" t="str">
        <f>VLOOKUP(J1262,countries,2,false)</f>
        <v>Georgia</v>
      </c>
      <c r="L1262" s="7" t="str">
        <f>VLOOKUP($J1262,countries,5,false)</f>
        <v>Asia</v>
      </c>
      <c r="M1262" s="7" t="str">
        <f>VLOOKUP($J1262,countries,6,false)</f>
        <v>Western Asia</v>
      </c>
      <c r="N1262" s="7">
        <v>8969.0</v>
      </c>
      <c r="O1262" s="7" t="str">
        <f>VLOOKUP(N1262, products, 2, FALSE)</f>
        <v>Snacks</v>
      </c>
      <c r="P1262" s="7" t="s">
        <v>264</v>
      </c>
      <c r="Q1262" s="7">
        <v>8878.0</v>
      </c>
      <c r="R1262" s="17">
        <v>152.58</v>
      </c>
      <c r="S1262" s="17">
        <v>97.44</v>
      </c>
      <c r="U1262" s="18">
        <f t="shared" si="6"/>
        <v>1354605.24</v>
      </c>
      <c r="V1262" s="18">
        <f t="shared" si="7"/>
        <v>865072.32</v>
      </c>
      <c r="W1262" s="19">
        <f t="shared" si="8"/>
        <v>489532.92</v>
      </c>
    </row>
    <row r="1263">
      <c r="A1263" s="7">
        <v>9.47507131E8</v>
      </c>
      <c r="B1263" s="12">
        <v>41524.0</v>
      </c>
      <c r="C1263" s="7">
        <f t="shared" si="1"/>
        <v>2013</v>
      </c>
      <c r="D1263" s="14" t="str">
        <f t="shared" si="2"/>
        <v>09 - Sep</v>
      </c>
      <c r="E1263" s="15" t="str">
        <f t="shared" si="3"/>
        <v>Sat</v>
      </c>
      <c r="F1263" s="15">
        <f t="shared" si="4"/>
        <v>6</v>
      </c>
      <c r="G1263" s="16">
        <v>41567.0</v>
      </c>
      <c r="H1263" s="14">
        <f t="shared" si="5"/>
        <v>43</v>
      </c>
      <c r="I1263" s="7" t="s">
        <v>364</v>
      </c>
      <c r="J1263" s="7" t="s">
        <v>771</v>
      </c>
      <c r="K1263" s="7" t="str">
        <f>VLOOKUP(J1263,countries,2,false)</f>
        <v>Ukraine</v>
      </c>
      <c r="L1263" s="7" t="str">
        <f>VLOOKUP($J1263,countries,5,false)</f>
        <v>Europe</v>
      </c>
      <c r="M1263" s="7" t="str">
        <f>VLOOKUP($J1263,countries,6,false)</f>
        <v>Eastern Europe</v>
      </c>
      <c r="N1263" s="7">
        <v>1270.0</v>
      </c>
      <c r="O1263" s="7" t="str">
        <f>VLOOKUP(N1263, products, 2, FALSE)</f>
        <v>Beverages</v>
      </c>
      <c r="P1263" s="7" t="s">
        <v>334</v>
      </c>
      <c r="Q1263" s="7">
        <v>7271.0</v>
      </c>
      <c r="R1263" s="17">
        <v>47.45</v>
      </c>
      <c r="S1263" s="17">
        <v>31.79</v>
      </c>
      <c r="U1263" s="18">
        <f t="shared" si="6"/>
        <v>345008.95</v>
      </c>
      <c r="V1263" s="18">
        <f t="shared" si="7"/>
        <v>231145.09</v>
      </c>
      <c r="W1263" s="19">
        <f t="shared" si="8"/>
        <v>113863.86</v>
      </c>
    </row>
    <row r="1264">
      <c r="A1264" s="7">
        <v>9.48075759E8</v>
      </c>
      <c r="B1264" s="12">
        <v>40515.0</v>
      </c>
      <c r="C1264" s="7">
        <f t="shared" si="1"/>
        <v>2010</v>
      </c>
      <c r="D1264" s="14" t="str">
        <f t="shared" si="2"/>
        <v>12 - Dec</v>
      </c>
      <c r="E1264" s="15" t="str">
        <f t="shared" si="3"/>
        <v>Fri</v>
      </c>
      <c r="F1264" s="15">
        <f t="shared" si="4"/>
        <v>5</v>
      </c>
      <c r="G1264" s="16">
        <v>40547.0</v>
      </c>
      <c r="H1264" s="14">
        <f t="shared" si="5"/>
        <v>32</v>
      </c>
      <c r="I1264" s="7" t="s">
        <v>232</v>
      </c>
      <c r="J1264" s="7" t="s">
        <v>378</v>
      </c>
      <c r="K1264" s="7" t="str">
        <f>VLOOKUP(J1264,countries,2,false)</f>
        <v>Hungary</v>
      </c>
      <c r="L1264" s="7" t="str">
        <f>VLOOKUP($J1264,countries,5,false)</f>
        <v>Europe</v>
      </c>
      <c r="M1264" s="7" t="str">
        <f>VLOOKUP($J1264,countries,6,false)</f>
        <v>Eastern Europe</v>
      </c>
      <c r="N1264" s="7">
        <v>1270.0</v>
      </c>
      <c r="O1264" s="7" t="str">
        <f>VLOOKUP(N1264, products, 2, FALSE)</f>
        <v>Beverages</v>
      </c>
      <c r="P1264" s="7" t="s">
        <v>334</v>
      </c>
      <c r="Q1264" s="7">
        <v>5540.0</v>
      </c>
      <c r="R1264" s="17">
        <v>47.45</v>
      </c>
      <c r="S1264" s="17">
        <v>31.79</v>
      </c>
      <c r="U1264" s="18">
        <f t="shared" si="6"/>
        <v>262873</v>
      </c>
      <c r="V1264" s="18">
        <f t="shared" si="7"/>
        <v>176116.6</v>
      </c>
      <c r="W1264" s="19">
        <f t="shared" si="8"/>
        <v>86756.4</v>
      </c>
    </row>
    <row r="1265">
      <c r="A1265" s="7">
        <v>9.48518216E8</v>
      </c>
      <c r="B1265" s="12">
        <v>41006.0</v>
      </c>
      <c r="C1265" s="7">
        <f t="shared" si="1"/>
        <v>2012</v>
      </c>
      <c r="D1265" s="14" t="str">
        <f t="shared" si="2"/>
        <v>04 - Apr</v>
      </c>
      <c r="E1265" s="15" t="str">
        <f t="shared" si="3"/>
        <v>Sat</v>
      </c>
      <c r="F1265" s="15">
        <f t="shared" si="4"/>
        <v>6</v>
      </c>
      <c r="G1265" s="16">
        <v>41033.0</v>
      </c>
      <c r="H1265" s="14">
        <f t="shared" si="5"/>
        <v>27</v>
      </c>
      <c r="I1265" s="7" t="s">
        <v>399</v>
      </c>
      <c r="J1265" s="7" t="s">
        <v>165</v>
      </c>
      <c r="K1265" s="7" t="str">
        <f>VLOOKUP(J1265,countries,2,false)</f>
        <v>Bulgaria</v>
      </c>
      <c r="L1265" s="7" t="str">
        <f>VLOOKUP($J1265,countries,5,false)</f>
        <v>Europe</v>
      </c>
      <c r="M1265" s="7" t="str">
        <f>VLOOKUP($J1265,countries,6,false)</f>
        <v>Eastern Europe</v>
      </c>
      <c r="N1265" s="7">
        <v>8875.0</v>
      </c>
      <c r="O1265" s="7" t="str">
        <f>VLOOKUP(N1265, products, 2, FALSE)</f>
        <v>Meat</v>
      </c>
      <c r="P1265" s="7" t="s">
        <v>334</v>
      </c>
      <c r="Q1265" s="7">
        <v>6473.0</v>
      </c>
      <c r="R1265" s="17">
        <v>421.89</v>
      </c>
      <c r="S1265" s="17">
        <v>364.69</v>
      </c>
      <c r="U1265" s="18">
        <f t="shared" si="6"/>
        <v>2730893.97</v>
      </c>
      <c r="V1265" s="18">
        <f t="shared" si="7"/>
        <v>2360638.37</v>
      </c>
      <c r="W1265" s="19">
        <f t="shared" si="8"/>
        <v>370255.6</v>
      </c>
    </row>
    <row r="1266">
      <c r="A1266" s="7">
        <v>9.49388539E8</v>
      </c>
      <c r="B1266" s="12">
        <v>42631.0</v>
      </c>
      <c r="C1266" s="7">
        <f t="shared" si="1"/>
        <v>2016</v>
      </c>
      <c r="D1266" s="14" t="str">
        <f t="shared" si="2"/>
        <v>09 - Sep</v>
      </c>
      <c r="E1266" s="15" t="str">
        <f t="shared" si="3"/>
        <v>Sun</v>
      </c>
      <c r="F1266" s="15">
        <f t="shared" si="4"/>
        <v>7</v>
      </c>
      <c r="G1266" s="16">
        <v>42643.0</v>
      </c>
      <c r="H1266" s="14">
        <f t="shared" si="5"/>
        <v>12</v>
      </c>
      <c r="I1266" s="7" t="s">
        <v>232</v>
      </c>
      <c r="J1266" s="7" t="s">
        <v>626</v>
      </c>
      <c r="K1266" s="7" t="str">
        <f>VLOOKUP(J1266,countries,2,false)</f>
        <v>Russia</v>
      </c>
      <c r="L1266" s="7" t="str">
        <f>VLOOKUP($J1266,countries,5,false)</f>
        <v>Europe</v>
      </c>
      <c r="M1266" s="7" t="str">
        <f>VLOOKUP($J1266,countries,6,false)</f>
        <v>Eastern Europe</v>
      </c>
      <c r="N1266" s="7">
        <v>8969.0</v>
      </c>
      <c r="O1266" s="7" t="str">
        <f>VLOOKUP(N1266, products, 2, FALSE)</f>
        <v>Snacks</v>
      </c>
      <c r="P1266" s="7" t="s">
        <v>264</v>
      </c>
      <c r="Q1266" s="7">
        <v>4021.0</v>
      </c>
      <c r="R1266" s="17">
        <v>152.58</v>
      </c>
      <c r="S1266" s="17">
        <v>97.44</v>
      </c>
      <c r="U1266" s="18">
        <f t="shared" si="6"/>
        <v>613524.18</v>
      </c>
      <c r="V1266" s="18">
        <f t="shared" si="7"/>
        <v>391806.24</v>
      </c>
      <c r="W1266" s="19">
        <f t="shared" si="8"/>
        <v>221717.94</v>
      </c>
    </row>
    <row r="1267">
      <c r="A1267" s="7">
        <v>9.49732291E8</v>
      </c>
      <c r="B1267" s="12">
        <v>42921.0</v>
      </c>
      <c r="C1267" s="7">
        <f t="shared" si="1"/>
        <v>2017</v>
      </c>
      <c r="D1267" s="14" t="str">
        <f t="shared" si="2"/>
        <v>07 - Jul</v>
      </c>
      <c r="E1267" s="15" t="str">
        <f t="shared" si="3"/>
        <v>Wed</v>
      </c>
      <c r="F1267" s="15">
        <f t="shared" si="4"/>
        <v>3</v>
      </c>
      <c r="G1267" s="16">
        <v>42961.0</v>
      </c>
      <c r="H1267" s="14">
        <f t="shared" si="5"/>
        <v>40</v>
      </c>
      <c r="I1267" s="7" t="s">
        <v>364</v>
      </c>
      <c r="J1267" s="7" t="s">
        <v>570</v>
      </c>
      <c r="K1267" s="7" t="str">
        <f>VLOOKUP(J1267,countries,2,false)</f>
        <v>Macedonia</v>
      </c>
      <c r="L1267" s="7" t="str">
        <f>VLOOKUP($J1267,countries,5,false)</f>
        <v>Europe</v>
      </c>
      <c r="M1267" s="7" t="str">
        <f>VLOOKUP($J1267,countries,6,false)</f>
        <v>Southern Europe</v>
      </c>
      <c r="N1267" s="7">
        <v>1270.0</v>
      </c>
      <c r="O1267" s="7" t="str">
        <f>VLOOKUP(N1267, products, 2, FALSE)</f>
        <v>Beverages</v>
      </c>
      <c r="P1267" s="7" t="s">
        <v>334</v>
      </c>
      <c r="Q1267" s="7">
        <v>5745.0</v>
      </c>
      <c r="R1267" s="17">
        <v>47.45</v>
      </c>
      <c r="S1267" s="17">
        <v>31.79</v>
      </c>
      <c r="U1267" s="18">
        <f t="shared" si="6"/>
        <v>272600.25</v>
      </c>
      <c r="V1267" s="18">
        <f t="shared" si="7"/>
        <v>182633.55</v>
      </c>
      <c r="W1267" s="19">
        <f t="shared" si="8"/>
        <v>89966.7</v>
      </c>
    </row>
    <row r="1268">
      <c r="A1268" s="7">
        <v>9.49912965E8</v>
      </c>
      <c r="B1268" s="12">
        <v>42759.0</v>
      </c>
      <c r="C1268" s="7">
        <f t="shared" si="1"/>
        <v>2017</v>
      </c>
      <c r="D1268" s="14" t="str">
        <f t="shared" si="2"/>
        <v>01 - Jan</v>
      </c>
      <c r="E1268" s="15" t="str">
        <f t="shared" si="3"/>
        <v>Tue</v>
      </c>
      <c r="F1268" s="15">
        <f t="shared" si="4"/>
        <v>2</v>
      </c>
      <c r="G1268" s="16">
        <v>42800.0</v>
      </c>
      <c r="H1268" s="14">
        <f t="shared" si="5"/>
        <v>41</v>
      </c>
      <c r="I1268" s="7" t="s">
        <v>232</v>
      </c>
      <c r="J1268" s="7" t="s">
        <v>685</v>
      </c>
      <c r="K1268" s="7" t="str">
        <f>VLOOKUP(J1268,countries,2,false)</f>
        <v>Slovenia</v>
      </c>
      <c r="L1268" s="7" t="str">
        <f>VLOOKUP($J1268,countries,5,false)</f>
        <v>Europe</v>
      </c>
      <c r="M1268" s="7" t="str">
        <f>VLOOKUP($J1268,countries,6,false)</f>
        <v>Southern Europe</v>
      </c>
      <c r="N1268" s="7">
        <v>8293.0</v>
      </c>
      <c r="O1268" s="7" t="str">
        <f>VLOOKUP(N1268, products, 2, FALSE)</f>
        <v>Cosmetics</v>
      </c>
      <c r="P1268" s="7" t="s">
        <v>264</v>
      </c>
      <c r="Q1268" s="7">
        <v>9210.0</v>
      </c>
      <c r="R1268" s="17">
        <v>437.2</v>
      </c>
      <c r="S1268" s="17">
        <v>263.33</v>
      </c>
      <c r="U1268" s="18">
        <f t="shared" si="6"/>
        <v>4026612</v>
      </c>
      <c r="V1268" s="18">
        <f t="shared" si="7"/>
        <v>2425269.3</v>
      </c>
      <c r="W1268" s="19">
        <f t="shared" si="8"/>
        <v>1601342.7</v>
      </c>
    </row>
    <row r="1269">
      <c r="A1269" s="7">
        <v>9.51698243E8</v>
      </c>
      <c r="B1269" s="12">
        <v>42902.0</v>
      </c>
      <c r="C1269" s="7">
        <f t="shared" si="1"/>
        <v>2017</v>
      </c>
      <c r="D1269" s="14" t="str">
        <f t="shared" si="2"/>
        <v>06 - Jun</v>
      </c>
      <c r="E1269" s="15" t="str">
        <f t="shared" si="3"/>
        <v>Fri</v>
      </c>
      <c r="F1269" s="15">
        <f t="shared" si="4"/>
        <v>5</v>
      </c>
      <c r="G1269" s="16">
        <v>42919.0</v>
      </c>
      <c r="H1269" s="14">
        <f t="shared" si="5"/>
        <v>17</v>
      </c>
      <c r="I1269" s="7" t="s">
        <v>364</v>
      </c>
      <c r="J1269" s="7" t="s">
        <v>90</v>
      </c>
      <c r="K1269" s="7" t="str">
        <f>VLOOKUP(J1269,countries,2,false)</f>
        <v>Armenia</v>
      </c>
      <c r="L1269" s="7" t="str">
        <f>VLOOKUP($J1269,countries,5,false)</f>
        <v>Asia</v>
      </c>
      <c r="M1269" s="7" t="str">
        <f>VLOOKUP($J1269,countries,6,false)</f>
        <v>Western Asia</v>
      </c>
      <c r="N1269" s="7">
        <v>8969.0</v>
      </c>
      <c r="O1269" s="7" t="str">
        <f>VLOOKUP(N1269, products, 2, FALSE)</f>
        <v>Snacks</v>
      </c>
      <c r="P1269" s="7" t="s">
        <v>264</v>
      </c>
      <c r="Q1269" s="7">
        <v>7514.0</v>
      </c>
      <c r="R1269" s="17">
        <v>152.58</v>
      </c>
      <c r="S1269" s="17">
        <v>97.44</v>
      </c>
      <c r="U1269" s="18">
        <f t="shared" si="6"/>
        <v>1146486.12</v>
      </c>
      <c r="V1269" s="18">
        <f t="shared" si="7"/>
        <v>732164.16</v>
      </c>
      <c r="W1269" s="19">
        <f t="shared" si="8"/>
        <v>414321.96</v>
      </c>
    </row>
    <row r="1270">
      <c r="A1270" s="7">
        <v>9.54040992E8</v>
      </c>
      <c r="B1270" s="12">
        <v>40738.0</v>
      </c>
      <c r="C1270" s="7">
        <f t="shared" si="1"/>
        <v>2011</v>
      </c>
      <c r="D1270" s="14" t="str">
        <f t="shared" si="2"/>
        <v>07 - Jul</v>
      </c>
      <c r="E1270" s="15" t="str">
        <f t="shared" si="3"/>
        <v>Thu</v>
      </c>
      <c r="F1270" s="15">
        <f t="shared" si="4"/>
        <v>4</v>
      </c>
      <c r="G1270" s="16">
        <v>40782.0</v>
      </c>
      <c r="H1270" s="14">
        <f t="shared" si="5"/>
        <v>44</v>
      </c>
      <c r="I1270" s="7" t="s">
        <v>364</v>
      </c>
      <c r="J1270" s="7" t="s">
        <v>146</v>
      </c>
      <c r="K1270" s="7" t="str">
        <f>VLOOKUP(J1270,countries,2,false)</f>
        <v>Bosnia and Herzegovina</v>
      </c>
      <c r="L1270" s="7" t="str">
        <f>VLOOKUP($J1270,countries,5,false)</f>
        <v>Europe</v>
      </c>
      <c r="M1270" s="7" t="str">
        <f>VLOOKUP($J1270,countries,6,false)</f>
        <v>Southern Europe</v>
      </c>
      <c r="N1270" s="7">
        <v>8969.0</v>
      </c>
      <c r="O1270" s="7" t="str">
        <f>VLOOKUP(N1270, products, 2, FALSE)</f>
        <v>Snacks</v>
      </c>
      <c r="P1270" s="7" t="s">
        <v>334</v>
      </c>
      <c r="Q1270" s="7">
        <v>785.0</v>
      </c>
      <c r="R1270" s="17">
        <v>152.58</v>
      </c>
      <c r="S1270" s="17">
        <v>97.44</v>
      </c>
      <c r="U1270" s="18">
        <f t="shared" si="6"/>
        <v>119775.3</v>
      </c>
      <c r="V1270" s="18">
        <f t="shared" si="7"/>
        <v>76490.4</v>
      </c>
      <c r="W1270" s="19">
        <f t="shared" si="8"/>
        <v>43284.9</v>
      </c>
    </row>
    <row r="1271">
      <c r="A1271" s="7">
        <v>9.54065883E8</v>
      </c>
      <c r="B1271" s="12">
        <v>42568.0</v>
      </c>
      <c r="C1271" s="7">
        <f t="shared" si="1"/>
        <v>2016</v>
      </c>
      <c r="D1271" s="14" t="str">
        <f t="shared" si="2"/>
        <v>07 - Jul</v>
      </c>
      <c r="E1271" s="15" t="str">
        <f t="shared" si="3"/>
        <v>Sun</v>
      </c>
      <c r="F1271" s="15">
        <f t="shared" si="4"/>
        <v>7</v>
      </c>
      <c r="G1271" s="16">
        <v>42614.0</v>
      </c>
      <c r="H1271" s="14">
        <f t="shared" si="5"/>
        <v>46</v>
      </c>
      <c r="I1271" s="7" t="s">
        <v>364</v>
      </c>
      <c r="J1271" s="7" t="s">
        <v>378</v>
      </c>
      <c r="K1271" s="7" t="str">
        <f>VLOOKUP(J1271,countries,2,false)</f>
        <v>Hungary</v>
      </c>
      <c r="L1271" s="7" t="str">
        <f>VLOOKUP($J1271,countries,5,false)</f>
        <v>Europe</v>
      </c>
      <c r="M1271" s="7" t="str">
        <f>VLOOKUP($J1271,countries,6,false)</f>
        <v>Eastern Europe</v>
      </c>
      <c r="N1271" s="7">
        <v>7940.0</v>
      </c>
      <c r="O1271" s="7" t="str">
        <f>VLOOKUP(N1271, products, 2, FALSE)</f>
        <v>Household</v>
      </c>
      <c r="P1271" s="7" t="s">
        <v>334</v>
      </c>
      <c r="Q1271" s="7">
        <v>8151.0</v>
      </c>
      <c r="R1271" s="17">
        <v>668.27</v>
      </c>
      <c r="S1271" s="17">
        <v>502.54</v>
      </c>
      <c r="U1271" s="18">
        <f t="shared" si="6"/>
        <v>5447068.77</v>
      </c>
      <c r="V1271" s="18">
        <f t="shared" si="7"/>
        <v>4096203.54</v>
      </c>
      <c r="W1271" s="19">
        <f t="shared" si="8"/>
        <v>1350865.23</v>
      </c>
    </row>
    <row r="1272">
      <c r="A1272" s="7">
        <v>9.54341828E8</v>
      </c>
      <c r="B1272" s="12">
        <v>41782.0</v>
      </c>
      <c r="C1272" s="7">
        <f t="shared" si="1"/>
        <v>2014</v>
      </c>
      <c r="D1272" s="14" t="str">
        <f t="shared" si="2"/>
        <v>05 - May</v>
      </c>
      <c r="E1272" s="15" t="str">
        <f t="shared" si="3"/>
        <v>Fri</v>
      </c>
      <c r="F1272" s="15">
        <f t="shared" si="4"/>
        <v>5</v>
      </c>
      <c r="G1272" s="16">
        <v>41831.0</v>
      </c>
      <c r="H1272" s="14">
        <f t="shared" si="5"/>
        <v>49</v>
      </c>
      <c r="I1272" s="7" t="s">
        <v>399</v>
      </c>
      <c r="J1272" s="7" t="s">
        <v>246</v>
      </c>
      <c r="K1272" s="7" t="str">
        <f>VLOOKUP(J1272,countries,2,false)</f>
        <v>Denmark</v>
      </c>
      <c r="L1272" s="7" t="str">
        <f>VLOOKUP($J1272,countries,5,false)</f>
        <v>Europe</v>
      </c>
      <c r="M1272" s="7" t="str">
        <f>VLOOKUP($J1272,countries,6,false)</f>
        <v>Northern Europe</v>
      </c>
      <c r="N1272" s="7">
        <v>5988.0</v>
      </c>
      <c r="O1272" s="7" t="str">
        <f>VLOOKUP(N1272, products, 2, FALSE)</f>
        <v>Vegetables</v>
      </c>
      <c r="P1272" s="7" t="s">
        <v>334</v>
      </c>
      <c r="Q1272" s="7">
        <v>9809.0</v>
      </c>
      <c r="R1272" s="17">
        <v>154.06</v>
      </c>
      <c r="S1272" s="17">
        <v>90.93</v>
      </c>
      <c r="U1272" s="18">
        <f t="shared" si="6"/>
        <v>1511174.54</v>
      </c>
      <c r="V1272" s="18">
        <f t="shared" si="7"/>
        <v>891932.37</v>
      </c>
      <c r="W1272" s="19">
        <f t="shared" si="8"/>
        <v>619242.17</v>
      </c>
    </row>
    <row r="1273">
      <c r="A1273" s="7">
        <v>9.55466639E8</v>
      </c>
      <c r="B1273" s="12">
        <v>41616.0</v>
      </c>
      <c r="C1273" s="7">
        <f t="shared" si="1"/>
        <v>2013</v>
      </c>
      <c r="D1273" s="14" t="str">
        <f t="shared" si="2"/>
        <v>12 - Dec</v>
      </c>
      <c r="E1273" s="15" t="str">
        <f t="shared" si="3"/>
        <v>Sun</v>
      </c>
      <c r="F1273" s="15">
        <f t="shared" si="4"/>
        <v>7</v>
      </c>
      <c r="G1273" s="16">
        <v>41666.0</v>
      </c>
      <c r="H1273" s="14">
        <f t="shared" si="5"/>
        <v>50</v>
      </c>
      <c r="I1273" s="7" t="s">
        <v>305</v>
      </c>
      <c r="J1273" s="7" t="s">
        <v>517</v>
      </c>
      <c r="K1273" s="7" t="str">
        <f>VLOOKUP(J1273,countries,2,false)</f>
        <v>Spain</v>
      </c>
      <c r="L1273" s="7" t="str">
        <f>VLOOKUP($J1273,countries,5,false)</f>
        <v>Europe</v>
      </c>
      <c r="M1273" s="7" t="str">
        <f>VLOOKUP($J1273,countries,6,false)</f>
        <v>Southern Europe</v>
      </c>
      <c r="N1273" s="7">
        <v>3127.0</v>
      </c>
      <c r="O1273" s="7" t="str">
        <f>VLOOKUP(N1273, products, 2, FALSE)</f>
        <v>Personal Care</v>
      </c>
      <c r="P1273" s="7" t="s">
        <v>264</v>
      </c>
      <c r="Q1273" s="7">
        <v>2666.0</v>
      </c>
      <c r="R1273" s="17">
        <v>81.73</v>
      </c>
      <c r="S1273" s="17">
        <v>56.67</v>
      </c>
      <c r="U1273" s="18">
        <f t="shared" si="6"/>
        <v>217892.18</v>
      </c>
      <c r="V1273" s="18">
        <f t="shared" si="7"/>
        <v>151082.22</v>
      </c>
      <c r="W1273" s="19">
        <f t="shared" si="8"/>
        <v>66809.96</v>
      </c>
    </row>
    <row r="1274">
      <c r="A1274" s="7">
        <v>9.56594026E8</v>
      </c>
      <c r="B1274" s="12">
        <v>40685.0</v>
      </c>
      <c r="C1274" s="7">
        <f t="shared" si="1"/>
        <v>2011</v>
      </c>
      <c r="D1274" s="14" t="str">
        <f t="shared" si="2"/>
        <v>05 - May</v>
      </c>
      <c r="E1274" s="15" t="str">
        <f t="shared" si="3"/>
        <v>Sun</v>
      </c>
      <c r="F1274" s="15">
        <f t="shared" si="4"/>
        <v>7</v>
      </c>
      <c r="G1274" s="16">
        <v>40711.0</v>
      </c>
      <c r="H1274" s="14">
        <f t="shared" si="5"/>
        <v>26</v>
      </c>
      <c r="I1274" s="7" t="s">
        <v>364</v>
      </c>
      <c r="J1274" s="7" t="s">
        <v>517</v>
      </c>
      <c r="K1274" s="7" t="str">
        <f>VLOOKUP(J1274,countries,2,false)</f>
        <v>Spain</v>
      </c>
      <c r="L1274" s="7" t="str">
        <f>VLOOKUP($J1274,countries,5,false)</f>
        <v>Europe</v>
      </c>
      <c r="M1274" s="7" t="str">
        <f>VLOOKUP($J1274,countries,6,false)</f>
        <v>Southern Europe</v>
      </c>
      <c r="N1274" s="7">
        <v>7331.0</v>
      </c>
      <c r="O1274" s="7" t="str">
        <f>VLOOKUP(N1274, products, 2, FALSE)</f>
        <v>Baby Food</v>
      </c>
      <c r="P1274" s="7" t="s">
        <v>334</v>
      </c>
      <c r="Q1274" s="7">
        <v>6285.0</v>
      </c>
      <c r="R1274" s="17">
        <v>255.28</v>
      </c>
      <c r="S1274" s="17">
        <v>159.42</v>
      </c>
      <c r="U1274" s="18">
        <f t="shared" si="6"/>
        <v>1604434.8</v>
      </c>
      <c r="V1274" s="18">
        <f t="shared" si="7"/>
        <v>1001954.7</v>
      </c>
      <c r="W1274" s="19">
        <f t="shared" si="8"/>
        <v>602480.1</v>
      </c>
    </row>
    <row r="1275">
      <c r="A1275" s="7">
        <v>9.56969964E8</v>
      </c>
      <c r="B1275" s="12">
        <v>42484.0</v>
      </c>
      <c r="C1275" s="7">
        <f t="shared" si="1"/>
        <v>2016</v>
      </c>
      <c r="D1275" s="14" t="str">
        <f t="shared" si="2"/>
        <v>04 - Apr</v>
      </c>
      <c r="E1275" s="15" t="str">
        <f t="shared" si="3"/>
        <v>Sun</v>
      </c>
      <c r="F1275" s="15">
        <f t="shared" si="4"/>
        <v>7</v>
      </c>
      <c r="G1275" s="16">
        <v>42517.0</v>
      </c>
      <c r="H1275" s="14">
        <f t="shared" si="5"/>
        <v>33</v>
      </c>
      <c r="I1275" s="7" t="s">
        <v>364</v>
      </c>
      <c r="J1275" s="7" t="s">
        <v>396</v>
      </c>
      <c r="K1275" s="7" t="str">
        <f>VLOOKUP(J1275,countries,2,false)</f>
        <v>Ireland</v>
      </c>
      <c r="L1275" s="7" t="str">
        <f>VLOOKUP($J1275,countries,5,false)</f>
        <v>Europe</v>
      </c>
      <c r="M1275" s="7" t="str">
        <f>VLOOKUP($J1275,countries,6,false)</f>
        <v>Northern Europe</v>
      </c>
      <c r="N1275" s="7">
        <v>5988.0</v>
      </c>
      <c r="O1275" s="7" t="str">
        <f>VLOOKUP(N1275, products, 2, FALSE)</f>
        <v>Vegetables</v>
      </c>
      <c r="P1275" s="7" t="s">
        <v>264</v>
      </c>
      <c r="Q1275" s="7">
        <v>7533.0</v>
      </c>
      <c r="R1275" s="17">
        <v>154.06</v>
      </c>
      <c r="S1275" s="17">
        <v>90.93</v>
      </c>
      <c r="U1275" s="18">
        <f t="shared" si="6"/>
        <v>1160533.98</v>
      </c>
      <c r="V1275" s="18">
        <f t="shared" si="7"/>
        <v>684975.69</v>
      </c>
      <c r="W1275" s="19">
        <f t="shared" si="8"/>
        <v>475558.29</v>
      </c>
    </row>
    <row r="1276">
      <c r="A1276" s="7">
        <v>9.57926118E8</v>
      </c>
      <c r="B1276" s="12">
        <v>42600.0</v>
      </c>
      <c r="C1276" s="7">
        <f t="shared" si="1"/>
        <v>2016</v>
      </c>
      <c r="D1276" s="14" t="str">
        <f t="shared" si="2"/>
        <v>08 - Aug</v>
      </c>
      <c r="E1276" s="15" t="str">
        <f t="shared" si="3"/>
        <v>Thu</v>
      </c>
      <c r="F1276" s="15">
        <f t="shared" si="4"/>
        <v>4</v>
      </c>
      <c r="G1276" s="16">
        <v>42614.0</v>
      </c>
      <c r="H1276" s="14">
        <f t="shared" si="5"/>
        <v>14</v>
      </c>
      <c r="I1276" s="7" t="s">
        <v>364</v>
      </c>
      <c r="J1276" s="7" t="s">
        <v>328</v>
      </c>
      <c r="K1276" s="7" t="str">
        <f>VLOOKUP(J1276,countries,2,false)</f>
        <v>Greece</v>
      </c>
      <c r="L1276" s="7" t="str">
        <f>VLOOKUP($J1276,countries,5,false)</f>
        <v>Europe</v>
      </c>
      <c r="M1276" s="7" t="str">
        <f>VLOOKUP($J1276,countries,6,false)</f>
        <v>Southern Europe</v>
      </c>
      <c r="N1276" s="7">
        <v>8969.0</v>
      </c>
      <c r="O1276" s="7" t="str">
        <f>VLOOKUP(N1276, products, 2, FALSE)</f>
        <v>Snacks</v>
      </c>
      <c r="P1276" s="7" t="s">
        <v>264</v>
      </c>
      <c r="Q1276" s="7">
        <v>480.0</v>
      </c>
      <c r="R1276" s="17">
        <v>152.58</v>
      </c>
      <c r="S1276" s="17">
        <v>97.44</v>
      </c>
      <c r="U1276" s="18">
        <f t="shared" si="6"/>
        <v>73238.4</v>
      </c>
      <c r="V1276" s="18">
        <f t="shared" si="7"/>
        <v>46771.2</v>
      </c>
      <c r="W1276" s="19">
        <f t="shared" si="8"/>
        <v>26467.2</v>
      </c>
    </row>
    <row r="1277">
      <c r="A1277" s="7">
        <v>9.58366E8</v>
      </c>
      <c r="B1277" s="12">
        <v>41089.0</v>
      </c>
      <c r="C1277" s="7">
        <f t="shared" si="1"/>
        <v>2012</v>
      </c>
      <c r="D1277" s="14" t="str">
        <f t="shared" si="2"/>
        <v>06 - Jun</v>
      </c>
      <c r="E1277" s="15" t="str">
        <f t="shared" si="3"/>
        <v>Fri</v>
      </c>
      <c r="F1277" s="15">
        <f t="shared" si="4"/>
        <v>5</v>
      </c>
      <c r="G1277" s="16">
        <v>41124.0</v>
      </c>
      <c r="H1277" s="14">
        <f t="shared" si="5"/>
        <v>35</v>
      </c>
      <c r="I1277" s="7" t="s">
        <v>232</v>
      </c>
      <c r="J1277" s="7" t="s">
        <v>626</v>
      </c>
      <c r="K1277" s="7" t="str">
        <f>VLOOKUP(J1277,countries,2,false)</f>
        <v>Russia</v>
      </c>
      <c r="L1277" s="7" t="str">
        <f>VLOOKUP($J1277,countries,5,false)</f>
        <v>Europe</v>
      </c>
      <c r="M1277" s="7" t="str">
        <f>VLOOKUP($J1277,countries,6,false)</f>
        <v>Eastern Europe</v>
      </c>
      <c r="N1277" s="7">
        <v>2103.0</v>
      </c>
      <c r="O1277" s="7" t="str">
        <f>VLOOKUP(N1277, products, 2, FALSE)</f>
        <v>Cereal</v>
      </c>
      <c r="P1277" s="7" t="s">
        <v>334</v>
      </c>
      <c r="Q1277" s="7">
        <v>651.0</v>
      </c>
      <c r="R1277" s="17">
        <v>205.7</v>
      </c>
      <c r="S1277" s="17">
        <v>117.11</v>
      </c>
      <c r="U1277" s="18">
        <f t="shared" si="6"/>
        <v>133910.7</v>
      </c>
      <c r="V1277" s="18">
        <f t="shared" si="7"/>
        <v>76238.61</v>
      </c>
      <c r="W1277" s="19">
        <f t="shared" si="8"/>
        <v>57672.09</v>
      </c>
    </row>
    <row r="1278">
      <c r="A1278" s="7">
        <v>9.60213077E8</v>
      </c>
      <c r="B1278" s="12">
        <v>42247.0</v>
      </c>
      <c r="C1278" s="7">
        <f t="shared" si="1"/>
        <v>2015</v>
      </c>
      <c r="D1278" s="14" t="str">
        <f t="shared" si="2"/>
        <v>08 - Aug</v>
      </c>
      <c r="E1278" s="15" t="str">
        <f t="shared" si="3"/>
        <v>Mon</v>
      </c>
      <c r="F1278" s="15">
        <f t="shared" si="4"/>
        <v>1</v>
      </c>
      <c r="G1278" s="16">
        <v>42293.0</v>
      </c>
      <c r="H1278" s="14">
        <f t="shared" si="5"/>
        <v>46</v>
      </c>
      <c r="I1278" s="7" t="s">
        <v>399</v>
      </c>
      <c r="J1278" s="7" t="s">
        <v>124</v>
      </c>
      <c r="K1278" s="7" t="str">
        <f>VLOOKUP(J1278,countries,2,false)</f>
        <v>Belgium</v>
      </c>
      <c r="L1278" s="7" t="str">
        <f>VLOOKUP($J1278,countries,5,false)</f>
        <v>Europe</v>
      </c>
      <c r="M1278" s="7" t="str">
        <f>VLOOKUP($J1278,countries,6,false)</f>
        <v>Western Europe</v>
      </c>
      <c r="N1278" s="7">
        <v>1270.0</v>
      </c>
      <c r="O1278" s="7" t="str">
        <f>VLOOKUP(N1278, products, 2, FALSE)</f>
        <v>Beverages</v>
      </c>
      <c r="P1278" s="7" t="s">
        <v>264</v>
      </c>
      <c r="Q1278" s="7">
        <v>7242.0</v>
      </c>
      <c r="R1278" s="17">
        <v>47.45</v>
      </c>
      <c r="S1278" s="17">
        <v>31.79</v>
      </c>
      <c r="U1278" s="18">
        <f t="shared" si="6"/>
        <v>343632.9</v>
      </c>
      <c r="V1278" s="18">
        <f t="shared" si="7"/>
        <v>230223.18</v>
      </c>
      <c r="W1278" s="19">
        <f t="shared" si="8"/>
        <v>113409.72</v>
      </c>
    </row>
    <row r="1279">
      <c r="A1279" s="7">
        <v>9.62560546E8</v>
      </c>
      <c r="B1279" s="12">
        <v>40526.0</v>
      </c>
      <c r="C1279" s="7">
        <f t="shared" si="1"/>
        <v>2010</v>
      </c>
      <c r="D1279" s="14" t="str">
        <f t="shared" si="2"/>
        <v>12 - Dec</v>
      </c>
      <c r="E1279" s="15" t="str">
        <f t="shared" si="3"/>
        <v>Tue</v>
      </c>
      <c r="F1279" s="15">
        <f t="shared" si="4"/>
        <v>2</v>
      </c>
      <c r="G1279" s="16">
        <v>40551.0</v>
      </c>
      <c r="H1279" s="14">
        <f t="shared" si="5"/>
        <v>25</v>
      </c>
      <c r="I1279" s="7" t="s">
        <v>232</v>
      </c>
      <c r="J1279" s="7" t="s">
        <v>316</v>
      </c>
      <c r="K1279" s="7" t="str">
        <f>VLOOKUP(J1279,countries,2,false)</f>
        <v>Georgia</v>
      </c>
      <c r="L1279" s="7" t="str">
        <f>VLOOKUP($J1279,countries,5,false)</f>
        <v>Asia</v>
      </c>
      <c r="M1279" s="7" t="str">
        <f>VLOOKUP($J1279,countries,6,false)</f>
        <v>Western Asia</v>
      </c>
      <c r="N1279" s="7">
        <v>2103.0</v>
      </c>
      <c r="O1279" s="7" t="str">
        <f>VLOOKUP(N1279, products, 2, FALSE)</f>
        <v>Cereal</v>
      </c>
      <c r="P1279" s="7" t="s">
        <v>334</v>
      </c>
      <c r="Q1279" s="7">
        <v>1911.0</v>
      </c>
      <c r="R1279" s="17">
        <v>205.7</v>
      </c>
      <c r="S1279" s="17">
        <v>117.11</v>
      </c>
      <c r="U1279" s="18">
        <f t="shared" si="6"/>
        <v>393092.7</v>
      </c>
      <c r="V1279" s="18">
        <f t="shared" si="7"/>
        <v>223797.21</v>
      </c>
      <c r="W1279" s="19">
        <f t="shared" si="8"/>
        <v>169295.49</v>
      </c>
    </row>
    <row r="1280">
      <c r="A1280" s="7">
        <v>9.63219296E8</v>
      </c>
      <c r="B1280" s="12">
        <v>40422.0</v>
      </c>
      <c r="C1280" s="7">
        <f t="shared" si="1"/>
        <v>2010</v>
      </c>
      <c r="D1280" s="14" t="str">
        <f t="shared" si="2"/>
        <v>09 - Sep</v>
      </c>
      <c r="E1280" s="15" t="str">
        <f t="shared" si="3"/>
        <v>Wed</v>
      </c>
      <c r="F1280" s="15">
        <f t="shared" si="4"/>
        <v>3</v>
      </c>
      <c r="G1280" s="16">
        <v>40439.0</v>
      </c>
      <c r="H1280" s="14">
        <f t="shared" si="5"/>
        <v>17</v>
      </c>
      <c r="I1280" s="7" t="s">
        <v>305</v>
      </c>
      <c r="J1280" s="7" t="s">
        <v>570</v>
      </c>
      <c r="K1280" s="7" t="str">
        <f>VLOOKUP(J1280,countries,2,false)</f>
        <v>Macedonia</v>
      </c>
      <c r="L1280" s="7" t="str">
        <f>VLOOKUP($J1280,countries,5,false)</f>
        <v>Europe</v>
      </c>
      <c r="M1280" s="7" t="str">
        <f>VLOOKUP($J1280,countries,6,false)</f>
        <v>Southern Europe</v>
      </c>
      <c r="N1280" s="7">
        <v>2103.0</v>
      </c>
      <c r="O1280" s="7" t="str">
        <f>VLOOKUP(N1280, products, 2, FALSE)</f>
        <v>Cereal</v>
      </c>
      <c r="P1280" s="7" t="s">
        <v>264</v>
      </c>
      <c r="Q1280" s="7">
        <v>6850.0</v>
      </c>
      <c r="R1280" s="17">
        <v>205.7</v>
      </c>
      <c r="S1280" s="17">
        <v>117.11</v>
      </c>
      <c r="U1280" s="18">
        <f t="shared" si="6"/>
        <v>1409045</v>
      </c>
      <c r="V1280" s="18">
        <f t="shared" si="7"/>
        <v>802203.5</v>
      </c>
      <c r="W1280" s="19">
        <f t="shared" si="8"/>
        <v>606841.5</v>
      </c>
    </row>
    <row r="1281">
      <c r="A1281" s="7">
        <v>9.65796363E8</v>
      </c>
      <c r="B1281" s="12">
        <v>40611.0</v>
      </c>
      <c r="C1281" s="7">
        <f t="shared" si="1"/>
        <v>2011</v>
      </c>
      <c r="D1281" s="14" t="str">
        <f t="shared" si="2"/>
        <v>03 - Mar</v>
      </c>
      <c r="E1281" s="15" t="str">
        <f t="shared" si="3"/>
        <v>Wed</v>
      </c>
      <c r="F1281" s="15">
        <f t="shared" si="4"/>
        <v>3</v>
      </c>
      <c r="G1281" s="16">
        <v>40621.0</v>
      </c>
      <c r="H1281" s="14">
        <f t="shared" si="5"/>
        <v>10</v>
      </c>
      <c r="I1281" s="7" t="s">
        <v>232</v>
      </c>
      <c r="J1281" s="7" t="s">
        <v>465</v>
      </c>
      <c r="K1281" s="7" t="str">
        <f>VLOOKUP(J1281,countries,2,false)</f>
        <v>Lithuania</v>
      </c>
      <c r="L1281" s="7" t="str">
        <f>VLOOKUP($J1281,countries,5,false)</f>
        <v>Europe</v>
      </c>
      <c r="M1281" s="7" t="str">
        <f>VLOOKUP($J1281,countries,6,false)</f>
        <v>Northern Europe</v>
      </c>
      <c r="N1281" s="7">
        <v>4594.0</v>
      </c>
      <c r="O1281" s="7" t="str">
        <f>VLOOKUP(N1281, products, 2, FALSE)</f>
        <v>Fruits</v>
      </c>
      <c r="P1281" s="7" t="s">
        <v>264</v>
      </c>
      <c r="Q1281" s="7">
        <v>9461.0</v>
      </c>
      <c r="R1281" s="17">
        <v>9.33</v>
      </c>
      <c r="S1281" s="17">
        <v>6.92</v>
      </c>
      <c r="U1281" s="18">
        <f t="shared" si="6"/>
        <v>88271.13</v>
      </c>
      <c r="V1281" s="18">
        <f t="shared" si="7"/>
        <v>65470.12</v>
      </c>
      <c r="W1281" s="19">
        <f t="shared" si="8"/>
        <v>22801.01</v>
      </c>
    </row>
    <row r="1282">
      <c r="A1282" s="7">
        <v>9.66800153E8</v>
      </c>
      <c r="B1282" s="12">
        <v>40415.0</v>
      </c>
      <c r="C1282" s="7">
        <f t="shared" si="1"/>
        <v>2010</v>
      </c>
      <c r="D1282" s="14" t="str">
        <f t="shared" si="2"/>
        <v>08 - Aug</v>
      </c>
      <c r="E1282" s="15" t="str">
        <f t="shared" si="3"/>
        <v>Wed</v>
      </c>
      <c r="F1282" s="15">
        <f t="shared" si="4"/>
        <v>3</v>
      </c>
      <c r="G1282" s="16">
        <v>40431.0</v>
      </c>
      <c r="H1282" s="14">
        <f t="shared" si="5"/>
        <v>16</v>
      </c>
      <c r="I1282" s="7" t="s">
        <v>232</v>
      </c>
      <c r="J1282" s="7" t="s">
        <v>274</v>
      </c>
      <c r="K1282" s="7" t="str">
        <f>VLOOKUP(J1282,countries,2,false)</f>
        <v>Estonia</v>
      </c>
      <c r="L1282" s="7" t="str">
        <f>VLOOKUP($J1282,countries,5,false)</f>
        <v>Europe</v>
      </c>
      <c r="M1282" s="7" t="str">
        <f>VLOOKUP($J1282,countries,6,false)</f>
        <v>Northern Europe</v>
      </c>
      <c r="N1282" s="7">
        <v>8875.0</v>
      </c>
      <c r="O1282" s="7" t="str">
        <f>VLOOKUP(N1282, products, 2, FALSE)</f>
        <v>Meat</v>
      </c>
      <c r="P1282" s="7" t="s">
        <v>334</v>
      </c>
      <c r="Q1282" s="7">
        <v>6505.0</v>
      </c>
      <c r="R1282" s="17">
        <v>421.89</v>
      </c>
      <c r="S1282" s="17">
        <v>364.69</v>
      </c>
      <c r="U1282" s="18">
        <f t="shared" si="6"/>
        <v>2744394.45</v>
      </c>
      <c r="V1282" s="18">
        <f t="shared" si="7"/>
        <v>2372308.45</v>
      </c>
      <c r="W1282" s="19">
        <f t="shared" si="8"/>
        <v>372086</v>
      </c>
    </row>
    <row r="1283">
      <c r="A1283" s="7">
        <v>9.67258059E8</v>
      </c>
      <c r="B1283" s="12">
        <v>41851.0</v>
      </c>
      <c r="C1283" s="7">
        <f t="shared" si="1"/>
        <v>2014</v>
      </c>
      <c r="D1283" s="14" t="str">
        <f t="shared" si="2"/>
        <v>07 - Jul</v>
      </c>
      <c r="E1283" s="15" t="str">
        <f t="shared" si="3"/>
        <v>Thu</v>
      </c>
      <c r="F1283" s="15">
        <f t="shared" si="4"/>
        <v>4</v>
      </c>
      <c r="G1283" s="16">
        <v>41859.0</v>
      </c>
      <c r="H1283" s="14">
        <f t="shared" si="5"/>
        <v>8</v>
      </c>
      <c r="I1283" s="7" t="s">
        <v>232</v>
      </c>
      <c r="J1283" s="7" t="s">
        <v>101</v>
      </c>
      <c r="K1283" s="7" t="str">
        <f>VLOOKUP(J1283,countries,2,false)</f>
        <v>Austria</v>
      </c>
      <c r="L1283" s="7" t="str">
        <f>VLOOKUP($J1283,countries,5,false)</f>
        <v>Europe</v>
      </c>
      <c r="M1283" s="7" t="str">
        <f>VLOOKUP($J1283,countries,6,false)</f>
        <v>Western Europe</v>
      </c>
      <c r="N1283" s="7">
        <v>3127.0</v>
      </c>
      <c r="O1283" s="7" t="str">
        <f>VLOOKUP(N1283, products, 2, FALSE)</f>
        <v>Personal Care</v>
      </c>
      <c r="P1283" s="7" t="s">
        <v>264</v>
      </c>
      <c r="Q1283" s="7">
        <v>2009.0</v>
      </c>
      <c r="R1283" s="17">
        <v>81.73</v>
      </c>
      <c r="S1283" s="17">
        <v>56.67</v>
      </c>
      <c r="U1283" s="18">
        <f t="shared" si="6"/>
        <v>164195.57</v>
      </c>
      <c r="V1283" s="18">
        <f t="shared" si="7"/>
        <v>113850.03</v>
      </c>
      <c r="W1283" s="19">
        <f t="shared" si="8"/>
        <v>50345.54</v>
      </c>
    </row>
    <row r="1284">
      <c r="A1284" s="7">
        <v>9.67679059E8</v>
      </c>
      <c r="B1284" s="12">
        <v>41336.0</v>
      </c>
      <c r="C1284" s="7">
        <f t="shared" si="1"/>
        <v>2013</v>
      </c>
      <c r="D1284" s="14" t="str">
        <f t="shared" si="2"/>
        <v>03 - Mar</v>
      </c>
      <c r="E1284" s="15" t="str">
        <f t="shared" si="3"/>
        <v>Sun</v>
      </c>
      <c r="F1284" s="15">
        <f t="shared" si="4"/>
        <v>7</v>
      </c>
      <c r="G1284" s="16">
        <v>41352.0</v>
      </c>
      <c r="H1284" s="14">
        <f t="shared" si="5"/>
        <v>16</v>
      </c>
      <c r="I1284" s="7" t="s">
        <v>305</v>
      </c>
      <c r="J1284" s="7" t="s">
        <v>67</v>
      </c>
      <c r="K1284" s="7" t="str">
        <f>VLOOKUP(J1284,countries,2,false)</f>
        <v>Andorra</v>
      </c>
      <c r="L1284" s="7" t="str">
        <f>VLOOKUP($J1284,countries,5,false)</f>
        <v>Europe</v>
      </c>
      <c r="M1284" s="7" t="str">
        <f>VLOOKUP($J1284,countries,6,false)</f>
        <v>Southern Europe</v>
      </c>
      <c r="N1284" s="7">
        <v>5988.0</v>
      </c>
      <c r="O1284" s="7" t="str">
        <f>VLOOKUP(N1284, products, 2, FALSE)</f>
        <v>Vegetables</v>
      </c>
      <c r="P1284" s="7" t="s">
        <v>264</v>
      </c>
      <c r="Q1284" s="7">
        <v>6592.0</v>
      </c>
      <c r="R1284" s="17">
        <v>154.06</v>
      </c>
      <c r="S1284" s="17">
        <v>90.93</v>
      </c>
      <c r="U1284" s="18">
        <f t="shared" si="6"/>
        <v>1015563.52</v>
      </c>
      <c r="V1284" s="18">
        <f t="shared" si="7"/>
        <v>599410.56</v>
      </c>
      <c r="W1284" s="19">
        <f t="shared" si="8"/>
        <v>416152.96</v>
      </c>
    </row>
    <row r="1285">
      <c r="A1285" s="7">
        <v>9.6818546E8</v>
      </c>
      <c r="B1285" s="12">
        <v>41283.0</v>
      </c>
      <c r="C1285" s="7">
        <f t="shared" si="1"/>
        <v>2013</v>
      </c>
      <c r="D1285" s="14" t="str">
        <f t="shared" si="2"/>
        <v>01 - Jan</v>
      </c>
      <c r="E1285" s="15" t="str">
        <f t="shared" si="3"/>
        <v>Wed</v>
      </c>
      <c r="F1285" s="15">
        <f t="shared" si="4"/>
        <v>3</v>
      </c>
      <c r="G1285" s="16">
        <v>41308.0</v>
      </c>
      <c r="H1285" s="14">
        <f t="shared" si="5"/>
        <v>25</v>
      </c>
      <c r="I1285" s="7" t="s">
        <v>232</v>
      </c>
      <c r="J1285" s="7" t="s">
        <v>608</v>
      </c>
      <c r="K1285" s="7" t="str">
        <f>VLOOKUP(J1285,countries,2,false)</f>
        <v>Poland</v>
      </c>
      <c r="L1285" s="7" t="str">
        <f>VLOOKUP($J1285,countries,5,false)</f>
        <v>Europe</v>
      </c>
      <c r="M1285" s="7" t="str">
        <f>VLOOKUP($J1285,countries,6,false)</f>
        <v>Eastern Europe</v>
      </c>
      <c r="N1285" s="7">
        <v>8969.0</v>
      </c>
      <c r="O1285" s="7" t="str">
        <f>VLOOKUP(N1285, products, 2, FALSE)</f>
        <v>Snacks</v>
      </c>
      <c r="P1285" s="7" t="s">
        <v>264</v>
      </c>
      <c r="Q1285" s="7">
        <v>6448.0</v>
      </c>
      <c r="R1285" s="17">
        <v>152.58</v>
      </c>
      <c r="S1285" s="17">
        <v>97.44</v>
      </c>
      <c r="U1285" s="18">
        <f t="shared" si="6"/>
        <v>983835.84</v>
      </c>
      <c r="V1285" s="18">
        <f t="shared" si="7"/>
        <v>628293.12</v>
      </c>
      <c r="W1285" s="19">
        <f t="shared" si="8"/>
        <v>355542.72</v>
      </c>
    </row>
    <row r="1286">
      <c r="A1286" s="7">
        <v>9.69195258E8</v>
      </c>
      <c r="B1286" s="12">
        <v>41147.0</v>
      </c>
      <c r="C1286" s="7">
        <f t="shared" si="1"/>
        <v>2012</v>
      </c>
      <c r="D1286" s="14" t="str">
        <f t="shared" si="2"/>
        <v>08 - Aug</v>
      </c>
      <c r="E1286" s="15" t="str">
        <f t="shared" si="3"/>
        <v>Sun</v>
      </c>
      <c r="F1286" s="15">
        <f t="shared" si="4"/>
        <v>7</v>
      </c>
      <c r="G1286" s="16">
        <v>41169.0</v>
      </c>
      <c r="H1286" s="14">
        <f t="shared" si="5"/>
        <v>22</v>
      </c>
      <c r="I1286" s="7" t="s">
        <v>364</v>
      </c>
      <c r="J1286" s="7" t="s">
        <v>246</v>
      </c>
      <c r="K1286" s="7" t="str">
        <f>VLOOKUP(J1286,countries,2,false)</f>
        <v>Denmark</v>
      </c>
      <c r="L1286" s="7" t="str">
        <f>VLOOKUP($J1286,countries,5,false)</f>
        <v>Europe</v>
      </c>
      <c r="M1286" s="7" t="str">
        <f>VLOOKUP($J1286,countries,6,false)</f>
        <v>Northern Europe</v>
      </c>
      <c r="N1286" s="7">
        <v>5988.0</v>
      </c>
      <c r="O1286" s="7" t="str">
        <f>VLOOKUP(N1286, products, 2, FALSE)</f>
        <v>Vegetables</v>
      </c>
      <c r="P1286" s="7" t="s">
        <v>264</v>
      </c>
      <c r="Q1286" s="7">
        <v>5269.0</v>
      </c>
      <c r="R1286" s="17">
        <v>154.06</v>
      </c>
      <c r="S1286" s="17">
        <v>90.93</v>
      </c>
      <c r="U1286" s="18">
        <f t="shared" si="6"/>
        <v>811742.14</v>
      </c>
      <c r="V1286" s="18">
        <f t="shared" si="7"/>
        <v>479110.17</v>
      </c>
      <c r="W1286" s="19">
        <f t="shared" si="8"/>
        <v>332631.97</v>
      </c>
    </row>
    <row r="1287">
      <c r="A1287" s="7">
        <v>9.69199979E8</v>
      </c>
      <c r="B1287" s="12">
        <v>41590.0</v>
      </c>
      <c r="C1287" s="7">
        <f t="shared" si="1"/>
        <v>2013</v>
      </c>
      <c r="D1287" s="14" t="str">
        <f t="shared" si="2"/>
        <v>11 - Nov</v>
      </c>
      <c r="E1287" s="15" t="str">
        <f t="shared" si="3"/>
        <v>Tue</v>
      </c>
      <c r="F1287" s="15">
        <f t="shared" si="4"/>
        <v>2</v>
      </c>
      <c r="G1287" s="16">
        <v>41615.0</v>
      </c>
      <c r="H1287" s="14">
        <f t="shared" si="5"/>
        <v>25</v>
      </c>
      <c r="I1287" s="7" t="s">
        <v>399</v>
      </c>
      <c r="J1287" s="7" t="s">
        <v>328</v>
      </c>
      <c r="K1287" s="7" t="str">
        <f>VLOOKUP(J1287,countries,2,false)</f>
        <v>Greece</v>
      </c>
      <c r="L1287" s="7" t="str">
        <f>VLOOKUP($J1287,countries,5,false)</f>
        <v>Europe</v>
      </c>
      <c r="M1287" s="7" t="str">
        <f>VLOOKUP($J1287,countries,6,false)</f>
        <v>Southern Europe</v>
      </c>
      <c r="N1287" s="7">
        <v>8875.0</v>
      </c>
      <c r="O1287" s="7" t="str">
        <f>VLOOKUP(N1287, products, 2, FALSE)</f>
        <v>Meat</v>
      </c>
      <c r="P1287" s="7" t="s">
        <v>264</v>
      </c>
      <c r="Q1287" s="7">
        <v>6666.0</v>
      </c>
      <c r="R1287" s="17">
        <v>421.89</v>
      </c>
      <c r="S1287" s="17">
        <v>364.69</v>
      </c>
      <c r="U1287" s="18">
        <f t="shared" si="6"/>
        <v>2812318.74</v>
      </c>
      <c r="V1287" s="18">
        <f t="shared" si="7"/>
        <v>2431023.54</v>
      </c>
      <c r="W1287" s="19">
        <f t="shared" si="8"/>
        <v>381295.2</v>
      </c>
    </row>
    <row r="1288">
      <c r="A1288" s="7">
        <v>9.69289243E8</v>
      </c>
      <c r="B1288" s="12">
        <v>40905.0</v>
      </c>
      <c r="C1288" s="7">
        <f t="shared" si="1"/>
        <v>2011</v>
      </c>
      <c r="D1288" s="14" t="str">
        <f t="shared" si="2"/>
        <v>12 - Dec</v>
      </c>
      <c r="E1288" s="15" t="str">
        <f t="shared" si="3"/>
        <v>Wed</v>
      </c>
      <c r="F1288" s="15">
        <f t="shared" si="4"/>
        <v>3</v>
      </c>
      <c r="G1288" s="16">
        <v>40941.0</v>
      </c>
      <c r="H1288" s="14">
        <f t="shared" si="5"/>
        <v>36</v>
      </c>
      <c r="I1288" s="7" t="s">
        <v>305</v>
      </c>
      <c r="J1288" s="7" t="s">
        <v>146</v>
      </c>
      <c r="K1288" s="7" t="str">
        <f>VLOOKUP(J1288,countries,2,false)</f>
        <v>Bosnia and Herzegovina</v>
      </c>
      <c r="L1288" s="7" t="str">
        <f>VLOOKUP($J1288,countries,5,false)</f>
        <v>Europe</v>
      </c>
      <c r="M1288" s="7" t="str">
        <f>VLOOKUP($J1288,countries,6,false)</f>
        <v>Southern Europe</v>
      </c>
      <c r="N1288" s="7">
        <v>7940.0</v>
      </c>
      <c r="O1288" s="7" t="str">
        <f>VLOOKUP(N1288, products, 2, FALSE)</f>
        <v>Household</v>
      </c>
      <c r="P1288" s="7" t="s">
        <v>264</v>
      </c>
      <c r="Q1288" s="7">
        <v>3082.0</v>
      </c>
      <c r="R1288" s="17">
        <v>668.27</v>
      </c>
      <c r="S1288" s="17">
        <v>502.54</v>
      </c>
      <c r="U1288" s="18">
        <f t="shared" si="6"/>
        <v>2059608.14</v>
      </c>
      <c r="V1288" s="18">
        <f t="shared" si="7"/>
        <v>1548828.28</v>
      </c>
      <c r="W1288" s="19">
        <f t="shared" si="8"/>
        <v>510779.86</v>
      </c>
    </row>
    <row r="1289">
      <c r="A1289" s="7">
        <v>9.70427358E8</v>
      </c>
      <c r="B1289" s="12">
        <v>40477.0</v>
      </c>
      <c r="C1289" s="7">
        <f t="shared" si="1"/>
        <v>2010</v>
      </c>
      <c r="D1289" s="14" t="str">
        <f t="shared" si="2"/>
        <v>10 - Oct</v>
      </c>
      <c r="E1289" s="15" t="str">
        <f t="shared" si="3"/>
        <v>Tue</v>
      </c>
      <c r="F1289" s="15">
        <f t="shared" si="4"/>
        <v>2</v>
      </c>
      <c r="G1289" s="16">
        <v>40482.0</v>
      </c>
      <c r="H1289" s="14">
        <f t="shared" si="5"/>
        <v>5</v>
      </c>
      <c r="I1289" s="7" t="s">
        <v>399</v>
      </c>
      <c r="J1289" s="7" t="s">
        <v>90</v>
      </c>
      <c r="K1289" s="7" t="str">
        <f>VLOOKUP(J1289,countries,2,false)</f>
        <v>Armenia</v>
      </c>
      <c r="L1289" s="7" t="str">
        <f>VLOOKUP($J1289,countries,5,false)</f>
        <v>Asia</v>
      </c>
      <c r="M1289" s="7" t="str">
        <f>VLOOKUP($J1289,countries,6,false)</f>
        <v>Western Asia</v>
      </c>
      <c r="N1289" s="7">
        <v>8875.0</v>
      </c>
      <c r="O1289" s="7" t="str">
        <f>VLOOKUP(N1289, products, 2, FALSE)</f>
        <v>Meat</v>
      </c>
      <c r="P1289" s="7" t="s">
        <v>334</v>
      </c>
      <c r="Q1289" s="7">
        <v>9875.0</v>
      </c>
      <c r="R1289" s="17">
        <v>421.89</v>
      </c>
      <c r="S1289" s="17">
        <v>364.69</v>
      </c>
      <c r="U1289" s="18">
        <f t="shared" si="6"/>
        <v>4166163.75</v>
      </c>
      <c r="V1289" s="18">
        <f t="shared" si="7"/>
        <v>3601313.75</v>
      </c>
      <c r="W1289" s="19">
        <f t="shared" si="8"/>
        <v>564850</v>
      </c>
    </row>
    <row r="1290">
      <c r="A1290" s="7">
        <v>9.71578347E8</v>
      </c>
      <c r="B1290" s="12">
        <v>41759.0</v>
      </c>
      <c r="C1290" s="7">
        <f t="shared" si="1"/>
        <v>2014</v>
      </c>
      <c r="D1290" s="14" t="str">
        <f t="shared" si="2"/>
        <v>04 - Apr</v>
      </c>
      <c r="E1290" s="15" t="str">
        <f t="shared" si="3"/>
        <v>Wed</v>
      </c>
      <c r="F1290" s="15">
        <f t="shared" si="4"/>
        <v>3</v>
      </c>
      <c r="G1290" s="16">
        <v>41806.0</v>
      </c>
      <c r="H1290" s="14">
        <f t="shared" si="5"/>
        <v>47</v>
      </c>
      <c r="I1290" s="7" t="s">
        <v>364</v>
      </c>
      <c r="J1290" s="7" t="s">
        <v>516</v>
      </c>
      <c r="K1290" s="7" t="str">
        <f>VLOOKUP(J1290,countries,2,false)</f>
        <v>Monaco</v>
      </c>
      <c r="L1290" s="7" t="str">
        <f>VLOOKUP($J1290,countries,5,false)</f>
        <v>Europe</v>
      </c>
      <c r="M1290" s="7" t="str">
        <f>VLOOKUP($J1290,countries,6,false)</f>
        <v>Western Europe</v>
      </c>
      <c r="N1290" s="7">
        <v>7940.0</v>
      </c>
      <c r="O1290" s="7" t="str">
        <f>VLOOKUP(N1290, products, 2, FALSE)</f>
        <v>Household</v>
      </c>
      <c r="P1290" s="7" t="s">
        <v>264</v>
      </c>
      <c r="Q1290" s="7">
        <v>478.0</v>
      </c>
      <c r="R1290" s="17">
        <v>668.27</v>
      </c>
      <c r="S1290" s="17">
        <v>502.54</v>
      </c>
      <c r="U1290" s="18">
        <f t="shared" si="6"/>
        <v>319433.06</v>
      </c>
      <c r="V1290" s="18">
        <f t="shared" si="7"/>
        <v>240214.12</v>
      </c>
      <c r="W1290" s="19">
        <f t="shared" si="8"/>
        <v>79218.94</v>
      </c>
    </row>
    <row r="1291">
      <c r="A1291" s="7">
        <v>9.71899354E8</v>
      </c>
      <c r="B1291" s="12">
        <v>41426.0</v>
      </c>
      <c r="C1291" s="7">
        <f t="shared" si="1"/>
        <v>2013</v>
      </c>
      <c r="D1291" s="14" t="str">
        <f t="shared" si="2"/>
        <v>06 - Jun</v>
      </c>
      <c r="E1291" s="15" t="str">
        <f t="shared" si="3"/>
        <v>Sat</v>
      </c>
      <c r="F1291" s="15">
        <f t="shared" si="4"/>
        <v>6</v>
      </c>
      <c r="G1291" s="16">
        <v>41426.0</v>
      </c>
      <c r="H1291" s="14">
        <f t="shared" si="5"/>
        <v>0</v>
      </c>
      <c r="I1291" s="7" t="s">
        <v>305</v>
      </c>
      <c r="J1291" s="7" t="s">
        <v>717</v>
      </c>
      <c r="K1291" s="7" t="str">
        <f>VLOOKUP(J1291,countries,2,false)</f>
        <v>Sweden</v>
      </c>
      <c r="L1291" s="7" t="str">
        <f>VLOOKUP($J1291,countries,5,false)</f>
        <v>Europe</v>
      </c>
      <c r="M1291" s="7" t="str">
        <f>VLOOKUP($J1291,countries,6,false)</f>
        <v>Northern Europe</v>
      </c>
      <c r="N1291" s="7">
        <v>8969.0</v>
      </c>
      <c r="O1291" s="7" t="str">
        <f>VLOOKUP(N1291, products, 2, FALSE)</f>
        <v>Snacks</v>
      </c>
      <c r="P1291" s="7" t="s">
        <v>264</v>
      </c>
      <c r="Q1291" s="7">
        <v>5471.0</v>
      </c>
      <c r="R1291" s="17">
        <v>152.58</v>
      </c>
      <c r="S1291" s="17">
        <v>97.44</v>
      </c>
      <c r="U1291" s="18">
        <f t="shared" si="6"/>
        <v>834765.18</v>
      </c>
      <c r="V1291" s="18">
        <f t="shared" si="7"/>
        <v>533094.24</v>
      </c>
      <c r="W1291" s="19">
        <f t="shared" si="8"/>
        <v>301670.94</v>
      </c>
    </row>
    <row r="1292">
      <c r="A1292" s="7">
        <v>9.72419059E8</v>
      </c>
      <c r="B1292" s="12">
        <v>41112.0</v>
      </c>
      <c r="C1292" s="7">
        <f t="shared" si="1"/>
        <v>2012</v>
      </c>
      <c r="D1292" s="14" t="str">
        <f t="shared" si="2"/>
        <v>07 - Jul</v>
      </c>
      <c r="E1292" s="15" t="str">
        <f t="shared" si="3"/>
        <v>Sun</v>
      </c>
      <c r="F1292" s="15">
        <f t="shared" si="4"/>
        <v>7</v>
      </c>
      <c r="G1292" s="16">
        <v>41138.0</v>
      </c>
      <c r="H1292" s="14">
        <f t="shared" si="5"/>
        <v>26</v>
      </c>
      <c r="I1292" s="7" t="s">
        <v>399</v>
      </c>
      <c r="J1292" s="7" t="s">
        <v>685</v>
      </c>
      <c r="K1292" s="7" t="str">
        <f>VLOOKUP(J1292,countries,2,false)</f>
        <v>Slovenia</v>
      </c>
      <c r="L1292" s="7" t="str">
        <f>VLOOKUP($J1292,countries,5,false)</f>
        <v>Europe</v>
      </c>
      <c r="M1292" s="7" t="str">
        <f>VLOOKUP($J1292,countries,6,false)</f>
        <v>Southern Europe</v>
      </c>
      <c r="N1292" s="7">
        <v>2103.0</v>
      </c>
      <c r="O1292" s="7" t="str">
        <f>VLOOKUP(N1292, products, 2, FALSE)</f>
        <v>Cereal</v>
      </c>
      <c r="P1292" s="7" t="s">
        <v>264</v>
      </c>
      <c r="Q1292" s="7">
        <v>9264.0</v>
      </c>
      <c r="R1292" s="17">
        <v>205.7</v>
      </c>
      <c r="S1292" s="17">
        <v>117.11</v>
      </c>
      <c r="U1292" s="18">
        <f t="shared" si="6"/>
        <v>1905604.8</v>
      </c>
      <c r="V1292" s="18">
        <f t="shared" si="7"/>
        <v>1084907.04</v>
      </c>
      <c r="W1292" s="19">
        <f t="shared" si="8"/>
        <v>820697.76</v>
      </c>
    </row>
    <row r="1293">
      <c r="A1293" s="7">
        <v>9.72452533E8</v>
      </c>
      <c r="B1293" s="12">
        <v>42238.0</v>
      </c>
      <c r="C1293" s="7">
        <f t="shared" si="1"/>
        <v>2015</v>
      </c>
      <c r="D1293" s="14" t="str">
        <f t="shared" si="2"/>
        <v>08 - Aug</v>
      </c>
      <c r="E1293" s="15" t="str">
        <f t="shared" si="3"/>
        <v>Sat</v>
      </c>
      <c r="F1293" s="15">
        <f t="shared" si="4"/>
        <v>6</v>
      </c>
      <c r="G1293" s="16">
        <v>42281.0</v>
      </c>
      <c r="H1293" s="14">
        <f t="shared" si="5"/>
        <v>43</v>
      </c>
      <c r="I1293" s="7" t="s">
        <v>364</v>
      </c>
      <c r="J1293" s="7" t="s">
        <v>293</v>
      </c>
      <c r="K1293" s="7" t="str">
        <f>VLOOKUP(J1293,countries,2,false)</f>
        <v>Finland</v>
      </c>
      <c r="L1293" s="7" t="str">
        <f>VLOOKUP($J1293,countries,5,false)</f>
        <v>Europe</v>
      </c>
      <c r="M1293" s="7" t="str">
        <f>VLOOKUP($J1293,countries,6,false)</f>
        <v>Northern Europe</v>
      </c>
      <c r="N1293" s="7">
        <v>5988.0</v>
      </c>
      <c r="O1293" s="7" t="str">
        <f>VLOOKUP(N1293, products, 2, FALSE)</f>
        <v>Vegetables</v>
      </c>
      <c r="P1293" s="7" t="s">
        <v>264</v>
      </c>
      <c r="Q1293" s="7">
        <v>9169.0</v>
      </c>
      <c r="R1293" s="17">
        <v>154.06</v>
      </c>
      <c r="S1293" s="17">
        <v>90.93</v>
      </c>
      <c r="U1293" s="18">
        <f t="shared" si="6"/>
        <v>1412576.14</v>
      </c>
      <c r="V1293" s="18">
        <f t="shared" si="7"/>
        <v>833737.17</v>
      </c>
      <c r="W1293" s="19">
        <f t="shared" si="8"/>
        <v>578838.97</v>
      </c>
    </row>
    <row r="1294">
      <c r="A1294" s="7">
        <v>9.72981679E8</v>
      </c>
      <c r="B1294" s="12">
        <v>42809.0</v>
      </c>
      <c r="C1294" s="7">
        <f t="shared" si="1"/>
        <v>2017</v>
      </c>
      <c r="D1294" s="14" t="str">
        <f t="shared" si="2"/>
        <v>03 - Mar</v>
      </c>
      <c r="E1294" s="15" t="str">
        <f t="shared" si="3"/>
        <v>Wed</v>
      </c>
      <c r="F1294" s="15">
        <f t="shared" si="4"/>
        <v>3</v>
      </c>
      <c r="G1294" s="16">
        <v>42834.0</v>
      </c>
      <c r="H1294" s="14">
        <f t="shared" si="5"/>
        <v>25</v>
      </c>
      <c r="I1294" s="7" t="s">
        <v>305</v>
      </c>
      <c r="J1294" s="7" t="s">
        <v>447</v>
      </c>
      <c r="K1294" s="7" t="str">
        <f>VLOOKUP(J1294,countries,2,false)</f>
        <v>Latvia</v>
      </c>
      <c r="L1294" s="7" t="str">
        <f>VLOOKUP($J1294,countries,5,false)</f>
        <v>Europe</v>
      </c>
      <c r="M1294" s="7" t="str">
        <f>VLOOKUP($J1294,countries,6,false)</f>
        <v>Northern Europe</v>
      </c>
      <c r="N1294" s="7">
        <v>8969.0</v>
      </c>
      <c r="O1294" s="7" t="str">
        <f>VLOOKUP(N1294, products, 2, FALSE)</f>
        <v>Snacks</v>
      </c>
      <c r="P1294" s="7" t="s">
        <v>264</v>
      </c>
      <c r="Q1294" s="7">
        <v>5755.0</v>
      </c>
      <c r="R1294" s="17">
        <v>152.58</v>
      </c>
      <c r="S1294" s="17">
        <v>97.44</v>
      </c>
      <c r="U1294" s="18">
        <f t="shared" si="6"/>
        <v>878097.9</v>
      </c>
      <c r="V1294" s="18">
        <f t="shared" si="7"/>
        <v>560767.2</v>
      </c>
      <c r="W1294" s="19">
        <f t="shared" si="8"/>
        <v>317330.7</v>
      </c>
    </row>
    <row r="1295">
      <c r="A1295" s="7">
        <v>9.73268353E8</v>
      </c>
      <c r="B1295" s="12">
        <v>42526.0</v>
      </c>
      <c r="C1295" s="7">
        <f t="shared" si="1"/>
        <v>2016</v>
      </c>
      <c r="D1295" s="14" t="str">
        <f t="shared" si="2"/>
        <v>06 - Jun</v>
      </c>
      <c r="E1295" s="15" t="str">
        <f t="shared" si="3"/>
        <v>Sun</v>
      </c>
      <c r="F1295" s="15">
        <f t="shared" si="4"/>
        <v>7</v>
      </c>
      <c r="G1295" s="16">
        <v>42547.0</v>
      </c>
      <c r="H1295" s="14">
        <f t="shared" si="5"/>
        <v>21</v>
      </c>
      <c r="I1295" s="7" t="s">
        <v>399</v>
      </c>
      <c r="J1295" s="7" t="s">
        <v>246</v>
      </c>
      <c r="K1295" s="7" t="str">
        <f>VLOOKUP(J1295,countries,2,false)</f>
        <v>Denmark</v>
      </c>
      <c r="L1295" s="7" t="str">
        <f>VLOOKUP($J1295,countries,5,false)</f>
        <v>Europe</v>
      </c>
      <c r="M1295" s="7" t="str">
        <f>VLOOKUP($J1295,countries,6,false)</f>
        <v>Northern Europe</v>
      </c>
      <c r="N1295" s="7">
        <v>1270.0</v>
      </c>
      <c r="O1295" s="7" t="str">
        <f>VLOOKUP(N1295, products, 2, FALSE)</f>
        <v>Beverages</v>
      </c>
      <c r="P1295" s="7" t="s">
        <v>264</v>
      </c>
      <c r="Q1295" s="7">
        <v>589.0</v>
      </c>
      <c r="R1295" s="17">
        <v>47.45</v>
      </c>
      <c r="S1295" s="17">
        <v>31.79</v>
      </c>
      <c r="U1295" s="18">
        <f t="shared" si="6"/>
        <v>27948.05</v>
      </c>
      <c r="V1295" s="18">
        <f t="shared" si="7"/>
        <v>18724.31</v>
      </c>
      <c r="W1295" s="19">
        <f t="shared" si="8"/>
        <v>9223.74</v>
      </c>
    </row>
    <row r="1296">
      <c r="A1296" s="7">
        <v>9.7414726E8</v>
      </c>
      <c r="B1296" s="12">
        <v>40681.0</v>
      </c>
      <c r="C1296" s="7">
        <f t="shared" si="1"/>
        <v>2011</v>
      </c>
      <c r="D1296" s="14" t="str">
        <f t="shared" si="2"/>
        <v>05 - May</v>
      </c>
      <c r="E1296" s="15" t="str">
        <f t="shared" si="3"/>
        <v>Wed</v>
      </c>
      <c r="F1296" s="15">
        <f t="shared" si="4"/>
        <v>3</v>
      </c>
      <c r="G1296" s="16">
        <v>40702.0</v>
      </c>
      <c r="H1296" s="14">
        <f t="shared" si="5"/>
        <v>21</v>
      </c>
      <c r="I1296" s="7" t="s">
        <v>364</v>
      </c>
      <c r="J1296" s="7" t="s">
        <v>67</v>
      </c>
      <c r="K1296" s="7" t="str">
        <f>VLOOKUP(J1296,countries,2,false)</f>
        <v>Andorra</v>
      </c>
      <c r="L1296" s="7" t="str">
        <f>VLOOKUP($J1296,countries,5,false)</f>
        <v>Europe</v>
      </c>
      <c r="M1296" s="7" t="str">
        <f>VLOOKUP($J1296,countries,6,false)</f>
        <v>Southern Europe</v>
      </c>
      <c r="N1296" s="7">
        <v>2455.0</v>
      </c>
      <c r="O1296" s="7" t="str">
        <f>VLOOKUP(N1296, products, 2, FALSE)</f>
        <v>Clothes</v>
      </c>
      <c r="P1296" s="7" t="s">
        <v>334</v>
      </c>
      <c r="Q1296" s="7">
        <v>677.0</v>
      </c>
      <c r="R1296" s="17">
        <v>109.28</v>
      </c>
      <c r="S1296" s="17">
        <v>35.84</v>
      </c>
      <c r="U1296" s="18">
        <f t="shared" si="6"/>
        <v>73982.56</v>
      </c>
      <c r="V1296" s="18">
        <f t="shared" si="7"/>
        <v>24263.68</v>
      </c>
      <c r="W1296" s="19">
        <f t="shared" si="8"/>
        <v>49718.88</v>
      </c>
    </row>
    <row r="1297">
      <c r="A1297" s="7">
        <v>9.7442063E8</v>
      </c>
      <c r="B1297" s="12">
        <v>40659.0</v>
      </c>
      <c r="C1297" s="7">
        <f t="shared" si="1"/>
        <v>2011</v>
      </c>
      <c r="D1297" s="14" t="str">
        <f t="shared" si="2"/>
        <v>04 - Apr</v>
      </c>
      <c r="E1297" s="15" t="str">
        <f t="shared" si="3"/>
        <v>Tue</v>
      </c>
      <c r="F1297" s="15">
        <f t="shared" si="4"/>
        <v>2</v>
      </c>
      <c r="G1297" s="16">
        <v>40709.0</v>
      </c>
      <c r="H1297" s="14">
        <f t="shared" si="5"/>
        <v>50</v>
      </c>
      <c r="I1297" s="7" t="s">
        <v>399</v>
      </c>
      <c r="J1297" s="7" t="s">
        <v>462</v>
      </c>
      <c r="K1297" s="7" t="str">
        <f>VLOOKUP(J1297,countries,2,false)</f>
        <v>Liechtenstein</v>
      </c>
      <c r="L1297" s="7" t="str">
        <f>VLOOKUP($J1297,countries,5,false)</f>
        <v>Europe</v>
      </c>
      <c r="M1297" s="7" t="str">
        <f>VLOOKUP($J1297,countries,6,false)</f>
        <v>Western Europe</v>
      </c>
      <c r="N1297" s="7">
        <v>4594.0</v>
      </c>
      <c r="O1297" s="7" t="str">
        <f>VLOOKUP(N1297, products, 2, FALSE)</f>
        <v>Fruits</v>
      </c>
      <c r="P1297" s="7" t="s">
        <v>334</v>
      </c>
      <c r="Q1297" s="7">
        <v>1573.0</v>
      </c>
      <c r="R1297" s="17">
        <v>9.33</v>
      </c>
      <c r="S1297" s="17">
        <v>6.92</v>
      </c>
      <c r="U1297" s="18">
        <f t="shared" si="6"/>
        <v>14676.09</v>
      </c>
      <c r="V1297" s="18">
        <f t="shared" si="7"/>
        <v>10885.16</v>
      </c>
      <c r="W1297" s="19">
        <f t="shared" si="8"/>
        <v>3790.93</v>
      </c>
    </row>
    <row r="1298">
      <c r="A1298" s="7">
        <v>9.75080668E8</v>
      </c>
      <c r="B1298" s="12">
        <v>42939.0</v>
      </c>
      <c r="C1298" s="7">
        <f t="shared" si="1"/>
        <v>2017</v>
      </c>
      <c r="D1298" s="14" t="str">
        <f t="shared" si="2"/>
        <v>07 - Jul</v>
      </c>
      <c r="E1298" s="15" t="str">
        <f t="shared" si="3"/>
        <v>Sun</v>
      </c>
      <c r="F1298" s="15">
        <f t="shared" si="4"/>
        <v>7</v>
      </c>
      <c r="G1298" s="16">
        <v>42967.0</v>
      </c>
      <c r="H1298" s="14">
        <f t="shared" si="5"/>
        <v>28</v>
      </c>
      <c r="I1298" s="7" t="s">
        <v>305</v>
      </c>
      <c r="J1298" s="7" t="s">
        <v>348</v>
      </c>
      <c r="K1298" s="7" t="s">
        <v>348</v>
      </c>
      <c r="L1298" s="7" t="s">
        <v>348</v>
      </c>
      <c r="M1298" s="7" t="s">
        <v>348</v>
      </c>
      <c r="N1298" s="7">
        <v>5988.0</v>
      </c>
      <c r="O1298" s="7" t="str">
        <f>VLOOKUP(N1298, products, 2, FALSE)</f>
        <v>Vegetables</v>
      </c>
      <c r="P1298" s="7" t="s">
        <v>334</v>
      </c>
      <c r="Q1298" s="7">
        <v>6893.0</v>
      </c>
      <c r="R1298" s="17">
        <v>154.06</v>
      </c>
      <c r="S1298" s="17">
        <v>90.93</v>
      </c>
      <c r="U1298" s="18">
        <f t="shared" si="6"/>
        <v>1061935.58</v>
      </c>
      <c r="V1298" s="18">
        <f t="shared" si="7"/>
        <v>626780.49</v>
      </c>
      <c r="W1298" s="19">
        <f t="shared" si="8"/>
        <v>435155.09</v>
      </c>
    </row>
    <row r="1299">
      <c r="A1299" s="7">
        <v>9.75823962E8</v>
      </c>
      <c r="B1299" s="12">
        <v>41709.0</v>
      </c>
      <c r="C1299" s="7">
        <f t="shared" si="1"/>
        <v>2014</v>
      </c>
      <c r="D1299" s="14" t="str">
        <f t="shared" si="2"/>
        <v>03 - Mar</v>
      </c>
      <c r="E1299" s="15" t="str">
        <f t="shared" si="3"/>
        <v>Tue</v>
      </c>
      <c r="F1299" s="15">
        <f t="shared" si="4"/>
        <v>2</v>
      </c>
      <c r="G1299" s="16">
        <v>41737.0</v>
      </c>
      <c r="H1299" s="14">
        <f t="shared" si="5"/>
        <v>28</v>
      </c>
      <c r="I1299" s="7" t="s">
        <v>364</v>
      </c>
      <c r="J1299" s="7" t="s">
        <v>328</v>
      </c>
      <c r="K1299" s="7" t="str">
        <f>VLOOKUP(J1299,countries,2,false)</f>
        <v>Greece</v>
      </c>
      <c r="L1299" s="7" t="str">
        <f>VLOOKUP($J1299,countries,5,false)</f>
        <v>Europe</v>
      </c>
      <c r="M1299" s="7" t="str">
        <f>VLOOKUP($J1299,countries,6,false)</f>
        <v>Southern Europe</v>
      </c>
      <c r="N1299" s="7">
        <v>8681.0</v>
      </c>
      <c r="O1299" s="7" t="str">
        <f>VLOOKUP(N1299, products, 2, FALSE)</f>
        <v>Office Supplies</v>
      </c>
      <c r="P1299" s="7" t="s">
        <v>264</v>
      </c>
      <c r="Q1299" s="7">
        <v>6850.0</v>
      </c>
      <c r="R1299" s="17">
        <v>651.21</v>
      </c>
      <c r="S1299" s="17">
        <v>524.96</v>
      </c>
      <c r="U1299" s="18">
        <f t="shared" si="6"/>
        <v>4460788.5</v>
      </c>
      <c r="V1299" s="18">
        <f t="shared" si="7"/>
        <v>3595976</v>
      </c>
      <c r="W1299" s="19">
        <f t="shared" si="8"/>
        <v>864812.5</v>
      </c>
    </row>
    <row r="1300">
      <c r="A1300" s="7">
        <v>9.76323497E8</v>
      </c>
      <c r="B1300" s="12">
        <v>42772.0</v>
      </c>
      <c r="C1300" s="7">
        <f t="shared" si="1"/>
        <v>2017</v>
      </c>
      <c r="D1300" s="14" t="str">
        <f t="shared" si="2"/>
        <v>02 - Feb</v>
      </c>
      <c r="E1300" s="15" t="str">
        <f t="shared" si="3"/>
        <v>Mon</v>
      </c>
      <c r="F1300" s="15">
        <f t="shared" si="4"/>
        <v>1</v>
      </c>
      <c r="G1300" s="16">
        <v>42776.0</v>
      </c>
      <c r="H1300" s="14">
        <f t="shared" si="5"/>
        <v>4</v>
      </c>
      <c r="I1300" s="7" t="s">
        <v>232</v>
      </c>
      <c r="J1300" s="7" t="s">
        <v>229</v>
      </c>
      <c r="K1300" s="7" t="str">
        <f>VLOOKUP(J1300,countries,2,false)</f>
        <v>Croatia</v>
      </c>
      <c r="L1300" s="7" t="str">
        <f>VLOOKUP($J1300,countries,5,false)</f>
        <v>Europe</v>
      </c>
      <c r="M1300" s="7" t="str">
        <f>VLOOKUP($J1300,countries,6,false)</f>
        <v>Southern Europe</v>
      </c>
      <c r="N1300" s="7">
        <v>1270.0</v>
      </c>
      <c r="O1300" s="7" t="str">
        <f>VLOOKUP(N1300, products, 2, FALSE)</f>
        <v>Beverages</v>
      </c>
      <c r="P1300" s="7" t="s">
        <v>264</v>
      </c>
      <c r="Q1300" s="7">
        <v>4674.0</v>
      </c>
      <c r="R1300" s="17">
        <v>47.45</v>
      </c>
      <c r="S1300" s="17">
        <v>31.79</v>
      </c>
      <c r="U1300" s="18">
        <f t="shared" si="6"/>
        <v>221781.3</v>
      </c>
      <c r="V1300" s="18">
        <f t="shared" si="7"/>
        <v>148586.46</v>
      </c>
      <c r="W1300" s="19">
        <f t="shared" si="8"/>
        <v>73194.84</v>
      </c>
    </row>
    <row r="1301">
      <c r="A1301" s="7">
        <v>9.77324712E8</v>
      </c>
      <c r="B1301" s="12">
        <v>40575.0</v>
      </c>
      <c r="C1301" s="7">
        <f t="shared" si="1"/>
        <v>2011</v>
      </c>
      <c r="D1301" s="14" t="str">
        <f t="shared" si="2"/>
        <v>02 - Feb</v>
      </c>
      <c r="E1301" s="15" t="str">
        <f t="shared" si="3"/>
        <v>Tue</v>
      </c>
      <c r="F1301" s="15">
        <f t="shared" si="4"/>
        <v>2</v>
      </c>
      <c r="G1301" s="16">
        <v>40612.0</v>
      </c>
      <c r="H1301" s="14">
        <f t="shared" si="5"/>
        <v>37</v>
      </c>
      <c r="I1301" s="7" t="s">
        <v>399</v>
      </c>
      <c r="J1301" s="7" t="s">
        <v>468</v>
      </c>
      <c r="K1301" s="7" t="str">
        <f>VLOOKUP(J1301,countries,2,false)</f>
        <v>Luxembourg</v>
      </c>
      <c r="L1301" s="7" t="str">
        <f>VLOOKUP($J1301,countries,5,false)</f>
        <v>Europe</v>
      </c>
      <c r="M1301" s="7" t="str">
        <f>VLOOKUP($J1301,countries,6,false)</f>
        <v>Western Europe</v>
      </c>
      <c r="N1301" s="7">
        <v>8969.0</v>
      </c>
      <c r="O1301" s="7" t="str">
        <f>VLOOKUP(N1301, products, 2, FALSE)</f>
        <v>Snacks</v>
      </c>
      <c r="P1301" s="7" t="s">
        <v>264</v>
      </c>
      <c r="Q1301" s="7">
        <v>955.0</v>
      </c>
      <c r="R1301" s="17">
        <v>152.58</v>
      </c>
      <c r="S1301" s="17">
        <v>97.44</v>
      </c>
      <c r="U1301" s="18">
        <f t="shared" si="6"/>
        <v>145713.9</v>
      </c>
      <c r="V1301" s="18">
        <f t="shared" si="7"/>
        <v>93055.2</v>
      </c>
      <c r="W1301" s="19">
        <f t="shared" si="8"/>
        <v>52658.7</v>
      </c>
    </row>
    <row r="1302">
      <c r="A1302" s="7">
        <v>9.79073941E8</v>
      </c>
      <c r="B1302" s="12">
        <v>40355.0</v>
      </c>
      <c r="C1302" s="7">
        <f t="shared" si="1"/>
        <v>2010</v>
      </c>
      <c r="D1302" s="14" t="str">
        <f t="shared" si="2"/>
        <v>06 - Jun</v>
      </c>
      <c r="E1302" s="15" t="str">
        <f t="shared" si="3"/>
        <v>Sat</v>
      </c>
      <c r="F1302" s="15">
        <f t="shared" si="4"/>
        <v>6</v>
      </c>
      <c r="G1302" s="16">
        <v>40377.0</v>
      </c>
      <c r="H1302" s="14">
        <f t="shared" si="5"/>
        <v>22</v>
      </c>
      <c r="I1302" s="7" t="s">
        <v>305</v>
      </c>
      <c r="J1302" s="7" t="s">
        <v>720</v>
      </c>
      <c r="K1302" s="7" t="str">
        <f>VLOOKUP(J1302,countries,2,false)</f>
        <v>Switzerland</v>
      </c>
      <c r="L1302" s="7" t="str">
        <f>VLOOKUP($J1302,countries,5,false)</f>
        <v>Europe</v>
      </c>
      <c r="M1302" s="7" t="str">
        <f>VLOOKUP($J1302,countries,6,false)</f>
        <v>Western Europe</v>
      </c>
      <c r="N1302" s="7">
        <v>7331.0</v>
      </c>
      <c r="O1302" s="7" t="str">
        <f>VLOOKUP(N1302, products, 2, FALSE)</f>
        <v>Baby Food</v>
      </c>
      <c r="P1302" s="7" t="s">
        <v>264</v>
      </c>
      <c r="Q1302" s="7">
        <v>8591.0</v>
      </c>
      <c r="R1302" s="17">
        <v>255.28</v>
      </c>
      <c r="S1302" s="17">
        <v>159.42</v>
      </c>
      <c r="U1302" s="18">
        <f t="shared" si="6"/>
        <v>2193110.48</v>
      </c>
      <c r="V1302" s="18">
        <f t="shared" si="7"/>
        <v>1369577.22</v>
      </c>
      <c r="W1302" s="19">
        <f t="shared" si="8"/>
        <v>823533.26</v>
      </c>
    </row>
    <row r="1303">
      <c r="A1303" s="7">
        <v>9.79200112E8</v>
      </c>
      <c r="B1303" s="12">
        <v>41622.0</v>
      </c>
      <c r="C1303" s="7">
        <f t="shared" si="1"/>
        <v>2013</v>
      </c>
      <c r="D1303" s="14" t="str">
        <f t="shared" si="2"/>
        <v>12 - Dec</v>
      </c>
      <c r="E1303" s="15" t="str">
        <f t="shared" si="3"/>
        <v>Sat</v>
      </c>
      <c r="F1303" s="15">
        <f t="shared" si="4"/>
        <v>6</v>
      </c>
      <c r="G1303" s="16">
        <v>41638.0</v>
      </c>
      <c r="H1303" s="14">
        <f t="shared" si="5"/>
        <v>16</v>
      </c>
      <c r="I1303" s="7" t="s">
        <v>305</v>
      </c>
      <c r="J1303" s="7" t="s">
        <v>570</v>
      </c>
      <c r="K1303" s="7" t="str">
        <f>VLOOKUP(J1303,countries,2,false)</f>
        <v>Macedonia</v>
      </c>
      <c r="L1303" s="7" t="str">
        <f>VLOOKUP($J1303,countries,5,false)</f>
        <v>Europe</v>
      </c>
      <c r="M1303" s="7" t="str">
        <f>VLOOKUP($J1303,countries,6,false)</f>
        <v>Southern Europe</v>
      </c>
      <c r="N1303" s="7">
        <v>8875.0</v>
      </c>
      <c r="O1303" s="7" t="str">
        <f>VLOOKUP(N1303, products, 2, FALSE)</f>
        <v>Meat</v>
      </c>
      <c r="P1303" s="7" t="s">
        <v>264</v>
      </c>
      <c r="Q1303" s="7">
        <v>5928.0</v>
      </c>
      <c r="R1303" s="17">
        <v>421.89</v>
      </c>
      <c r="S1303" s="17">
        <v>364.69</v>
      </c>
      <c r="U1303" s="18">
        <f t="shared" si="6"/>
        <v>2500963.92</v>
      </c>
      <c r="V1303" s="18">
        <f t="shared" si="7"/>
        <v>2161882.32</v>
      </c>
      <c r="W1303" s="19">
        <f t="shared" si="8"/>
        <v>339081.6</v>
      </c>
    </row>
    <row r="1304">
      <c r="A1304" s="7">
        <v>9.80381143E8</v>
      </c>
      <c r="B1304" s="12">
        <v>40439.0</v>
      </c>
      <c r="C1304" s="7">
        <f t="shared" si="1"/>
        <v>2010</v>
      </c>
      <c r="D1304" s="14" t="str">
        <f t="shared" si="2"/>
        <v>09 - Sep</v>
      </c>
      <c r="E1304" s="15" t="str">
        <f t="shared" si="3"/>
        <v>Sat</v>
      </c>
      <c r="F1304" s="15">
        <f t="shared" si="4"/>
        <v>6</v>
      </c>
      <c r="G1304" s="16">
        <v>40447.0</v>
      </c>
      <c r="H1304" s="14">
        <f t="shared" si="5"/>
        <v>8</v>
      </c>
      <c r="I1304" s="7" t="s">
        <v>305</v>
      </c>
      <c r="J1304" s="7" t="s">
        <v>165</v>
      </c>
      <c r="K1304" s="7" t="str">
        <f>VLOOKUP(J1304,countries,2,false)</f>
        <v>Bulgaria</v>
      </c>
      <c r="L1304" s="7" t="str">
        <f>VLOOKUP($J1304,countries,5,false)</f>
        <v>Europe</v>
      </c>
      <c r="M1304" s="7" t="str">
        <f>VLOOKUP($J1304,countries,6,false)</f>
        <v>Eastern Europe</v>
      </c>
      <c r="N1304" s="7">
        <v>7331.0</v>
      </c>
      <c r="O1304" s="7" t="str">
        <f>VLOOKUP(N1304, products, 2, FALSE)</f>
        <v>Baby Food</v>
      </c>
      <c r="P1304" s="7" t="s">
        <v>334</v>
      </c>
      <c r="Q1304" s="7">
        <v>5421.0</v>
      </c>
      <c r="R1304" s="17">
        <v>255.28</v>
      </c>
      <c r="S1304" s="17">
        <v>159.42</v>
      </c>
      <c r="U1304" s="18">
        <f t="shared" si="6"/>
        <v>1383872.88</v>
      </c>
      <c r="V1304" s="18">
        <f t="shared" si="7"/>
        <v>864215.82</v>
      </c>
      <c r="W1304" s="19">
        <f t="shared" si="8"/>
        <v>519657.06</v>
      </c>
    </row>
    <row r="1305">
      <c r="A1305" s="7">
        <v>9.80598723E8</v>
      </c>
      <c r="B1305" s="12">
        <v>42229.0</v>
      </c>
      <c r="C1305" s="7">
        <f t="shared" si="1"/>
        <v>2015</v>
      </c>
      <c r="D1305" s="14" t="str">
        <f t="shared" si="2"/>
        <v>08 - Aug</v>
      </c>
      <c r="E1305" s="15" t="str">
        <f t="shared" si="3"/>
        <v>Thu</v>
      </c>
      <c r="F1305" s="15">
        <f t="shared" si="4"/>
        <v>4</v>
      </c>
      <c r="G1305" s="16">
        <v>42271.0</v>
      </c>
      <c r="H1305" s="14">
        <f t="shared" si="5"/>
        <v>42</v>
      </c>
      <c r="I1305" s="7" t="s">
        <v>305</v>
      </c>
      <c r="J1305" s="7" t="s">
        <v>296</v>
      </c>
      <c r="K1305" s="7" t="str">
        <f>VLOOKUP(J1305,countries,2,false)</f>
        <v>France</v>
      </c>
      <c r="L1305" s="7" t="str">
        <f>VLOOKUP($J1305,countries,5,false)</f>
        <v>Europe</v>
      </c>
      <c r="M1305" s="7" t="str">
        <f>VLOOKUP($J1305,countries,6,false)</f>
        <v>Western Europe</v>
      </c>
      <c r="N1305" s="7">
        <v>3127.0</v>
      </c>
      <c r="O1305" s="7" t="str">
        <f>VLOOKUP(N1305, products, 2, FALSE)</f>
        <v>Personal Care</v>
      </c>
      <c r="P1305" s="7" t="s">
        <v>334</v>
      </c>
      <c r="Q1305" s="7">
        <v>9808.0</v>
      </c>
      <c r="R1305" s="17">
        <v>81.73</v>
      </c>
      <c r="S1305" s="17">
        <v>56.67</v>
      </c>
      <c r="U1305" s="18">
        <f t="shared" si="6"/>
        <v>801607.84</v>
      </c>
      <c r="V1305" s="18">
        <f t="shared" si="7"/>
        <v>555819.36</v>
      </c>
      <c r="W1305" s="19">
        <f t="shared" si="8"/>
        <v>245788.48</v>
      </c>
    </row>
    <row r="1306">
      <c r="A1306" s="7">
        <v>9.80961358E8</v>
      </c>
      <c r="B1306" s="12">
        <v>41523.0</v>
      </c>
      <c r="C1306" s="7">
        <f t="shared" si="1"/>
        <v>2013</v>
      </c>
      <c r="D1306" s="14" t="str">
        <f t="shared" si="2"/>
        <v>09 - Sep</v>
      </c>
      <c r="E1306" s="15" t="str">
        <f t="shared" si="3"/>
        <v>Fri</v>
      </c>
      <c r="F1306" s="15">
        <f t="shared" si="4"/>
        <v>5</v>
      </c>
      <c r="G1306" s="16">
        <v>41555.0</v>
      </c>
      <c r="H1306" s="14">
        <f t="shared" si="5"/>
        <v>32</v>
      </c>
      <c r="I1306" s="7" t="s">
        <v>305</v>
      </c>
      <c r="J1306" s="7" t="s">
        <v>468</v>
      </c>
      <c r="K1306" s="7" t="str">
        <f>VLOOKUP(J1306,countries,2,false)</f>
        <v>Luxembourg</v>
      </c>
      <c r="L1306" s="7" t="str">
        <f>VLOOKUP($J1306,countries,5,false)</f>
        <v>Europe</v>
      </c>
      <c r="M1306" s="7" t="str">
        <f>VLOOKUP($J1306,countries,6,false)</f>
        <v>Western Europe</v>
      </c>
      <c r="N1306" s="7">
        <v>8293.0</v>
      </c>
      <c r="O1306" s="7" t="str">
        <f>VLOOKUP(N1306, products, 2, FALSE)</f>
        <v>Cosmetics</v>
      </c>
      <c r="P1306" s="7" t="s">
        <v>264</v>
      </c>
      <c r="Q1306" s="7">
        <v>7120.0</v>
      </c>
      <c r="R1306" s="17">
        <v>437.2</v>
      </c>
      <c r="S1306" s="17">
        <v>263.33</v>
      </c>
      <c r="U1306" s="18">
        <f t="shared" si="6"/>
        <v>3112864</v>
      </c>
      <c r="V1306" s="18">
        <f t="shared" si="7"/>
        <v>1874909.6</v>
      </c>
      <c r="W1306" s="19">
        <f t="shared" si="8"/>
        <v>1237954.4</v>
      </c>
    </row>
    <row r="1307">
      <c r="A1307" s="7">
        <v>9.81154048E8</v>
      </c>
      <c r="B1307" s="12">
        <v>41482.0</v>
      </c>
      <c r="C1307" s="7">
        <f t="shared" si="1"/>
        <v>2013</v>
      </c>
      <c r="D1307" s="14" t="str">
        <f t="shared" si="2"/>
        <v>07 - Jul</v>
      </c>
      <c r="E1307" s="15" t="str">
        <f t="shared" si="3"/>
        <v>Sat</v>
      </c>
      <c r="F1307" s="15">
        <f t="shared" si="4"/>
        <v>6</v>
      </c>
      <c r="G1307" s="16">
        <v>41495.0</v>
      </c>
      <c r="H1307" s="14">
        <f t="shared" si="5"/>
        <v>13</v>
      </c>
      <c r="I1307" s="7" t="s">
        <v>305</v>
      </c>
      <c r="J1307" s="7" t="s">
        <v>406</v>
      </c>
      <c r="K1307" s="7" t="str">
        <f>VLOOKUP(J1307,countries,2,false)</f>
        <v>Italy</v>
      </c>
      <c r="L1307" s="7" t="str">
        <f>VLOOKUP($J1307,countries,5,false)</f>
        <v>Europe</v>
      </c>
      <c r="M1307" s="7" t="str">
        <f>VLOOKUP($J1307,countries,6,false)</f>
        <v>Southern Europe</v>
      </c>
      <c r="N1307" s="7">
        <v>1270.0</v>
      </c>
      <c r="O1307" s="7" t="str">
        <f>VLOOKUP(N1307, products, 2, FALSE)</f>
        <v>Beverages</v>
      </c>
      <c r="P1307" s="7" t="s">
        <v>334</v>
      </c>
      <c r="Q1307" s="7">
        <v>4141.0</v>
      </c>
      <c r="R1307" s="17">
        <v>47.45</v>
      </c>
      <c r="S1307" s="17">
        <v>31.79</v>
      </c>
      <c r="U1307" s="18">
        <f t="shared" si="6"/>
        <v>196490.45</v>
      </c>
      <c r="V1307" s="18">
        <f t="shared" si="7"/>
        <v>131642.39</v>
      </c>
      <c r="W1307" s="19">
        <f t="shared" si="8"/>
        <v>64848.06</v>
      </c>
    </row>
    <row r="1308">
      <c r="A1308" s="7">
        <v>9.81808078E8</v>
      </c>
      <c r="B1308" s="12">
        <v>40935.0</v>
      </c>
      <c r="C1308" s="7">
        <f t="shared" si="1"/>
        <v>2012</v>
      </c>
      <c r="D1308" s="14" t="str">
        <f t="shared" si="2"/>
        <v>01 - Jan</v>
      </c>
      <c r="E1308" s="15" t="str">
        <f t="shared" si="3"/>
        <v>Fri</v>
      </c>
      <c r="F1308" s="15">
        <f t="shared" si="4"/>
        <v>5</v>
      </c>
      <c r="G1308" s="16">
        <v>40936.0</v>
      </c>
      <c r="H1308" s="14">
        <f t="shared" si="5"/>
        <v>1</v>
      </c>
      <c r="I1308" s="7" t="s">
        <v>364</v>
      </c>
      <c r="J1308" s="7" t="s">
        <v>489</v>
      </c>
      <c r="K1308" s="7" t="str">
        <f>VLOOKUP(J1308,countries,2,false)</f>
        <v>Malta</v>
      </c>
      <c r="L1308" s="7" t="str">
        <f>VLOOKUP($J1308,countries,5,false)</f>
        <v>Europe</v>
      </c>
      <c r="M1308" s="7" t="str">
        <f>VLOOKUP($J1308,countries,6,false)</f>
        <v>Southern Europe</v>
      </c>
      <c r="N1308" s="7">
        <v>8969.0</v>
      </c>
      <c r="O1308" s="7" t="str">
        <f>VLOOKUP(N1308, products, 2, FALSE)</f>
        <v>Snacks</v>
      </c>
      <c r="P1308" s="7" t="s">
        <v>264</v>
      </c>
      <c r="Q1308" s="7">
        <v>7683.0</v>
      </c>
      <c r="R1308" s="17">
        <v>152.58</v>
      </c>
      <c r="S1308" s="17">
        <v>97.44</v>
      </c>
      <c r="U1308" s="18">
        <f t="shared" si="6"/>
        <v>1172272.14</v>
      </c>
      <c r="V1308" s="18">
        <f t="shared" si="7"/>
        <v>748631.52</v>
      </c>
      <c r="W1308" s="19">
        <f t="shared" si="8"/>
        <v>423640.62</v>
      </c>
    </row>
    <row r="1309">
      <c r="A1309" s="7">
        <v>9.82566821E8</v>
      </c>
      <c r="B1309" s="12">
        <v>40650.0</v>
      </c>
      <c r="C1309" s="7">
        <f t="shared" si="1"/>
        <v>2011</v>
      </c>
      <c r="D1309" s="14" t="str">
        <f t="shared" si="2"/>
        <v>04 - Apr</v>
      </c>
      <c r="E1309" s="15" t="str">
        <f t="shared" si="3"/>
        <v>Sun</v>
      </c>
      <c r="F1309" s="15">
        <f t="shared" si="4"/>
        <v>7</v>
      </c>
      <c r="G1309" s="16">
        <v>40699.0</v>
      </c>
      <c r="H1309" s="14">
        <f t="shared" si="5"/>
        <v>49</v>
      </c>
      <c r="I1309" s="7" t="s">
        <v>232</v>
      </c>
      <c r="J1309" s="7" t="s">
        <v>465</v>
      </c>
      <c r="K1309" s="7" t="str">
        <f>VLOOKUP(J1309,countries,2,false)</f>
        <v>Lithuania</v>
      </c>
      <c r="L1309" s="7" t="str">
        <f>VLOOKUP($J1309,countries,5,false)</f>
        <v>Europe</v>
      </c>
      <c r="M1309" s="7" t="str">
        <f>VLOOKUP($J1309,countries,6,false)</f>
        <v>Northern Europe</v>
      </c>
      <c r="N1309" s="7">
        <v>8681.0</v>
      </c>
      <c r="O1309" s="7" t="str">
        <f>VLOOKUP(N1309, products, 2, FALSE)</f>
        <v>Office Supplies</v>
      </c>
      <c r="P1309" s="7" t="s">
        <v>264</v>
      </c>
      <c r="Q1309" s="7">
        <v>2212.0</v>
      </c>
      <c r="R1309" s="17">
        <v>651.21</v>
      </c>
      <c r="S1309" s="17">
        <v>524.96</v>
      </c>
      <c r="U1309" s="18">
        <f t="shared" si="6"/>
        <v>1440476.52</v>
      </c>
      <c r="V1309" s="18">
        <f t="shared" si="7"/>
        <v>1161211.52</v>
      </c>
      <c r="W1309" s="19">
        <f t="shared" si="8"/>
        <v>279265</v>
      </c>
    </row>
    <row r="1310">
      <c r="A1310" s="7">
        <v>9.85039174E8</v>
      </c>
      <c r="B1310" s="12">
        <v>40578.0</v>
      </c>
      <c r="C1310" s="7">
        <f t="shared" si="1"/>
        <v>2011</v>
      </c>
      <c r="D1310" s="14" t="str">
        <f t="shared" si="2"/>
        <v>02 - Feb</v>
      </c>
      <c r="E1310" s="15" t="str">
        <f t="shared" si="3"/>
        <v>Fri</v>
      </c>
      <c r="F1310" s="15">
        <f t="shared" si="4"/>
        <v>5</v>
      </c>
      <c r="G1310" s="16">
        <v>40612.0</v>
      </c>
      <c r="H1310" s="14">
        <f t="shared" si="5"/>
        <v>34</v>
      </c>
      <c r="I1310" s="7" t="s">
        <v>399</v>
      </c>
      <c r="J1310" s="7" t="s">
        <v>546</v>
      </c>
      <c r="K1310" s="7" t="str">
        <f>VLOOKUP(J1310,countries,2,false)</f>
        <v>Netherlands</v>
      </c>
      <c r="L1310" s="7" t="str">
        <f>VLOOKUP($J1310,countries,5,false)</f>
        <v>Europe</v>
      </c>
      <c r="M1310" s="7" t="str">
        <f>VLOOKUP($J1310,countries,6,false)</f>
        <v>Western Europe</v>
      </c>
      <c r="N1310" s="7">
        <v>1270.0</v>
      </c>
      <c r="O1310" s="7" t="str">
        <f>VLOOKUP(N1310, products, 2, FALSE)</f>
        <v>Beverages</v>
      </c>
      <c r="P1310" s="7" t="s">
        <v>264</v>
      </c>
      <c r="Q1310" s="7">
        <v>3836.0</v>
      </c>
      <c r="R1310" s="17">
        <v>47.45</v>
      </c>
      <c r="S1310" s="17">
        <v>31.79</v>
      </c>
      <c r="U1310" s="18">
        <f t="shared" si="6"/>
        <v>182018.2</v>
      </c>
      <c r="V1310" s="18">
        <f t="shared" si="7"/>
        <v>121946.44</v>
      </c>
      <c r="W1310" s="19">
        <f t="shared" si="8"/>
        <v>60071.76</v>
      </c>
    </row>
    <row r="1311">
      <c r="A1311" s="7">
        <v>9.85417258E8</v>
      </c>
      <c r="B1311" s="12">
        <v>40817.0</v>
      </c>
      <c r="C1311" s="7">
        <f t="shared" si="1"/>
        <v>2011</v>
      </c>
      <c r="D1311" s="14" t="str">
        <f t="shared" si="2"/>
        <v>10 - Oct</v>
      </c>
      <c r="E1311" s="15" t="str">
        <f t="shared" si="3"/>
        <v>Sat</v>
      </c>
      <c r="F1311" s="15">
        <f t="shared" si="4"/>
        <v>6</v>
      </c>
      <c r="G1311" s="16">
        <v>40837.0</v>
      </c>
      <c r="H1311" s="14">
        <f t="shared" si="5"/>
        <v>20</v>
      </c>
      <c r="I1311" s="7" t="s">
        <v>232</v>
      </c>
      <c r="J1311" s="7" t="s">
        <v>681</v>
      </c>
      <c r="K1311" s="7" t="str">
        <f>VLOOKUP(J1311,countries,2,false)</f>
        <v>United Kingdom</v>
      </c>
      <c r="L1311" s="7" t="str">
        <f>VLOOKUP($J1311,countries,5,false)</f>
        <v>Europe</v>
      </c>
      <c r="M1311" s="7" t="str">
        <f>VLOOKUP($J1311,countries,6,false)</f>
        <v>Northern Europe</v>
      </c>
      <c r="N1311" s="7">
        <v>2103.0</v>
      </c>
      <c r="O1311" s="7" t="str">
        <f>VLOOKUP(N1311, products, 2, FALSE)</f>
        <v>Cereal</v>
      </c>
      <c r="P1311" s="7" t="s">
        <v>264</v>
      </c>
      <c r="Q1311" s="7">
        <v>5720.0</v>
      </c>
      <c r="R1311" s="17">
        <v>205.7</v>
      </c>
      <c r="S1311" s="17">
        <v>117.11</v>
      </c>
      <c r="U1311" s="18">
        <f t="shared" si="6"/>
        <v>1176604</v>
      </c>
      <c r="V1311" s="18">
        <f t="shared" si="7"/>
        <v>669869.2</v>
      </c>
      <c r="W1311" s="19">
        <f t="shared" si="8"/>
        <v>506734.8</v>
      </c>
    </row>
    <row r="1312">
      <c r="A1312" s="7">
        <v>9.86449801E8</v>
      </c>
      <c r="B1312" s="12">
        <v>41305.0</v>
      </c>
      <c r="C1312" s="7">
        <f t="shared" si="1"/>
        <v>2013</v>
      </c>
      <c r="D1312" s="14" t="str">
        <f t="shared" si="2"/>
        <v>01 - Jan</v>
      </c>
      <c r="E1312" s="15" t="str">
        <f t="shared" si="3"/>
        <v>Thu</v>
      </c>
      <c r="F1312" s="15">
        <f t="shared" si="4"/>
        <v>4</v>
      </c>
      <c r="G1312" s="16">
        <v>41346.0</v>
      </c>
      <c r="H1312" s="14">
        <f t="shared" si="5"/>
        <v>41</v>
      </c>
      <c r="I1312" s="7" t="s">
        <v>399</v>
      </c>
      <c r="J1312" s="7" t="s">
        <v>41</v>
      </c>
      <c r="K1312" s="7" t="str">
        <f>VLOOKUP(J1312,countries,2,false)</f>
        <v>Albania</v>
      </c>
      <c r="L1312" s="7" t="str">
        <f>VLOOKUP($J1312,countries,5,false)</f>
        <v>Europe</v>
      </c>
      <c r="M1312" s="7" t="str">
        <f>VLOOKUP($J1312,countries,6,false)</f>
        <v>Southern Europe</v>
      </c>
      <c r="N1312" s="7">
        <v>8875.0</v>
      </c>
      <c r="O1312" s="7" t="str">
        <f>VLOOKUP(N1312, products, 2, FALSE)</f>
        <v>Meat</v>
      </c>
      <c r="P1312" s="7" t="s">
        <v>334</v>
      </c>
      <c r="Q1312" s="7">
        <v>1272.0</v>
      </c>
      <c r="R1312" s="17">
        <v>421.89</v>
      </c>
      <c r="S1312" s="17">
        <v>364.69</v>
      </c>
      <c r="U1312" s="18">
        <f t="shared" si="6"/>
        <v>536644.08</v>
      </c>
      <c r="V1312" s="18">
        <f t="shared" si="7"/>
        <v>463885.68</v>
      </c>
      <c r="W1312" s="19">
        <f t="shared" si="8"/>
        <v>72758.4</v>
      </c>
    </row>
    <row r="1313">
      <c r="A1313" s="7">
        <v>9.87050187E8</v>
      </c>
      <c r="B1313" s="12">
        <v>41011.0</v>
      </c>
      <c r="C1313" s="7">
        <f t="shared" si="1"/>
        <v>2012</v>
      </c>
      <c r="D1313" s="14" t="str">
        <f t="shared" si="2"/>
        <v>04 - Apr</v>
      </c>
      <c r="E1313" s="15" t="str">
        <f t="shared" si="3"/>
        <v>Thu</v>
      </c>
      <c r="F1313" s="15">
        <f t="shared" si="4"/>
        <v>4</v>
      </c>
      <c r="G1313" s="16">
        <v>41024.0</v>
      </c>
      <c r="H1313" s="14">
        <f t="shared" si="5"/>
        <v>13</v>
      </c>
      <c r="I1313" s="7" t="s">
        <v>305</v>
      </c>
      <c r="J1313" s="7" t="s">
        <v>570</v>
      </c>
      <c r="K1313" s="7" t="str">
        <f>VLOOKUP(J1313,countries,2,false)</f>
        <v>Macedonia</v>
      </c>
      <c r="L1313" s="7" t="str">
        <f>VLOOKUP($J1313,countries,5,false)</f>
        <v>Europe</v>
      </c>
      <c r="M1313" s="7" t="str">
        <f>VLOOKUP($J1313,countries,6,false)</f>
        <v>Southern Europe</v>
      </c>
      <c r="N1313" s="7">
        <v>5988.0</v>
      </c>
      <c r="O1313" s="7" t="str">
        <f>VLOOKUP(N1313, products, 2, FALSE)</f>
        <v>Vegetables</v>
      </c>
      <c r="P1313" s="7" t="s">
        <v>264</v>
      </c>
      <c r="Q1313" s="7">
        <v>8940.0</v>
      </c>
      <c r="R1313" s="17">
        <v>154.06</v>
      </c>
      <c r="S1313" s="17">
        <v>90.93</v>
      </c>
      <c r="U1313" s="18">
        <f t="shared" si="6"/>
        <v>1377296.4</v>
      </c>
      <c r="V1313" s="18">
        <f t="shared" si="7"/>
        <v>812914.2</v>
      </c>
      <c r="W1313" s="19">
        <f t="shared" si="8"/>
        <v>564382.2</v>
      </c>
    </row>
    <row r="1314">
      <c r="A1314" s="7">
        <v>9.87410676E8</v>
      </c>
      <c r="B1314" s="12">
        <v>41864.0</v>
      </c>
      <c r="C1314" s="7">
        <f t="shared" si="1"/>
        <v>2014</v>
      </c>
      <c r="D1314" s="14" t="str">
        <f t="shared" si="2"/>
        <v>08 - Aug</v>
      </c>
      <c r="E1314" s="15" t="str">
        <f t="shared" si="3"/>
        <v>Wed</v>
      </c>
      <c r="F1314" s="15">
        <f t="shared" si="4"/>
        <v>3</v>
      </c>
      <c r="G1314" s="16">
        <v>41888.0</v>
      </c>
      <c r="H1314" s="14">
        <f t="shared" si="5"/>
        <v>24</v>
      </c>
      <c r="I1314" s="7" t="s">
        <v>305</v>
      </c>
      <c r="J1314" s="7" t="s">
        <v>101</v>
      </c>
      <c r="K1314" s="7" t="str">
        <f>VLOOKUP(J1314,countries,2,false)</f>
        <v>Austria</v>
      </c>
      <c r="L1314" s="7" t="str">
        <f>VLOOKUP($J1314,countries,5,false)</f>
        <v>Europe</v>
      </c>
      <c r="M1314" s="7" t="str">
        <f>VLOOKUP($J1314,countries,6,false)</f>
        <v>Western Europe</v>
      </c>
      <c r="N1314" s="7">
        <v>2103.0</v>
      </c>
      <c r="O1314" s="7" t="str">
        <f>VLOOKUP(N1314, products, 2, FALSE)</f>
        <v>Cereal</v>
      </c>
      <c r="P1314" s="7" t="s">
        <v>334</v>
      </c>
      <c r="Q1314" s="7">
        <v>5616.0</v>
      </c>
      <c r="R1314" s="17">
        <v>205.7</v>
      </c>
      <c r="S1314" s="17">
        <v>117.11</v>
      </c>
      <c r="U1314" s="18">
        <f t="shared" si="6"/>
        <v>1155211.2</v>
      </c>
      <c r="V1314" s="18">
        <f t="shared" si="7"/>
        <v>657689.76</v>
      </c>
      <c r="W1314" s="19">
        <f t="shared" si="8"/>
        <v>497521.44</v>
      </c>
    </row>
    <row r="1315">
      <c r="A1315" s="7">
        <v>9.8745917E8</v>
      </c>
      <c r="B1315" s="12">
        <v>40375.0</v>
      </c>
      <c r="C1315" s="7">
        <f t="shared" si="1"/>
        <v>2010</v>
      </c>
      <c r="D1315" s="14" t="str">
        <f t="shared" si="2"/>
        <v>07 - Jul</v>
      </c>
      <c r="E1315" s="15" t="str">
        <f t="shared" si="3"/>
        <v>Fri</v>
      </c>
      <c r="F1315" s="15">
        <f t="shared" si="4"/>
        <v>5</v>
      </c>
      <c r="G1315" s="16">
        <v>40417.0</v>
      </c>
      <c r="H1315" s="14">
        <f t="shared" si="5"/>
        <v>42</v>
      </c>
      <c r="I1315" s="7" t="s">
        <v>232</v>
      </c>
      <c r="J1315" s="7" t="s">
        <v>771</v>
      </c>
      <c r="K1315" s="7" t="str">
        <f>VLOOKUP(J1315,countries,2,false)</f>
        <v>Ukraine</v>
      </c>
      <c r="L1315" s="7" t="str">
        <f>VLOOKUP($J1315,countries,5,false)</f>
        <v>Europe</v>
      </c>
      <c r="M1315" s="7" t="str">
        <f>VLOOKUP($J1315,countries,6,false)</f>
        <v>Eastern Europe</v>
      </c>
      <c r="N1315" s="7">
        <v>3127.0</v>
      </c>
      <c r="O1315" s="7" t="str">
        <f>VLOOKUP(N1315, products, 2, FALSE)</f>
        <v>Personal Care</v>
      </c>
      <c r="P1315" s="7" t="s">
        <v>264</v>
      </c>
      <c r="Q1315" s="7">
        <v>9967.0</v>
      </c>
      <c r="R1315" s="17">
        <v>81.73</v>
      </c>
      <c r="S1315" s="17">
        <v>56.67</v>
      </c>
      <c r="U1315" s="18">
        <f t="shared" si="6"/>
        <v>814602.91</v>
      </c>
      <c r="V1315" s="18">
        <f t="shared" si="7"/>
        <v>564829.89</v>
      </c>
      <c r="W1315" s="19">
        <f t="shared" si="8"/>
        <v>249773.02</v>
      </c>
    </row>
    <row r="1316">
      <c r="A1316" s="7">
        <v>9.87767302E8</v>
      </c>
      <c r="B1316" s="12">
        <v>41098.0</v>
      </c>
      <c r="C1316" s="7">
        <f t="shared" si="1"/>
        <v>2012</v>
      </c>
      <c r="D1316" s="14" t="str">
        <f t="shared" si="2"/>
        <v>07 - Jul</v>
      </c>
      <c r="E1316" s="15" t="str">
        <f t="shared" si="3"/>
        <v>Sun</v>
      </c>
      <c r="F1316" s="15">
        <f t="shared" si="4"/>
        <v>7</v>
      </c>
      <c r="G1316" s="16">
        <v>41122.0</v>
      </c>
      <c r="H1316" s="14">
        <f t="shared" si="5"/>
        <v>24</v>
      </c>
      <c r="I1316" s="7" t="s">
        <v>305</v>
      </c>
      <c r="J1316" s="7" t="s">
        <v>465</v>
      </c>
      <c r="K1316" s="7" t="str">
        <f>VLOOKUP(J1316,countries,2,false)</f>
        <v>Lithuania</v>
      </c>
      <c r="L1316" s="7" t="str">
        <f>VLOOKUP($J1316,countries,5,false)</f>
        <v>Europe</v>
      </c>
      <c r="M1316" s="7" t="str">
        <f>VLOOKUP($J1316,countries,6,false)</f>
        <v>Northern Europe</v>
      </c>
      <c r="N1316" s="7">
        <v>8681.0</v>
      </c>
      <c r="O1316" s="7" t="str">
        <f>VLOOKUP(N1316, products, 2, FALSE)</f>
        <v>Office Supplies</v>
      </c>
      <c r="P1316" s="7" t="s">
        <v>264</v>
      </c>
      <c r="Q1316" s="7">
        <v>1150.0</v>
      </c>
      <c r="R1316" s="17">
        <v>651.21</v>
      </c>
      <c r="S1316" s="17">
        <v>524.96</v>
      </c>
      <c r="U1316" s="18">
        <f t="shared" si="6"/>
        <v>748891.5</v>
      </c>
      <c r="V1316" s="18">
        <f t="shared" si="7"/>
        <v>603704</v>
      </c>
      <c r="W1316" s="19">
        <f t="shared" si="8"/>
        <v>145187.5</v>
      </c>
    </row>
    <row r="1317">
      <c r="A1317" s="7">
        <v>9.8859986E8</v>
      </c>
      <c r="B1317" s="12">
        <v>41949.0</v>
      </c>
      <c r="C1317" s="7">
        <f t="shared" si="1"/>
        <v>2014</v>
      </c>
      <c r="D1317" s="14" t="str">
        <f t="shared" si="2"/>
        <v>11 - Nov</v>
      </c>
      <c r="E1317" s="15" t="str">
        <f t="shared" si="3"/>
        <v>Thu</v>
      </c>
      <c r="F1317" s="15">
        <f t="shared" si="4"/>
        <v>4</v>
      </c>
      <c r="G1317" s="16">
        <v>41984.0</v>
      </c>
      <c r="H1317" s="14">
        <f t="shared" si="5"/>
        <v>35</v>
      </c>
      <c r="I1317" s="7" t="s">
        <v>399</v>
      </c>
      <c r="J1317" s="7" t="s">
        <v>243</v>
      </c>
      <c r="K1317" s="7" t="str">
        <f>VLOOKUP(J1317,countries,2,false)</f>
        <v>Czech Republic</v>
      </c>
      <c r="L1317" s="7" t="str">
        <f>VLOOKUP($J1317,countries,5,false)</f>
        <v>Europe</v>
      </c>
      <c r="M1317" s="7" t="str">
        <f>VLOOKUP($J1317,countries,6,false)</f>
        <v>Eastern Europe</v>
      </c>
      <c r="N1317" s="7">
        <v>7940.0</v>
      </c>
      <c r="O1317" s="7" t="str">
        <f>VLOOKUP(N1317, products, 2, FALSE)</f>
        <v>Household</v>
      </c>
      <c r="P1317" s="7" t="s">
        <v>334</v>
      </c>
      <c r="Q1317" s="7">
        <v>7522.0</v>
      </c>
      <c r="R1317" s="17">
        <v>668.27</v>
      </c>
      <c r="S1317" s="17">
        <v>502.54</v>
      </c>
      <c r="U1317" s="18">
        <f t="shared" si="6"/>
        <v>5026726.94</v>
      </c>
      <c r="V1317" s="18">
        <f t="shared" si="7"/>
        <v>3780105.88</v>
      </c>
      <c r="W1317" s="19">
        <f t="shared" si="8"/>
        <v>1246621.06</v>
      </c>
    </row>
    <row r="1318">
      <c r="A1318" s="7">
        <v>9.88614022E8</v>
      </c>
      <c r="B1318" s="12">
        <v>40510.0</v>
      </c>
      <c r="C1318" s="7">
        <f t="shared" si="1"/>
        <v>2010</v>
      </c>
      <c r="D1318" s="14" t="str">
        <f t="shared" si="2"/>
        <v>11 - Nov</v>
      </c>
      <c r="E1318" s="15" t="str">
        <f t="shared" si="3"/>
        <v>Sun</v>
      </c>
      <c r="F1318" s="15">
        <f t="shared" si="4"/>
        <v>7</v>
      </c>
      <c r="G1318" s="16">
        <v>40554.0</v>
      </c>
      <c r="H1318" s="14">
        <f t="shared" si="5"/>
        <v>44</v>
      </c>
      <c r="I1318" s="7" t="s">
        <v>364</v>
      </c>
      <c r="J1318" s="7" t="s">
        <v>570</v>
      </c>
      <c r="K1318" s="7" t="str">
        <f>VLOOKUP(J1318,countries,2,false)</f>
        <v>Macedonia</v>
      </c>
      <c r="L1318" s="7" t="str">
        <f>VLOOKUP($J1318,countries,5,false)</f>
        <v>Europe</v>
      </c>
      <c r="M1318" s="7" t="str">
        <f>VLOOKUP($J1318,countries,6,false)</f>
        <v>Southern Europe</v>
      </c>
      <c r="N1318" s="7">
        <v>2103.0</v>
      </c>
      <c r="O1318" s="7" t="str">
        <f>VLOOKUP(N1318, products, 2, FALSE)</f>
        <v>Cereal</v>
      </c>
      <c r="P1318" s="7" t="s">
        <v>334</v>
      </c>
      <c r="Q1318" s="7">
        <v>1713.0</v>
      </c>
      <c r="R1318" s="17">
        <v>205.7</v>
      </c>
      <c r="S1318" s="17">
        <v>117.11</v>
      </c>
      <c r="U1318" s="18">
        <f t="shared" si="6"/>
        <v>352364.1</v>
      </c>
      <c r="V1318" s="18">
        <f t="shared" si="7"/>
        <v>200609.43</v>
      </c>
      <c r="W1318" s="19">
        <f t="shared" si="8"/>
        <v>151754.67</v>
      </c>
    </row>
    <row r="1319">
      <c r="A1319" s="7">
        <v>9.89102828E8</v>
      </c>
      <c r="B1319" s="12">
        <v>41071.0</v>
      </c>
      <c r="C1319" s="7">
        <f t="shared" si="1"/>
        <v>2012</v>
      </c>
      <c r="D1319" s="14" t="str">
        <f t="shared" si="2"/>
        <v>06 - Jun</v>
      </c>
      <c r="E1319" s="15" t="str">
        <f t="shared" si="3"/>
        <v>Mon</v>
      </c>
      <c r="F1319" s="15">
        <f t="shared" si="4"/>
        <v>1</v>
      </c>
      <c r="G1319" s="16">
        <v>41098.0</v>
      </c>
      <c r="H1319" s="14">
        <f t="shared" si="5"/>
        <v>27</v>
      </c>
      <c r="I1319" s="7" t="s">
        <v>364</v>
      </c>
      <c r="J1319" s="7" t="s">
        <v>348</v>
      </c>
      <c r="K1319" s="7" t="s">
        <v>348</v>
      </c>
      <c r="L1319" s="7" t="s">
        <v>348</v>
      </c>
      <c r="M1319" s="7" t="s">
        <v>348</v>
      </c>
      <c r="N1319" s="7">
        <v>4594.0</v>
      </c>
      <c r="O1319" s="7" t="str">
        <f>VLOOKUP(N1319, products, 2, FALSE)</f>
        <v>Fruits</v>
      </c>
      <c r="P1319" s="7" t="s">
        <v>264</v>
      </c>
      <c r="Q1319" s="7">
        <v>6362.0</v>
      </c>
      <c r="R1319" s="17">
        <v>9.33</v>
      </c>
      <c r="S1319" s="17">
        <v>6.92</v>
      </c>
      <c r="U1319" s="18">
        <f t="shared" si="6"/>
        <v>59357.46</v>
      </c>
      <c r="V1319" s="18">
        <f t="shared" si="7"/>
        <v>44025.04</v>
      </c>
      <c r="W1319" s="19">
        <f t="shared" si="8"/>
        <v>15332.42</v>
      </c>
    </row>
    <row r="1320">
      <c r="A1320" s="7">
        <v>9.89403665E8</v>
      </c>
      <c r="B1320" s="12">
        <v>42116.0</v>
      </c>
      <c r="C1320" s="7">
        <f t="shared" si="1"/>
        <v>2015</v>
      </c>
      <c r="D1320" s="14" t="str">
        <f t="shared" si="2"/>
        <v>04 - Apr</v>
      </c>
      <c r="E1320" s="15" t="str">
        <f t="shared" si="3"/>
        <v>Wed</v>
      </c>
      <c r="F1320" s="15">
        <f t="shared" si="4"/>
        <v>3</v>
      </c>
      <c r="G1320" s="16">
        <v>42149.0</v>
      </c>
      <c r="H1320" s="14">
        <f t="shared" si="5"/>
        <v>33</v>
      </c>
      <c r="I1320" s="7" t="s">
        <v>232</v>
      </c>
      <c r="J1320" s="7" t="s">
        <v>570</v>
      </c>
      <c r="K1320" s="7" t="str">
        <f>VLOOKUP(J1320,countries,2,false)</f>
        <v>Macedonia</v>
      </c>
      <c r="L1320" s="7" t="str">
        <f>VLOOKUP($J1320,countries,5,false)</f>
        <v>Europe</v>
      </c>
      <c r="M1320" s="7" t="str">
        <f>VLOOKUP($J1320,countries,6,false)</f>
        <v>Southern Europe</v>
      </c>
      <c r="N1320" s="7">
        <v>2455.0</v>
      </c>
      <c r="O1320" s="7" t="str">
        <f>VLOOKUP(N1320, products, 2, FALSE)</f>
        <v>Clothes</v>
      </c>
      <c r="P1320" s="7" t="s">
        <v>264</v>
      </c>
      <c r="Q1320" s="7">
        <v>5386.0</v>
      </c>
      <c r="R1320" s="17">
        <v>109.28</v>
      </c>
      <c r="S1320" s="17">
        <v>35.84</v>
      </c>
      <c r="U1320" s="18">
        <f t="shared" si="6"/>
        <v>588582.08</v>
      </c>
      <c r="V1320" s="18">
        <f t="shared" si="7"/>
        <v>193034.24</v>
      </c>
      <c r="W1320" s="19">
        <f t="shared" si="8"/>
        <v>395547.84</v>
      </c>
    </row>
    <row r="1321">
      <c r="A1321" s="7">
        <v>9.9045509E8</v>
      </c>
      <c r="B1321" s="12">
        <v>41608.0</v>
      </c>
      <c r="C1321" s="7">
        <f t="shared" si="1"/>
        <v>2013</v>
      </c>
      <c r="D1321" s="14" t="str">
        <f t="shared" si="2"/>
        <v>11 - Nov</v>
      </c>
      <c r="E1321" s="15" t="str">
        <f t="shared" si="3"/>
        <v>Sat</v>
      </c>
      <c r="F1321" s="15">
        <f t="shared" si="4"/>
        <v>6</v>
      </c>
      <c r="G1321" s="16">
        <v>41622.0</v>
      </c>
      <c r="H1321" s="14">
        <f t="shared" si="5"/>
        <v>14</v>
      </c>
      <c r="I1321" s="7" t="s">
        <v>232</v>
      </c>
      <c r="J1321" s="7" t="s">
        <v>120</v>
      </c>
      <c r="K1321" s="7" t="str">
        <f>VLOOKUP(J1321,countries,2,false)</f>
        <v>Belarus</v>
      </c>
      <c r="L1321" s="7" t="str">
        <f>VLOOKUP($J1321,countries,5,false)</f>
        <v>Europe</v>
      </c>
      <c r="M1321" s="7" t="str">
        <f>VLOOKUP($J1321,countries,6,false)</f>
        <v>Eastern Europe</v>
      </c>
      <c r="N1321" s="7">
        <v>7940.0</v>
      </c>
      <c r="O1321" s="7" t="str">
        <f>VLOOKUP(N1321, products, 2, FALSE)</f>
        <v>Household</v>
      </c>
      <c r="P1321" s="7" t="s">
        <v>264</v>
      </c>
      <c r="Q1321" s="7">
        <v>6526.0</v>
      </c>
      <c r="R1321" s="17">
        <v>668.27</v>
      </c>
      <c r="S1321" s="17">
        <v>502.54</v>
      </c>
      <c r="U1321" s="18">
        <f t="shared" si="6"/>
        <v>4361130.02</v>
      </c>
      <c r="V1321" s="18">
        <f t="shared" si="7"/>
        <v>3279576.04</v>
      </c>
      <c r="W1321" s="19">
        <f t="shared" si="8"/>
        <v>1081553.98</v>
      </c>
    </row>
    <row r="1322">
      <c r="A1322" s="7">
        <v>9.9077481E8</v>
      </c>
      <c r="B1322" s="12">
        <v>41656.0</v>
      </c>
      <c r="C1322" s="7">
        <f t="shared" si="1"/>
        <v>2014</v>
      </c>
      <c r="D1322" s="14" t="str">
        <f t="shared" si="2"/>
        <v>01 - Jan</v>
      </c>
      <c r="E1322" s="15" t="str">
        <f t="shared" si="3"/>
        <v>Fri</v>
      </c>
      <c r="F1322" s="15">
        <f t="shared" si="4"/>
        <v>5</v>
      </c>
      <c r="G1322" s="16">
        <v>41688.0</v>
      </c>
      <c r="H1322" s="14">
        <f t="shared" si="5"/>
        <v>32</v>
      </c>
      <c r="I1322" s="7" t="s">
        <v>305</v>
      </c>
      <c r="J1322" s="7" t="s">
        <v>546</v>
      </c>
      <c r="K1322" s="7" t="str">
        <f>VLOOKUP(J1322,countries,2,false)</f>
        <v>Netherlands</v>
      </c>
      <c r="L1322" s="7" t="str">
        <f>VLOOKUP($J1322,countries,5,false)</f>
        <v>Europe</v>
      </c>
      <c r="M1322" s="7" t="str">
        <f>VLOOKUP($J1322,countries,6,false)</f>
        <v>Western Europe</v>
      </c>
      <c r="N1322" s="7">
        <v>7940.0</v>
      </c>
      <c r="O1322" s="7" t="str">
        <f>VLOOKUP(N1322, products, 2, FALSE)</f>
        <v>Household</v>
      </c>
      <c r="P1322" s="7" t="s">
        <v>334</v>
      </c>
      <c r="Q1322" s="7">
        <v>1138.0</v>
      </c>
      <c r="R1322" s="17">
        <v>668.27</v>
      </c>
      <c r="S1322" s="17">
        <v>502.54</v>
      </c>
      <c r="U1322" s="18">
        <f t="shared" si="6"/>
        <v>760491.26</v>
      </c>
      <c r="V1322" s="18">
        <f t="shared" si="7"/>
        <v>571890.52</v>
      </c>
      <c r="W1322" s="19">
        <f t="shared" si="8"/>
        <v>188600.74</v>
      </c>
    </row>
    <row r="1323">
      <c r="A1323" s="7">
        <v>9.91761863E8</v>
      </c>
      <c r="B1323" s="12">
        <v>40897.0</v>
      </c>
      <c r="C1323" s="7">
        <f t="shared" si="1"/>
        <v>2011</v>
      </c>
      <c r="D1323" s="14" t="str">
        <f t="shared" si="2"/>
        <v>12 - Dec</v>
      </c>
      <c r="E1323" s="15" t="str">
        <f t="shared" si="3"/>
        <v>Tue</v>
      </c>
      <c r="F1323" s="15">
        <f t="shared" si="4"/>
        <v>2</v>
      </c>
      <c r="G1323" s="16">
        <v>40901.0</v>
      </c>
      <c r="H1323" s="14">
        <f t="shared" si="5"/>
        <v>4</v>
      </c>
      <c r="I1323" s="7" t="s">
        <v>232</v>
      </c>
      <c r="J1323" s="7" t="s">
        <v>233</v>
      </c>
      <c r="K1323" s="7" t="str">
        <f>VLOOKUP(J1323,countries,2,false)</f>
        <v>Norway</v>
      </c>
      <c r="L1323" s="7" t="str">
        <f>VLOOKUP($J1323,countries,5,false)</f>
        <v>Europe</v>
      </c>
      <c r="M1323" s="7" t="str">
        <f>VLOOKUP($J1323,countries,6,false)</f>
        <v>Northern Europe</v>
      </c>
      <c r="N1323" s="7">
        <v>4594.0</v>
      </c>
      <c r="O1323" s="7" t="str">
        <f>VLOOKUP(N1323, products, 2, FALSE)</f>
        <v>Fruits</v>
      </c>
      <c r="P1323" s="7" t="s">
        <v>334</v>
      </c>
      <c r="Q1323" s="7">
        <v>3229.0</v>
      </c>
      <c r="R1323" s="17">
        <v>9.33</v>
      </c>
      <c r="S1323" s="17">
        <v>6.92</v>
      </c>
      <c r="U1323" s="18">
        <f t="shared" si="6"/>
        <v>30126.57</v>
      </c>
      <c r="V1323" s="18">
        <f t="shared" si="7"/>
        <v>22344.68</v>
      </c>
      <c r="W1323" s="19">
        <f t="shared" si="8"/>
        <v>7781.89</v>
      </c>
    </row>
    <row r="1324">
      <c r="A1324" s="7">
        <v>9.92992675E8</v>
      </c>
      <c r="B1324" s="12">
        <v>40610.0</v>
      </c>
      <c r="C1324" s="7">
        <f t="shared" si="1"/>
        <v>2011</v>
      </c>
      <c r="D1324" s="14" t="str">
        <f t="shared" si="2"/>
        <v>03 - Mar</v>
      </c>
      <c r="E1324" s="15" t="str">
        <f t="shared" si="3"/>
        <v>Tue</v>
      </c>
      <c r="F1324" s="15">
        <f t="shared" si="4"/>
        <v>2</v>
      </c>
      <c r="G1324" s="16">
        <v>40611.0</v>
      </c>
      <c r="H1324" s="14">
        <f t="shared" si="5"/>
        <v>1</v>
      </c>
      <c r="I1324" s="7" t="s">
        <v>232</v>
      </c>
      <c r="J1324" s="7" t="s">
        <v>306</v>
      </c>
      <c r="K1324" s="7" t="str">
        <f>VLOOKUP(J1324,countries,2,false)</f>
        <v>Serbia</v>
      </c>
      <c r="L1324" s="7" t="str">
        <f>VLOOKUP($J1324,countries,5,false)</f>
        <v>Europe</v>
      </c>
      <c r="M1324" s="7" t="str">
        <f>VLOOKUP($J1324,countries,6,false)</f>
        <v>Southern Europe</v>
      </c>
      <c r="N1324" s="7">
        <v>5988.0</v>
      </c>
      <c r="O1324" s="7" t="str">
        <f>VLOOKUP(N1324, products, 2, FALSE)</f>
        <v>Vegetables</v>
      </c>
      <c r="P1324" s="7" t="s">
        <v>334</v>
      </c>
      <c r="Q1324" s="7">
        <v>7454.0</v>
      </c>
      <c r="R1324" s="17">
        <v>154.06</v>
      </c>
      <c r="S1324" s="17">
        <v>90.93</v>
      </c>
      <c r="U1324" s="18">
        <f t="shared" si="6"/>
        <v>1148363.24</v>
      </c>
      <c r="V1324" s="18">
        <f t="shared" si="7"/>
        <v>677792.22</v>
      </c>
      <c r="W1324" s="19">
        <f t="shared" si="8"/>
        <v>470571.02</v>
      </c>
    </row>
    <row r="1325">
      <c r="A1325" s="7">
        <v>9.93368613E8</v>
      </c>
      <c r="B1325" s="12">
        <v>42408.0</v>
      </c>
      <c r="C1325" s="7">
        <f t="shared" si="1"/>
        <v>2016</v>
      </c>
      <c r="D1325" s="14" t="str">
        <f t="shared" si="2"/>
        <v>02 - Feb</v>
      </c>
      <c r="E1325" s="15" t="str">
        <f t="shared" si="3"/>
        <v>Mon</v>
      </c>
      <c r="F1325" s="15">
        <f t="shared" si="4"/>
        <v>1</v>
      </c>
      <c r="G1325" s="16">
        <v>42416.0</v>
      </c>
      <c r="H1325" s="14">
        <f t="shared" si="5"/>
        <v>8</v>
      </c>
      <c r="I1325" s="7" t="s">
        <v>399</v>
      </c>
      <c r="J1325" s="7" t="s">
        <v>319</v>
      </c>
      <c r="K1325" s="7" t="str">
        <f>VLOOKUP(J1325,countries,2,false)</f>
        <v>Germany</v>
      </c>
      <c r="L1325" s="7" t="str">
        <f>VLOOKUP($J1325,countries,5,false)</f>
        <v>Europe</v>
      </c>
      <c r="M1325" s="7" t="str">
        <f>VLOOKUP($J1325,countries,6,false)</f>
        <v>Western Europe</v>
      </c>
      <c r="N1325" s="7">
        <v>3127.0</v>
      </c>
      <c r="O1325" s="7" t="str">
        <f>VLOOKUP(N1325, products, 2, FALSE)</f>
        <v>Personal Care</v>
      </c>
      <c r="P1325" s="7" t="s">
        <v>334</v>
      </c>
      <c r="Q1325" s="7">
        <v>8702.0</v>
      </c>
      <c r="R1325" s="17">
        <v>81.73</v>
      </c>
      <c r="S1325" s="17">
        <v>56.67</v>
      </c>
      <c r="U1325" s="18">
        <f t="shared" si="6"/>
        <v>711214.46</v>
      </c>
      <c r="V1325" s="18">
        <f t="shared" si="7"/>
        <v>493142.34</v>
      </c>
      <c r="W1325" s="19">
        <f t="shared" si="8"/>
        <v>218072.12</v>
      </c>
    </row>
    <row r="1326">
      <c r="A1326" s="7">
        <v>9.94406735E8</v>
      </c>
      <c r="B1326" s="12">
        <v>42162.0</v>
      </c>
      <c r="C1326" s="7">
        <f t="shared" si="1"/>
        <v>2015</v>
      </c>
      <c r="D1326" s="14" t="str">
        <f t="shared" si="2"/>
        <v>06 - Jun</v>
      </c>
      <c r="E1326" s="15" t="str">
        <f t="shared" si="3"/>
        <v>Sun</v>
      </c>
      <c r="F1326" s="15">
        <f t="shared" si="4"/>
        <v>7</v>
      </c>
      <c r="G1326" s="16">
        <v>42185.0</v>
      </c>
      <c r="H1326" s="14">
        <f t="shared" si="5"/>
        <v>23</v>
      </c>
      <c r="I1326" s="7" t="s">
        <v>232</v>
      </c>
      <c r="J1326" s="7" t="s">
        <v>489</v>
      </c>
      <c r="K1326" s="7" t="str">
        <f>VLOOKUP(J1326,countries,2,false)</f>
        <v>Malta</v>
      </c>
      <c r="L1326" s="7" t="str">
        <f>VLOOKUP($J1326,countries,5,false)</f>
        <v>Europe</v>
      </c>
      <c r="M1326" s="7" t="str">
        <f>VLOOKUP($J1326,countries,6,false)</f>
        <v>Southern Europe</v>
      </c>
      <c r="N1326" s="7">
        <v>1270.0</v>
      </c>
      <c r="O1326" s="7" t="str">
        <f>VLOOKUP(N1326, products, 2, FALSE)</f>
        <v>Beverages</v>
      </c>
      <c r="P1326" s="7" t="s">
        <v>264</v>
      </c>
      <c r="Q1326" s="7">
        <v>5906.0</v>
      </c>
      <c r="R1326" s="17">
        <v>47.45</v>
      </c>
      <c r="S1326" s="17">
        <v>31.79</v>
      </c>
      <c r="U1326" s="18">
        <f t="shared" si="6"/>
        <v>280239.7</v>
      </c>
      <c r="V1326" s="18">
        <f t="shared" si="7"/>
        <v>187751.74</v>
      </c>
      <c r="W1326" s="19">
        <f t="shared" si="8"/>
        <v>92487.96</v>
      </c>
    </row>
    <row r="1327">
      <c r="A1327" s="7">
        <v>9.94504153E8</v>
      </c>
      <c r="B1327" s="12">
        <v>42745.0</v>
      </c>
      <c r="C1327" s="7">
        <f t="shared" si="1"/>
        <v>2017</v>
      </c>
      <c r="D1327" s="14" t="str">
        <f t="shared" si="2"/>
        <v>01 - Jan</v>
      </c>
      <c r="E1327" s="15" t="str">
        <f t="shared" si="3"/>
        <v>Tue</v>
      </c>
      <c r="F1327" s="15">
        <f t="shared" si="4"/>
        <v>2</v>
      </c>
      <c r="G1327" s="16">
        <v>42748.0</v>
      </c>
      <c r="H1327" s="14">
        <f t="shared" si="5"/>
        <v>3</v>
      </c>
      <c r="I1327" s="7" t="s">
        <v>232</v>
      </c>
      <c r="J1327" s="7" t="s">
        <v>717</v>
      </c>
      <c r="K1327" s="7" t="str">
        <f>VLOOKUP(J1327,countries,2,false)</f>
        <v>Sweden</v>
      </c>
      <c r="L1327" s="7" t="str">
        <f>VLOOKUP($J1327,countries,5,false)</f>
        <v>Europe</v>
      </c>
      <c r="M1327" s="7" t="str">
        <f>VLOOKUP($J1327,countries,6,false)</f>
        <v>Northern Europe</v>
      </c>
      <c r="N1327" s="7">
        <v>4594.0</v>
      </c>
      <c r="O1327" s="7" t="str">
        <f>VLOOKUP(N1327, products, 2, FALSE)</f>
        <v>Fruits</v>
      </c>
      <c r="P1327" s="7" t="s">
        <v>264</v>
      </c>
      <c r="Q1327" s="7">
        <v>4734.0</v>
      </c>
      <c r="R1327" s="17">
        <v>9.33</v>
      </c>
      <c r="S1327" s="17">
        <v>6.92</v>
      </c>
      <c r="U1327" s="18">
        <f t="shared" si="6"/>
        <v>44168.22</v>
      </c>
      <c r="V1327" s="18">
        <f t="shared" si="7"/>
        <v>32759.28</v>
      </c>
      <c r="W1327" s="19">
        <f t="shared" si="8"/>
        <v>11408.94</v>
      </c>
    </row>
    <row r="1328">
      <c r="A1328" s="7">
        <v>9.94978797E8</v>
      </c>
      <c r="B1328" s="12">
        <v>41978.0</v>
      </c>
      <c r="C1328" s="7">
        <f t="shared" si="1"/>
        <v>2014</v>
      </c>
      <c r="D1328" s="14" t="str">
        <f t="shared" si="2"/>
        <v>12 - Dec</v>
      </c>
      <c r="E1328" s="15" t="str">
        <f t="shared" si="3"/>
        <v>Fri</v>
      </c>
      <c r="F1328" s="15">
        <f t="shared" si="4"/>
        <v>5</v>
      </c>
      <c r="G1328" s="16">
        <v>42006.0</v>
      </c>
      <c r="H1328" s="14">
        <f t="shared" si="5"/>
        <v>28</v>
      </c>
      <c r="I1328" s="7" t="s">
        <v>399</v>
      </c>
      <c r="J1328" s="7" t="s">
        <v>406</v>
      </c>
      <c r="K1328" s="7" t="str">
        <f>VLOOKUP(J1328,countries,2,false)</f>
        <v>Italy</v>
      </c>
      <c r="L1328" s="7" t="str">
        <f>VLOOKUP($J1328,countries,5,false)</f>
        <v>Europe</v>
      </c>
      <c r="M1328" s="7" t="str">
        <f>VLOOKUP($J1328,countries,6,false)</f>
        <v>Southern Europe</v>
      </c>
      <c r="N1328" s="7">
        <v>1270.0</v>
      </c>
      <c r="O1328" s="7" t="str">
        <f>VLOOKUP(N1328, products, 2, FALSE)</f>
        <v>Beverages</v>
      </c>
      <c r="P1328" s="7" t="s">
        <v>334</v>
      </c>
      <c r="Q1328" s="7">
        <v>5192.0</v>
      </c>
      <c r="R1328" s="17">
        <v>47.45</v>
      </c>
      <c r="S1328" s="17">
        <v>31.79</v>
      </c>
      <c r="U1328" s="18">
        <f t="shared" si="6"/>
        <v>246360.4</v>
      </c>
      <c r="V1328" s="18">
        <f t="shared" si="7"/>
        <v>165053.68</v>
      </c>
      <c r="W1328" s="19">
        <f t="shared" si="8"/>
        <v>81306.72</v>
      </c>
    </row>
    <row r="1329">
      <c r="A1329" s="7">
        <v>9.96754205E8</v>
      </c>
      <c r="B1329" s="12">
        <v>40441.0</v>
      </c>
      <c r="C1329" s="7">
        <f t="shared" si="1"/>
        <v>2010</v>
      </c>
      <c r="D1329" s="14" t="str">
        <f t="shared" si="2"/>
        <v>09 - Sep</v>
      </c>
      <c r="E1329" s="15" t="str">
        <f t="shared" si="3"/>
        <v>Mon</v>
      </c>
      <c r="F1329" s="15">
        <f t="shared" si="4"/>
        <v>1</v>
      </c>
      <c r="G1329" s="16">
        <v>40443.0</v>
      </c>
      <c r="H1329" s="14">
        <f t="shared" si="5"/>
        <v>2</v>
      </c>
      <c r="I1329" s="7" t="s">
        <v>364</v>
      </c>
      <c r="J1329" s="7" t="s">
        <v>626</v>
      </c>
      <c r="K1329" s="7" t="str">
        <f>VLOOKUP(J1329,countries,2,false)</f>
        <v>Russia</v>
      </c>
      <c r="L1329" s="7" t="str">
        <f>VLOOKUP($J1329,countries,5,false)</f>
        <v>Europe</v>
      </c>
      <c r="M1329" s="7" t="str">
        <f>VLOOKUP($J1329,countries,6,false)</f>
        <v>Eastern Europe</v>
      </c>
      <c r="N1329" s="7">
        <v>7331.0</v>
      </c>
      <c r="O1329" s="7" t="str">
        <f>VLOOKUP(N1329, products, 2, FALSE)</f>
        <v>Baby Food</v>
      </c>
      <c r="P1329" s="7" t="s">
        <v>334</v>
      </c>
      <c r="Q1329" s="7">
        <v>574.0</v>
      </c>
      <c r="R1329" s="17">
        <v>255.28</v>
      </c>
      <c r="S1329" s="17">
        <v>159.42</v>
      </c>
      <c r="U1329" s="18">
        <f t="shared" si="6"/>
        <v>146530.72</v>
      </c>
      <c r="V1329" s="18">
        <f t="shared" si="7"/>
        <v>91507.08</v>
      </c>
      <c r="W1329" s="19">
        <f t="shared" si="8"/>
        <v>55023.64</v>
      </c>
    </row>
    <row r="1330">
      <c r="A1330" s="7">
        <v>9.98043382E8</v>
      </c>
      <c r="B1330" s="12">
        <v>40344.0</v>
      </c>
      <c r="C1330" s="7">
        <f t="shared" si="1"/>
        <v>2010</v>
      </c>
      <c r="D1330" s="14" t="str">
        <f t="shared" si="2"/>
        <v>06 - Jun</v>
      </c>
      <c r="E1330" s="15" t="str">
        <f t="shared" si="3"/>
        <v>Tue</v>
      </c>
      <c r="F1330" s="15">
        <f t="shared" si="4"/>
        <v>2</v>
      </c>
      <c r="G1330" s="16">
        <v>40362.0</v>
      </c>
      <c r="H1330" s="14">
        <f t="shared" si="5"/>
        <v>18</v>
      </c>
      <c r="I1330" s="7" t="s">
        <v>399</v>
      </c>
      <c r="J1330" s="7" t="s">
        <v>489</v>
      </c>
      <c r="K1330" s="7" t="str">
        <f>VLOOKUP(J1330,countries,2,false)</f>
        <v>Malta</v>
      </c>
      <c r="L1330" s="7" t="str">
        <f>VLOOKUP($J1330,countries,5,false)</f>
        <v>Europe</v>
      </c>
      <c r="M1330" s="7" t="str">
        <f>VLOOKUP($J1330,countries,6,false)</f>
        <v>Southern Europe</v>
      </c>
      <c r="N1330" s="7">
        <v>8293.0</v>
      </c>
      <c r="O1330" s="7" t="str">
        <f>VLOOKUP(N1330, products, 2, FALSE)</f>
        <v>Cosmetics</v>
      </c>
      <c r="P1330" s="7" t="s">
        <v>264</v>
      </c>
      <c r="Q1330" s="7">
        <v>2070.0</v>
      </c>
      <c r="R1330" s="17">
        <v>437.2</v>
      </c>
      <c r="S1330" s="17">
        <v>263.33</v>
      </c>
      <c r="U1330" s="18">
        <f t="shared" si="6"/>
        <v>905004</v>
      </c>
      <c r="V1330" s="18">
        <f t="shared" si="7"/>
        <v>545093.1</v>
      </c>
      <c r="W1330" s="19">
        <f t="shared" si="8"/>
        <v>359910.9</v>
      </c>
    </row>
    <row r="1331">
      <c r="A1331" s="7">
        <v>9.99879729E8</v>
      </c>
      <c r="B1331" s="12">
        <v>40999.0</v>
      </c>
      <c r="C1331" s="7">
        <f t="shared" si="1"/>
        <v>2012</v>
      </c>
      <c r="D1331" s="14" t="str">
        <f t="shared" si="2"/>
        <v>03 - Mar</v>
      </c>
      <c r="E1331" s="15" t="str">
        <f t="shared" si="3"/>
        <v>Sat</v>
      </c>
      <c r="F1331" s="15">
        <f t="shared" si="4"/>
        <v>6</v>
      </c>
      <c r="G1331" s="16">
        <v>41035.0</v>
      </c>
      <c r="H1331" s="14">
        <f t="shared" si="5"/>
        <v>36</v>
      </c>
      <c r="I1331" s="7" t="s">
        <v>232</v>
      </c>
      <c r="J1331" s="7" t="s">
        <v>41</v>
      </c>
      <c r="K1331" s="7" t="str">
        <f>VLOOKUP(J1331,countries,2,false)</f>
        <v>Albania</v>
      </c>
      <c r="L1331" s="7" t="str">
        <f>VLOOKUP($J1331,countries,5,false)</f>
        <v>Europe</v>
      </c>
      <c r="M1331" s="7" t="str">
        <f>VLOOKUP($J1331,countries,6,false)</f>
        <v>Southern Europe</v>
      </c>
      <c r="N1331" s="7">
        <v>7940.0</v>
      </c>
      <c r="O1331" s="7" t="str">
        <f>VLOOKUP(N1331, products, 2, FALSE)</f>
        <v>Household</v>
      </c>
      <c r="P1331" s="7" t="s">
        <v>334</v>
      </c>
      <c r="Q1331" s="7">
        <v>5486.0</v>
      </c>
      <c r="R1331" s="17">
        <v>668.27</v>
      </c>
      <c r="S1331" s="17">
        <v>502.54</v>
      </c>
      <c r="U1331" s="18">
        <f t="shared" si="6"/>
        <v>3666129.22</v>
      </c>
      <c r="V1331" s="18">
        <f t="shared" si="7"/>
        <v>2756934.44</v>
      </c>
      <c r="W1331" s="19">
        <f t="shared" si="8"/>
        <v>909194.78</v>
      </c>
    </row>
  </sheetData>
  <conditionalFormatting sqref="K1:M1331">
    <cfRule type="containsBlanks" dxfId="0" priority="1">
      <formula>LEN(TRIM(K1))=0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>
        <v>2103.0</v>
      </c>
      <c r="B2" s="7" t="s">
        <v>13</v>
      </c>
    </row>
    <row r="3">
      <c r="A3" s="7">
        <v>7940.0</v>
      </c>
      <c r="B3" s="7" t="s">
        <v>18</v>
      </c>
    </row>
    <row r="4">
      <c r="A4" s="7">
        <v>2455.0</v>
      </c>
      <c r="B4" s="7" t="s">
        <v>22</v>
      </c>
    </row>
    <row r="5">
      <c r="A5" s="7">
        <v>1270.0</v>
      </c>
      <c r="B5" s="7" t="s">
        <v>27</v>
      </c>
    </row>
    <row r="6">
      <c r="A6" s="7">
        <v>8681.0</v>
      </c>
      <c r="B6" s="7" t="s">
        <v>31</v>
      </c>
    </row>
    <row r="7">
      <c r="A7" s="7">
        <v>4594.0</v>
      </c>
      <c r="B7" s="7" t="s">
        <v>33</v>
      </c>
    </row>
    <row r="8">
      <c r="A8" s="7">
        <v>5988.0</v>
      </c>
      <c r="B8" s="7" t="s">
        <v>36</v>
      </c>
    </row>
    <row r="9">
      <c r="A9" s="7">
        <v>7331.0</v>
      </c>
      <c r="B9" s="7" t="s">
        <v>37</v>
      </c>
    </row>
    <row r="10">
      <c r="A10" s="7">
        <v>8875.0</v>
      </c>
      <c r="B10" s="7" t="s">
        <v>39</v>
      </c>
    </row>
    <row r="11">
      <c r="A11" s="7">
        <v>8293.0</v>
      </c>
      <c r="B11" s="7" t="s">
        <v>42</v>
      </c>
    </row>
    <row r="12">
      <c r="A12" s="7">
        <v>8969.0</v>
      </c>
      <c r="B12" s="7" t="s">
        <v>46</v>
      </c>
    </row>
    <row r="13">
      <c r="A13" s="7">
        <v>3127.0</v>
      </c>
      <c r="B13" s="7" t="s">
        <v>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7.75"/>
  </cols>
  <sheetData>
    <row r="1">
      <c r="A1" s="3" t="s">
        <v>1</v>
      </c>
      <c r="B1" s="8">
        <f>COUNTA(events!A2:A1000)</f>
        <v>1330</v>
      </c>
    </row>
    <row r="2">
      <c r="A2" s="3" t="s">
        <v>35</v>
      </c>
      <c r="B2" s="9">
        <f>SUM(events!W2:W1000)</f>
        <v>501434459</v>
      </c>
    </row>
    <row r="3">
      <c r="A3" s="3" t="s">
        <v>56</v>
      </c>
      <c r="B3" s="11">
        <f>IFERROR(__xludf.DUMMYFUNCTION("COUNTUNIQUE(events!J2:J1000)"),46.0)</f>
        <v>46</v>
      </c>
    </row>
    <row r="4">
      <c r="A4" s="3" t="s">
        <v>74</v>
      </c>
      <c r="B4" s="13">
        <f>SUM(events!U2:U1000)</f>
        <v>1702129408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3" max="3" width="14.75"/>
    <col customWidth="1" min="7" max="7" width="13.5"/>
    <col customWidth="1" min="11" max="11" width="13.5"/>
  </cols>
  <sheetData>
    <row r="1">
      <c r="A1" s="20" t="s">
        <v>0</v>
      </c>
      <c r="B1" s="20" t="s">
        <v>5</v>
      </c>
      <c r="C1" s="20" t="s">
        <v>804</v>
      </c>
      <c r="D1" s="21"/>
      <c r="E1" s="20" t="s">
        <v>0</v>
      </c>
      <c r="F1" s="20" t="s">
        <v>5</v>
      </c>
      <c r="G1" s="22" t="s">
        <v>810</v>
      </c>
      <c r="H1" s="23"/>
      <c r="I1" s="20" t="s">
        <v>0</v>
      </c>
      <c r="J1" s="20" t="s">
        <v>5</v>
      </c>
      <c r="K1" s="22" t="s">
        <v>817</v>
      </c>
      <c r="L1" s="23"/>
      <c r="M1" s="20" t="s">
        <v>0</v>
      </c>
      <c r="N1" s="20" t="s">
        <v>5</v>
      </c>
      <c r="O1" s="22" t="s">
        <v>821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5">
        <v>8681.0</v>
      </c>
      <c r="B2" s="25" t="s">
        <v>31</v>
      </c>
      <c r="C2" s="26">
        <f>COUNTIF(product_id, A2)</f>
        <v>123</v>
      </c>
      <c r="E2" s="27">
        <v>8681.0</v>
      </c>
      <c r="F2" s="27" t="s">
        <v>31</v>
      </c>
      <c r="G2" s="28">
        <f>SUMIF(product_id, E2, total_revenue)</f>
        <v>402213995.6</v>
      </c>
      <c r="I2" s="29">
        <v>8681.0</v>
      </c>
      <c r="J2" s="29" t="s">
        <v>31</v>
      </c>
      <c r="K2" s="30">
        <f>SUMIF(product_id,I2, total_cost)</f>
        <v>324236819.4</v>
      </c>
      <c r="M2" s="31">
        <v>8293.0</v>
      </c>
      <c r="N2" s="31" t="s">
        <v>42</v>
      </c>
      <c r="O2" s="32">
        <f>SUMIF(product_id, M2, total_profit)</f>
        <v>92723306.17</v>
      </c>
    </row>
    <row r="3">
      <c r="A3" s="25">
        <v>1270.0</v>
      </c>
      <c r="B3" s="25" t="s">
        <v>27</v>
      </c>
      <c r="C3" s="26">
        <f>COUNTIF(product_id, A3)</f>
        <v>121</v>
      </c>
      <c r="E3" s="27">
        <v>7940.0</v>
      </c>
      <c r="F3" s="27" t="s">
        <v>18</v>
      </c>
      <c r="G3" s="28">
        <f>SUMIF(product_id, E3, total_revenue)</f>
        <v>294205199.2</v>
      </c>
      <c r="I3" s="29">
        <v>7940.0</v>
      </c>
      <c r="J3" s="29" t="s">
        <v>18</v>
      </c>
      <c r="K3" s="30">
        <f>SUMIF(product_id,I3, total_cost)</f>
        <v>221242732.5</v>
      </c>
      <c r="M3" s="31">
        <v>8681.0</v>
      </c>
      <c r="N3" s="31" t="s">
        <v>31</v>
      </c>
      <c r="O3" s="32">
        <f>SUMIF(product_id, M3, total_profit)</f>
        <v>77977176.25</v>
      </c>
    </row>
    <row r="4">
      <c r="A4" s="25">
        <v>3127.0</v>
      </c>
      <c r="B4" s="25" t="s">
        <v>50</v>
      </c>
      <c r="C4" s="26">
        <f>COUNTIF(product_id, A4)</f>
        <v>115</v>
      </c>
      <c r="E4" s="27">
        <v>8293.0</v>
      </c>
      <c r="F4" s="27" t="s">
        <v>42</v>
      </c>
      <c r="G4" s="28">
        <f>SUMIF(product_id, E4, total_revenue)</f>
        <v>233154825.2</v>
      </c>
      <c r="I4" s="29">
        <v>8875.0</v>
      </c>
      <c r="J4" s="29" t="s">
        <v>39</v>
      </c>
      <c r="K4" s="30">
        <f>SUMIF(product_id,I4, total_cost)</f>
        <v>193424282.2</v>
      </c>
      <c r="M4" s="31">
        <v>7940.0</v>
      </c>
      <c r="N4" s="31" t="s">
        <v>18</v>
      </c>
      <c r="O4" s="32">
        <f>SUMIF(product_id, M4, total_profit)</f>
        <v>72962466.77</v>
      </c>
    </row>
    <row r="5">
      <c r="A5" s="11">
        <v>8293.0</v>
      </c>
      <c r="B5" s="11" t="s">
        <v>42</v>
      </c>
      <c r="C5" s="8">
        <f>COUNTIF(product_id, A5)</f>
        <v>114</v>
      </c>
      <c r="E5" s="11">
        <v>8875.0</v>
      </c>
      <c r="F5" s="11" t="s">
        <v>39</v>
      </c>
      <c r="G5" s="33">
        <f>SUMIF(product_id, E5, total_revenue)</f>
        <v>223762018.2</v>
      </c>
      <c r="I5" s="11">
        <v>8293.0</v>
      </c>
      <c r="J5" s="11" t="s">
        <v>42</v>
      </c>
      <c r="K5" s="33">
        <f>SUMIF(product_id,I5, total_cost)</f>
        <v>140431519</v>
      </c>
      <c r="M5" s="11">
        <v>7331.0</v>
      </c>
      <c r="N5" s="11" t="s">
        <v>37</v>
      </c>
      <c r="O5" s="33">
        <f>SUMIF(product_id, M5, total_profit)</f>
        <v>53940997.16</v>
      </c>
    </row>
    <row r="6">
      <c r="A6" s="11">
        <v>5988.0</v>
      </c>
      <c r="B6" s="11" t="s">
        <v>36</v>
      </c>
      <c r="C6" s="8">
        <f>COUNTIF(product_id, A6)</f>
        <v>114</v>
      </c>
      <c r="E6" s="11">
        <v>7331.0</v>
      </c>
      <c r="F6" s="11" t="s">
        <v>37</v>
      </c>
      <c r="G6" s="33">
        <f>SUMIF(product_id, E6, total_revenue)</f>
        <v>143647587.7</v>
      </c>
      <c r="I6" s="11">
        <v>7331.0</v>
      </c>
      <c r="J6" s="11" t="s">
        <v>37</v>
      </c>
      <c r="K6" s="33">
        <f>SUMIF(product_id,I6, total_cost)</f>
        <v>89706590.52</v>
      </c>
      <c r="M6" s="11">
        <v>2455.0</v>
      </c>
      <c r="N6" s="11" t="s">
        <v>22</v>
      </c>
      <c r="O6" s="33">
        <f>SUMIF(product_id, M6, total_profit)</f>
        <v>43431314.4</v>
      </c>
    </row>
    <row r="7">
      <c r="A7" s="11">
        <v>7331.0</v>
      </c>
      <c r="B7" s="11" t="s">
        <v>37</v>
      </c>
      <c r="C7" s="8">
        <f>COUNTIF(product_id, A7)</f>
        <v>112</v>
      </c>
      <c r="E7" s="11">
        <v>2103.0</v>
      </c>
      <c r="F7" s="11" t="s">
        <v>13</v>
      </c>
      <c r="G7" s="33">
        <f>SUMIF(product_id, E7, total_revenue)</f>
        <v>95791404.5</v>
      </c>
      <c r="I7" s="11">
        <v>2103.0</v>
      </c>
      <c r="J7" s="11" t="s">
        <v>13</v>
      </c>
      <c r="K7" s="33">
        <f>SUMIF(product_id,I7, total_cost)</f>
        <v>54536370.35</v>
      </c>
      <c r="M7" s="11">
        <v>2103.0</v>
      </c>
      <c r="N7" s="11" t="s">
        <v>13</v>
      </c>
      <c r="O7" s="33">
        <f>SUMIF(product_id, M7, total_profit)</f>
        <v>41255034.15</v>
      </c>
    </row>
    <row r="8">
      <c r="A8" s="11">
        <v>4594.0</v>
      </c>
      <c r="B8" s="11" t="s">
        <v>33</v>
      </c>
      <c r="C8" s="8">
        <f>COUNTIF(product_id, A8)</f>
        <v>112</v>
      </c>
      <c r="E8" s="11">
        <v>5988.0</v>
      </c>
      <c r="F8" s="11" t="s">
        <v>36</v>
      </c>
      <c r="G8" s="33">
        <f>SUMIF(product_id, E8, total_revenue)</f>
        <v>89746728.64</v>
      </c>
      <c r="I8" s="11">
        <v>5988.0</v>
      </c>
      <c r="J8" s="11" t="s">
        <v>36</v>
      </c>
      <c r="K8" s="33">
        <f>SUMIF(product_id,I8, total_cost)</f>
        <v>52970725.92</v>
      </c>
      <c r="M8" s="11">
        <v>5988.0</v>
      </c>
      <c r="N8" s="11" t="s">
        <v>36</v>
      </c>
      <c r="O8" s="33">
        <f>SUMIF(product_id, M8, total_profit)</f>
        <v>36776002.72</v>
      </c>
    </row>
    <row r="9">
      <c r="A9" s="11">
        <v>8875.0</v>
      </c>
      <c r="B9" s="11" t="s">
        <v>39</v>
      </c>
      <c r="C9" s="8">
        <f>COUNTIF(product_id, A9)</f>
        <v>111</v>
      </c>
      <c r="E9" s="11">
        <v>8969.0</v>
      </c>
      <c r="F9" s="11" t="s">
        <v>46</v>
      </c>
      <c r="G9" s="33">
        <f>SUMIF(product_id, E9, total_revenue)</f>
        <v>74788612.8</v>
      </c>
      <c r="I9" s="11">
        <v>8969.0</v>
      </c>
      <c r="J9" s="11" t="s">
        <v>46</v>
      </c>
      <c r="K9" s="33">
        <f>SUMIF(product_id,I9, total_cost)</f>
        <v>47761190.4</v>
      </c>
      <c r="M9" s="11">
        <v>8875.0</v>
      </c>
      <c r="N9" s="11" t="s">
        <v>39</v>
      </c>
      <c r="O9" s="33">
        <f>SUMIF(product_id, M9, total_profit)</f>
        <v>30337736</v>
      </c>
    </row>
    <row r="10">
      <c r="A10" s="11">
        <v>2455.0</v>
      </c>
      <c r="B10" s="11" t="s">
        <v>22</v>
      </c>
      <c r="C10" s="8">
        <f>COUNTIF(product_id, A10)</f>
        <v>105</v>
      </c>
      <c r="E10" s="11">
        <v>2455.0</v>
      </c>
      <c r="F10" s="11" t="s">
        <v>22</v>
      </c>
      <c r="G10" s="33">
        <f>SUMIF(product_id, E10, total_revenue)</f>
        <v>64626552.8</v>
      </c>
      <c r="I10" s="11">
        <v>3127.0</v>
      </c>
      <c r="J10" s="11" t="s">
        <v>50</v>
      </c>
      <c r="K10" s="33">
        <f>SUMIF(product_id,I10, total_cost)</f>
        <v>31603612.26</v>
      </c>
      <c r="M10" s="11">
        <v>8969.0</v>
      </c>
      <c r="N10" s="11" t="s">
        <v>46</v>
      </c>
      <c r="O10" s="33">
        <f>SUMIF(product_id, M10, total_profit)</f>
        <v>27027422.4</v>
      </c>
    </row>
    <row r="11">
      <c r="A11" s="11">
        <v>2103.0</v>
      </c>
      <c r="B11" s="11" t="s">
        <v>13</v>
      </c>
      <c r="C11" s="8">
        <f>COUNTIF(product_id, A11)</f>
        <v>103</v>
      </c>
      <c r="E11" s="11">
        <v>3127.0</v>
      </c>
      <c r="F11" s="11" t="s">
        <v>50</v>
      </c>
      <c r="G11" s="33">
        <f>SUMIF(product_id, E11, total_revenue)</f>
        <v>45579022.94</v>
      </c>
      <c r="I11" s="11">
        <v>2455.0</v>
      </c>
      <c r="J11" s="11" t="s">
        <v>22</v>
      </c>
      <c r="K11" s="33">
        <f>SUMIF(product_id,I11, total_cost)</f>
        <v>21195238.4</v>
      </c>
      <c r="M11" s="11">
        <v>3127.0</v>
      </c>
      <c r="N11" s="11" t="s">
        <v>50</v>
      </c>
      <c r="O11" s="33">
        <f>SUMIF(product_id, M11, total_profit)</f>
        <v>13975410.68</v>
      </c>
    </row>
    <row r="12">
      <c r="A12" s="11">
        <v>8969.0</v>
      </c>
      <c r="B12" s="11" t="s">
        <v>46</v>
      </c>
      <c r="C12" s="8">
        <f>COUNTIF(product_id, A12)</f>
        <v>103</v>
      </c>
      <c r="E12" s="11">
        <v>1270.0</v>
      </c>
      <c r="F12" s="11" t="s">
        <v>27</v>
      </c>
      <c r="G12" s="33">
        <f>SUMIF(product_id, E12, total_revenue)</f>
        <v>29093160.85</v>
      </c>
      <c r="I12" s="11">
        <v>1270.0</v>
      </c>
      <c r="J12" s="11" t="s">
        <v>27</v>
      </c>
      <c r="K12" s="33">
        <f>SUMIF(product_id,I12, total_cost)</f>
        <v>19491498.07</v>
      </c>
      <c r="M12" s="11">
        <v>1270.0</v>
      </c>
      <c r="N12" s="11" t="s">
        <v>27</v>
      </c>
      <c r="O12" s="33">
        <f>SUMIF(product_id, M12, total_profit)</f>
        <v>9601662.78</v>
      </c>
    </row>
    <row r="13">
      <c r="A13" s="11">
        <v>7940.0</v>
      </c>
      <c r="B13" s="11" t="s">
        <v>18</v>
      </c>
      <c r="C13" s="8">
        <f>COUNTIF(product_id, A13)</f>
        <v>97</v>
      </c>
      <c r="E13" s="11">
        <v>4594.0</v>
      </c>
      <c r="F13" s="11" t="s">
        <v>33</v>
      </c>
      <c r="G13" s="33">
        <f>SUMIF(product_id, E13, total_revenue)</f>
        <v>5520299.76</v>
      </c>
      <c r="I13" s="11">
        <v>4594.0</v>
      </c>
      <c r="J13" s="11" t="s">
        <v>33</v>
      </c>
      <c r="K13" s="33">
        <f>SUMIF(product_id,I13, total_cost)</f>
        <v>4094370.24</v>
      </c>
      <c r="M13" s="11">
        <v>4594.0</v>
      </c>
      <c r="N13" s="11" t="s">
        <v>33</v>
      </c>
      <c r="O13" s="33">
        <f>SUMIF(product_id, M13, total_profit)</f>
        <v>1425929.52</v>
      </c>
    </row>
    <row r="14">
      <c r="G14" s="19"/>
      <c r="K14" s="19"/>
      <c r="O14" s="19"/>
    </row>
    <row r="15">
      <c r="G15" s="19"/>
      <c r="K15" s="19"/>
      <c r="O15" s="19"/>
    </row>
    <row r="16">
      <c r="G16" s="19"/>
      <c r="K16" s="19"/>
      <c r="O16" s="19"/>
    </row>
    <row r="17">
      <c r="G17" s="19"/>
      <c r="K17" s="19"/>
      <c r="O17" s="19"/>
    </row>
    <row r="18">
      <c r="G18" s="19"/>
      <c r="K18" s="19"/>
      <c r="O18" s="19"/>
    </row>
    <row r="19">
      <c r="G19" s="19"/>
      <c r="K19" s="19"/>
      <c r="O19" s="19"/>
    </row>
    <row r="20">
      <c r="G20" s="19"/>
      <c r="K20" s="19"/>
      <c r="O20" s="19"/>
    </row>
    <row r="21">
      <c r="G21" s="19"/>
      <c r="K21" s="19"/>
      <c r="O21" s="19"/>
    </row>
    <row r="22">
      <c r="G22" s="19"/>
      <c r="K22" s="19"/>
      <c r="O22" s="19"/>
    </row>
    <row r="23">
      <c r="G23" s="19"/>
      <c r="K23" s="19"/>
      <c r="O23" s="19"/>
    </row>
    <row r="24">
      <c r="G24" s="19"/>
      <c r="K24" s="19"/>
      <c r="O24" s="19"/>
    </row>
    <row r="25">
      <c r="G25" s="19"/>
      <c r="K25" s="19"/>
      <c r="O25" s="19"/>
    </row>
    <row r="26">
      <c r="G26" s="19"/>
      <c r="K26" s="19"/>
      <c r="O26" s="19"/>
    </row>
    <row r="27">
      <c r="G27" s="19"/>
      <c r="K27" s="19"/>
      <c r="O27" s="19"/>
    </row>
    <row r="28">
      <c r="G28" s="19"/>
      <c r="K28" s="19"/>
      <c r="O28" s="19"/>
    </row>
    <row r="29">
      <c r="G29" s="19"/>
      <c r="K29" s="19"/>
      <c r="O29" s="19"/>
    </row>
    <row r="30">
      <c r="G30" s="19"/>
      <c r="K30" s="19"/>
      <c r="O30" s="19"/>
    </row>
    <row r="31">
      <c r="G31" s="19"/>
      <c r="K31" s="19"/>
      <c r="O31" s="19"/>
    </row>
    <row r="32">
      <c r="G32" s="19"/>
      <c r="K32" s="19"/>
      <c r="O32" s="19"/>
    </row>
    <row r="33">
      <c r="G33" s="19"/>
      <c r="K33" s="19"/>
      <c r="O33" s="19"/>
    </row>
    <row r="34">
      <c r="G34" s="19"/>
      <c r="K34" s="19"/>
      <c r="O34" s="19"/>
    </row>
    <row r="35">
      <c r="G35" s="19"/>
      <c r="K35" s="19"/>
      <c r="O35" s="19"/>
    </row>
    <row r="36">
      <c r="G36" s="19"/>
      <c r="K36" s="19"/>
      <c r="O36" s="19"/>
    </row>
    <row r="37">
      <c r="G37" s="19"/>
      <c r="K37" s="19"/>
      <c r="O37" s="19"/>
    </row>
    <row r="38">
      <c r="G38" s="19"/>
      <c r="K38" s="19"/>
      <c r="O38" s="19"/>
    </row>
    <row r="39">
      <c r="G39" s="19"/>
      <c r="K39" s="19"/>
      <c r="O39" s="19"/>
    </row>
    <row r="40">
      <c r="G40" s="19"/>
      <c r="K40" s="19"/>
      <c r="O40" s="19"/>
    </row>
    <row r="41">
      <c r="G41" s="19"/>
      <c r="K41" s="19"/>
      <c r="O41" s="19"/>
    </row>
    <row r="42">
      <c r="G42" s="19"/>
      <c r="K42" s="19"/>
      <c r="O42" s="19"/>
    </row>
    <row r="43">
      <c r="G43" s="19"/>
      <c r="K43" s="19"/>
      <c r="O43" s="19"/>
    </row>
    <row r="44">
      <c r="G44" s="19"/>
      <c r="K44" s="19"/>
      <c r="O44" s="19"/>
    </row>
    <row r="45">
      <c r="G45" s="19"/>
      <c r="K45" s="19"/>
      <c r="O45" s="19"/>
    </row>
    <row r="46">
      <c r="G46" s="19"/>
      <c r="K46" s="19"/>
      <c r="O46" s="19"/>
    </row>
    <row r="47">
      <c r="G47" s="19"/>
      <c r="K47" s="19"/>
      <c r="O47" s="19"/>
    </row>
    <row r="48">
      <c r="G48" s="19"/>
      <c r="K48" s="19"/>
      <c r="O48" s="19"/>
    </row>
    <row r="49">
      <c r="G49" s="19"/>
      <c r="K49" s="19"/>
      <c r="O49" s="19"/>
    </row>
    <row r="50">
      <c r="G50" s="19"/>
      <c r="K50" s="19"/>
      <c r="O50" s="19"/>
    </row>
    <row r="51">
      <c r="G51" s="19"/>
      <c r="K51" s="19"/>
      <c r="O51" s="19"/>
    </row>
    <row r="52">
      <c r="G52" s="19"/>
      <c r="K52" s="19"/>
      <c r="O52" s="19"/>
    </row>
    <row r="53">
      <c r="G53" s="19"/>
      <c r="K53" s="19"/>
      <c r="O53" s="19"/>
    </row>
    <row r="54">
      <c r="G54" s="19"/>
      <c r="K54" s="19"/>
      <c r="O54" s="19"/>
    </row>
    <row r="55">
      <c r="G55" s="19"/>
      <c r="K55" s="19"/>
      <c r="O55" s="19"/>
    </row>
    <row r="56">
      <c r="G56" s="19"/>
      <c r="K56" s="19"/>
      <c r="O56" s="19"/>
    </row>
    <row r="57">
      <c r="G57" s="19"/>
      <c r="K57" s="19"/>
      <c r="O57" s="19"/>
    </row>
    <row r="58">
      <c r="G58" s="19"/>
      <c r="K58" s="19"/>
      <c r="O58" s="19"/>
    </row>
    <row r="59">
      <c r="G59" s="19"/>
      <c r="K59" s="19"/>
      <c r="O59" s="19"/>
    </row>
    <row r="60">
      <c r="G60" s="19"/>
      <c r="K60" s="19"/>
      <c r="O60" s="19"/>
    </row>
    <row r="61">
      <c r="G61" s="19"/>
      <c r="K61" s="19"/>
      <c r="O61" s="19"/>
    </row>
    <row r="62">
      <c r="G62" s="19"/>
      <c r="K62" s="19"/>
      <c r="O62" s="19"/>
    </row>
    <row r="63">
      <c r="G63" s="19"/>
      <c r="K63" s="19"/>
      <c r="O63" s="19"/>
    </row>
    <row r="64">
      <c r="G64" s="19"/>
      <c r="K64" s="19"/>
      <c r="O64" s="19"/>
    </row>
    <row r="65">
      <c r="G65" s="19"/>
      <c r="K65" s="19"/>
      <c r="O65" s="19"/>
    </row>
    <row r="66">
      <c r="G66" s="19"/>
      <c r="K66" s="19"/>
      <c r="O66" s="19"/>
    </row>
    <row r="67">
      <c r="G67" s="19"/>
      <c r="K67" s="19"/>
      <c r="O67" s="19"/>
    </row>
    <row r="68">
      <c r="G68" s="19"/>
      <c r="K68" s="19"/>
      <c r="O68" s="19"/>
    </row>
    <row r="69">
      <c r="G69" s="19"/>
      <c r="K69" s="19"/>
      <c r="O69" s="19"/>
    </row>
    <row r="70">
      <c r="G70" s="19"/>
      <c r="K70" s="19"/>
      <c r="O70" s="19"/>
    </row>
    <row r="71">
      <c r="G71" s="19"/>
      <c r="K71" s="19"/>
      <c r="O71" s="19"/>
    </row>
    <row r="72">
      <c r="G72" s="19"/>
      <c r="K72" s="19"/>
      <c r="O72" s="19"/>
    </row>
    <row r="73">
      <c r="G73" s="19"/>
      <c r="K73" s="19"/>
      <c r="O73" s="19"/>
    </row>
    <row r="74">
      <c r="G74" s="19"/>
      <c r="K74" s="19"/>
      <c r="O74" s="19"/>
    </row>
    <row r="75">
      <c r="G75" s="19"/>
      <c r="K75" s="19"/>
      <c r="O75" s="19"/>
    </row>
    <row r="76">
      <c r="G76" s="19"/>
      <c r="K76" s="19"/>
      <c r="O76" s="19"/>
    </row>
    <row r="77">
      <c r="G77" s="19"/>
      <c r="K77" s="19"/>
      <c r="O77" s="19"/>
    </row>
    <row r="78">
      <c r="G78" s="19"/>
      <c r="K78" s="19"/>
      <c r="O78" s="19"/>
    </row>
    <row r="79">
      <c r="G79" s="19"/>
      <c r="K79" s="19"/>
      <c r="O79" s="19"/>
    </row>
    <row r="80">
      <c r="G80" s="19"/>
      <c r="K80" s="19"/>
      <c r="O80" s="19"/>
    </row>
    <row r="81">
      <c r="G81" s="19"/>
      <c r="K81" s="19"/>
      <c r="O81" s="19"/>
    </row>
    <row r="82">
      <c r="G82" s="19"/>
      <c r="K82" s="19"/>
      <c r="O82" s="19"/>
    </row>
    <row r="83">
      <c r="G83" s="19"/>
      <c r="K83" s="19"/>
      <c r="O83" s="19"/>
    </row>
    <row r="84">
      <c r="G84" s="19"/>
      <c r="K84" s="19"/>
      <c r="O84" s="19"/>
    </row>
    <row r="85">
      <c r="G85" s="19"/>
      <c r="K85" s="19"/>
      <c r="O85" s="19"/>
    </row>
    <row r="86">
      <c r="G86" s="19"/>
      <c r="K86" s="19"/>
      <c r="O86" s="19"/>
    </row>
    <row r="87">
      <c r="G87" s="19"/>
      <c r="K87" s="19"/>
      <c r="O87" s="19"/>
    </row>
    <row r="88">
      <c r="G88" s="19"/>
      <c r="K88" s="19"/>
      <c r="O88" s="19"/>
    </row>
    <row r="89">
      <c r="G89" s="19"/>
      <c r="K89" s="19"/>
      <c r="O89" s="19"/>
    </row>
    <row r="90">
      <c r="G90" s="19"/>
      <c r="K90" s="19"/>
      <c r="O90" s="19"/>
    </row>
    <row r="91">
      <c r="G91" s="19"/>
      <c r="K91" s="19"/>
      <c r="O91" s="19"/>
    </row>
    <row r="92">
      <c r="G92" s="19"/>
      <c r="K92" s="19"/>
      <c r="O92" s="19"/>
    </row>
    <row r="93">
      <c r="G93" s="19"/>
      <c r="K93" s="19"/>
      <c r="O93" s="19"/>
    </row>
    <row r="94">
      <c r="G94" s="19"/>
      <c r="K94" s="19"/>
      <c r="O94" s="19"/>
    </row>
    <row r="95">
      <c r="G95" s="19"/>
      <c r="K95" s="19"/>
      <c r="O95" s="19"/>
    </row>
    <row r="96">
      <c r="G96" s="19"/>
      <c r="K96" s="19"/>
      <c r="O96" s="19"/>
    </row>
    <row r="97">
      <c r="G97" s="19"/>
      <c r="K97" s="19"/>
      <c r="O97" s="19"/>
    </row>
    <row r="98">
      <c r="G98" s="19"/>
      <c r="K98" s="19"/>
      <c r="O98" s="19"/>
    </row>
    <row r="99">
      <c r="G99" s="19"/>
      <c r="K99" s="19"/>
      <c r="O99" s="19"/>
    </row>
    <row r="100">
      <c r="G100" s="19"/>
      <c r="K100" s="19"/>
      <c r="O100" s="19"/>
    </row>
    <row r="101">
      <c r="G101" s="19"/>
      <c r="K101" s="19"/>
      <c r="O101" s="19"/>
    </row>
    <row r="102">
      <c r="G102" s="19"/>
      <c r="K102" s="19"/>
      <c r="O102" s="19"/>
    </row>
    <row r="103">
      <c r="G103" s="19"/>
      <c r="K103" s="19"/>
      <c r="O103" s="19"/>
    </row>
    <row r="104">
      <c r="G104" s="19"/>
      <c r="K104" s="19"/>
      <c r="O104" s="19"/>
    </row>
    <row r="105">
      <c r="G105" s="19"/>
      <c r="K105" s="19"/>
      <c r="O105" s="19"/>
    </row>
    <row r="106">
      <c r="G106" s="19"/>
      <c r="K106" s="19"/>
      <c r="O106" s="19"/>
    </row>
    <row r="107">
      <c r="G107" s="19"/>
      <c r="K107" s="19"/>
      <c r="O107" s="19"/>
    </row>
    <row r="108">
      <c r="G108" s="19"/>
      <c r="K108" s="19"/>
      <c r="O108" s="19"/>
    </row>
    <row r="109">
      <c r="G109" s="19"/>
      <c r="K109" s="19"/>
      <c r="O109" s="19"/>
    </row>
    <row r="110">
      <c r="G110" s="19"/>
      <c r="K110" s="19"/>
      <c r="O110" s="19"/>
    </row>
    <row r="111">
      <c r="G111" s="19"/>
      <c r="K111" s="19"/>
      <c r="O111" s="19"/>
    </row>
    <row r="112">
      <c r="G112" s="19"/>
      <c r="K112" s="19"/>
      <c r="O112" s="19"/>
    </row>
    <row r="113">
      <c r="G113" s="19"/>
      <c r="K113" s="19"/>
      <c r="O113" s="19"/>
    </row>
    <row r="114">
      <c r="G114" s="19"/>
      <c r="K114" s="19"/>
      <c r="O114" s="19"/>
    </row>
    <row r="115">
      <c r="G115" s="19"/>
      <c r="K115" s="19"/>
      <c r="O115" s="19"/>
    </row>
    <row r="116">
      <c r="G116" s="19"/>
      <c r="K116" s="19"/>
      <c r="O116" s="19"/>
    </row>
    <row r="117">
      <c r="G117" s="19"/>
      <c r="K117" s="19"/>
      <c r="O117" s="19"/>
    </row>
    <row r="118">
      <c r="G118" s="19"/>
      <c r="K118" s="19"/>
      <c r="O118" s="19"/>
    </row>
    <row r="119">
      <c r="G119" s="19"/>
      <c r="K119" s="19"/>
      <c r="O119" s="19"/>
    </row>
    <row r="120">
      <c r="G120" s="19"/>
      <c r="K120" s="19"/>
      <c r="O120" s="19"/>
    </row>
    <row r="121">
      <c r="G121" s="19"/>
      <c r="K121" s="19"/>
      <c r="O121" s="19"/>
    </row>
    <row r="122">
      <c r="G122" s="19"/>
      <c r="K122" s="19"/>
      <c r="O122" s="19"/>
    </row>
    <row r="123">
      <c r="G123" s="19"/>
      <c r="K123" s="19"/>
      <c r="O123" s="19"/>
    </row>
    <row r="124">
      <c r="G124" s="19"/>
      <c r="K124" s="19"/>
      <c r="O124" s="19"/>
    </row>
    <row r="125">
      <c r="G125" s="19"/>
      <c r="K125" s="19"/>
      <c r="O125" s="19"/>
    </row>
    <row r="126">
      <c r="G126" s="19"/>
      <c r="K126" s="19"/>
      <c r="O126" s="19"/>
    </row>
    <row r="127">
      <c r="G127" s="19"/>
      <c r="K127" s="19"/>
      <c r="O127" s="19"/>
    </row>
    <row r="128">
      <c r="G128" s="19"/>
      <c r="K128" s="19"/>
      <c r="O128" s="19"/>
    </row>
    <row r="129">
      <c r="G129" s="19"/>
      <c r="K129" s="19"/>
      <c r="O129" s="19"/>
    </row>
    <row r="130">
      <c r="G130" s="19"/>
      <c r="K130" s="19"/>
      <c r="O130" s="19"/>
    </row>
    <row r="131">
      <c r="G131" s="19"/>
      <c r="K131" s="19"/>
      <c r="O131" s="19"/>
    </row>
    <row r="132">
      <c r="G132" s="19"/>
      <c r="K132" s="19"/>
      <c r="O132" s="19"/>
    </row>
    <row r="133">
      <c r="G133" s="19"/>
      <c r="K133" s="19"/>
      <c r="O133" s="19"/>
    </row>
    <row r="134">
      <c r="G134" s="19"/>
      <c r="K134" s="19"/>
      <c r="O134" s="19"/>
    </row>
    <row r="135">
      <c r="G135" s="19"/>
      <c r="K135" s="19"/>
      <c r="O135" s="19"/>
    </row>
    <row r="136">
      <c r="G136" s="19"/>
      <c r="K136" s="19"/>
      <c r="O136" s="19"/>
    </row>
    <row r="137">
      <c r="G137" s="19"/>
      <c r="K137" s="19"/>
      <c r="O137" s="19"/>
    </row>
    <row r="138">
      <c r="G138" s="19"/>
      <c r="K138" s="19"/>
      <c r="O138" s="19"/>
    </row>
    <row r="139">
      <c r="G139" s="19"/>
      <c r="K139" s="19"/>
      <c r="O139" s="19"/>
    </row>
    <row r="140">
      <c r="G140" s="19"/>
      <c r="K140" s="19"/>
      <c r="O140" s="19"/>
    </row>
    <row r="141">
      <c r="G141" s="19"/>
      <c r="K141" s="19"/>
      <c r="O141" s="19"/>
    </row>
    <row r="142">
      <c r="G142" s="19"/>
      <c r="K142" s="19"/>
      <c r="O142" s="19"/>
    </row>
    <row r="143">
      <c r="G143" s="19"/>
      <c r="K143" s="19"/>
      <c r="O143" s="19"/>
    </row>
    <row r="144">
      <c r="G144" s="19"/>
      <c r="K144" s="19"/>
      <c r="O144" s="19"/>
    </row>
    <row r="145">
      <c r="G145" s="19"/>
      <c r="K145" s="19"/>
      <c r="O145" s="19"/>
    </row>
    <row r="146">
      <c r="G146" s="19"/>
      <c r="K146" s="19"/>
      <c r="O146" s="19"/>
    </row>
    <row r="147">
      <c r="G147" s="19"/>
      <c r="K147" s="19"/>
      <c r="O147" s="19"/>
    </row>
    <row r="148">
      <c r="G148" s="19"/>
      <c r="K148" s="19"/>
      <c r="O148" s="19"/>
    </row>
    <row r="149">
      <c r="G149" s="19"/>
      <c r="K149" s="19"/>
      <c r="O149" s="19"/>
    </row>
    <row r="150">
      <c r="G150" s="19"/>
      <c r="K150" s="19"/>
      <c r="O150" s="19"/>
    </row>
    <row r="151">
      <c r="G151" s="19"/>
      <c r="K151" s="19"/>
      <c r="O151" s="19"/>
    </row>
    <row r="152">
      <c r="G152" s="19"/>
      <c r="K152" s="19"/>
      <c r="O152" s="19"/>
    </row>
    <row r="153">
      <c r="G153" s="19"/>
      <c r="K153" s="19"/>
      <c r="O153" s="19"/>
    </row>
    <row r="154">
      <c r="G154" s="19"/>
      <c r="K154" s="19"/>
      <c r="O154" s="19"/>
    </row>
    <row r="155">
      <c r="G155" s="19"/>
      <c r="K155" s="19"/>
      <c r="O155" s="19"/>
    </row>
    <row r="156">
      <c r="G156" s="19"/>
      <c r="K156" s="19"/>
      <c r="O156" s="19"/>
    </row>
    <row r="157">
      <c r="G157" s="19"/>
      <c r="K157" s="19"/>
      <c r="O157" s="19"/>
    </row>
    <row r="158">
      <c r="G158" s="19"/>
      <c r="K158" s="19"/>
      <c r="O158" s="19"/>
    </row>
    <row r="159">
      <c r="G159" s="19"/>
      <c r="K159" s="19"/>
      <c r="O159" s="19"/>
    </row>
    <row r="160">
      <c r="G160" s="19"/>
      <c r="K160" s="19"/>
      <c r="O160" s="19"/>
    </row>
    <row r="161">
      <c r="G161" s="19"/>
      <c r="K161" s="19"/>
      <c r="O161" s="19"/>
    </row>
    <row r="162">
      <c r="G162" s="19"/>
      <c r="K162" s="19"/>
      <c r="O162" s="19"/>
    </row>
    <row r="163">
      <c r="G163" s="19"/>
      <c r="K163" s="19"/>
      <c r="O163" s="19"/>
    </row>
    <row r="164">
      <c r="G164" s="19"/>
      <c r="K164" s="19"/>
      <c r="O164" s="19"/>
    </row>
    <row r="165">
      <c r="G165" s="19"/>
      <c r="K165" s="19"/>
      <c r="O165" s="19"/>
    </row>
    <row r="166">
      <c r="G166" s="19"/>
      <c r="K166" s="19"/>
      <c r="O166" s="19"/>
    </row>
    <row r="167">
      <c r="G167" s="19"/>
      <c r="K167" s="19"/>
      <c r="O167" s="19"/>
    </row>
    <row r="168">
      <c r="G168" s="19"/>
      <c r="K168" s="19"/>
      <c r="O168" s="19"/>
    </row>
    <row r="169">
      <c r="G169" s="19"/>
      <c r="K169" s="19"/>
      <c r="O169" s="19"/>
    </row>
    <row r="170">
      <c r="G170" s="19"/>
      <c r="K170" s="19"/>
      <c r="O170" s="19"/>
    </row>
    <row r="171">
      <c r="G171" s="19"/>
      <c r="K171" s="19"/>
      <c r="O171" s="19"/>
    </row>
    <row r="172">
      <c r="G172" s="19"/>
      <c r="K172" s="19"/>
      <c r="O172" s="19"/>
    </row>
    <row r="173">
      <c r="G173" s="19"/>
      <c r="K173" s="19"/>
      <c r="O173" s="19"/>
    </row>
    <row r="174">
      <c r="G174" s="19"/>
      <c r="K174" s="19"/>
      <c r="O174" s="19"/>
    </row>
    <row r="175">
      <c r="G175" s="19"/>
      <c r="K175" s="19"/>
      <c r="O175" s="19"/>
    </row>
    <row r="176">
      <c r="G176" s="19"/>
      <c r="K176" s="19"/>
      <c r="O176" s="19"/>
    </row>
    <row r="177">
      <c r="G177" s="19"/>
      <c r="K177" s="19"/>
      <c r="O177" s="19"/>
    </row>
    <row r="178">
      <c r="G178" s="19"/>
      <c r="K178" s="19"/>
      <c r="O178" s="19"/>
    </row>
    <row r="179">
      <c r="G179" s="19"/>
      <c r="K179" s="19"/>
      <c r="O179" s="19"/>
    </row>
    <row r="180">
      <c r="G180" s="19"/>
      <c r="K180" s="19"/>
      <c r="O180" s="19"/>
    </row>
    <row r="181">
      <c r="G181" s="19"/>
      <c r="K181" s="19"/>
      <c r="O181" s="19"/>
    </row>
    <row r="182">
      <c r="G182" s="19"/>
      <c r="K182" s="19"/>
      <c r="O182" s="19"/>
    </row>
    <row r="183">
      <c r="G183" s="19"/>
      <c r="K183" s="19"/>
      <c r="O183" s="19"/>
    </row>
    <row r="184">
      <c r="G184" s="19"/>
      <c r="K184" s="19"/>
      <c r="O184" s="19"/>
    </row>
    <row r="185">
      <c r="G185" s="19"/>
      <c r="K185" s="19"/>
      <c r="O185" s="19"/>
    </row>
    <row r="186">
      <c r="G186" s="19"/>
      <c r="K186" s="19"/>
      <c r="O186" s="19"/>
    </row>
    <row r="187">
      <c r="G187" s="19"/>
      <c r="K187" s="19"/>
      <c r="O187" s="19"/>
    </row>
    <row r="188">
      <c r="G188" s="19"/>
      <c r="K188" s="19"/>
      <c r="O188" s="19"/>
    </row>
    <row r="189">
      <c r="G189" s="19"/>
      <c r="K189" s="19"/>
      <c r="O189" s="19"/>
    </row>
    <row r="190">
      <c r="G190" s="19"/>
      <c r="K190" s="19"/>
      <c r="O190" s="19"/>
    </row>
    <row r="191">
      <c r="G191" s="19"/>
      <c r="K191" s="19"/>
      <c r="O191" s="19"/>
    </row>
    <row r="192">
      <c r="G192" s="19"/>
      <c r="K192" s="19"/>
      <c r="O192" s="19"/>
    </row>
    <row r="193">
      <c r="G193" s="19"/>
      <c r="K193" s="19"/>
      <c r="O193" s="19"/>
    </row>
    <row r="194">
      <c r="G194" s="19"/>
      <c r="K194" s="19"/>
      <c r="O194" s="19"/>
    </row>
    <row r="195">
      <c r="G195" s="19"/>
      <c r="K195" s="19"/>
      <c r="O195" s="19"/>
    </row>
    <row r="196">
      <c r="G196" s="19"/>
      <c r="K196" s="19"/>
      <c r="O196" s="19"/>
    </row>
    <row r="197">
      <c r="G197" s="19"/>
      <c r="K197" s="19"/>
      <c r="O197" s="19"/>
    </row>
    <row r="198">
      <c r="G198" s="19"/>
      <c r="K198" s="19"/>
      <c r="O198" s="19"/>
    </row>
    <row r="199">
      <c r="G199" s="19"/>
      <c r="K199" s="19"/>
      <c r="O199" s="19"/>
    </row>
    <row r="200">
      <c r="G200" s="19"/>
      <c r="K200" s="19"/>
      <c r="O200" s="19"/>
    </row>
    <row r="201">
      <c r="G201" s="19"/>
      <c r="K201" s="19"/>
      <c r="O201" s="19"/>
    </row>
    <row r="202">
      <c r="G202" s="19"/>
      <c r="K202" s="19"/>
      <c r="O202" s="19"/>
    </row>
    <row r="203">
      <c r="G203" s="19"/>
      <c r="K203" s="19"/>
      <c r="O203" s="19"/>
    </row>
    <row r="204">
      <c r="G204" s="19"/>
      <c r="K204" s="19"/>
      <c r="O204" s="19"/>
    </row>
    <row r="205">
      <c r="G205" s="19"/>
      <c r="K205" s="19"/>
      <c r="O205" s="19"/>
    </row>
    <row r="206">
      <c r="G206" s="19"/>
      <c r="K206" s="19"/>
      <c r="O206" s="19"/>
    </row>
    <row r="207">
      <c r="G207" s="19"/>
      <c r="K207" s="19"/>
      <c r="O207" s="19"/>
    </row>
    <row r="208">
      <c r="G208" s="19"/>
      <c r="K208" s="19"/>
      <c r="O208" s="19"/>
    </row>
    <row r="209">
      <c r="G209" s="19"/>
      <c r="K209" s="19"/>
      <c r="O209" s="19"/>
    </row>
    <row r="210">
      <c r="G210" s="19"/>
      <c r="K210" s="19"/>
      <c r="O210" s="19"/>
    </row>
    <row r="211">
      <c r="G211" s="19"/>
      <c r="K211" s="19"/>
      <c r="O211" s="19"/>
    </row>
    <row r="212">
      <c r="G212" s="19"/>
      <c r="K212" s="19"/>
      <c r="O212" s="19"/>
    </row>
    <row r="213">
      <c r="G213" s="19"/>
      <c r="K213" s="19"/>
      <c r="O213" s="19"/>
    </row>
    <row r="214">
      <c r="G214" s="19"/>
      <c r="K214" s="19"/>
      <c r="O214" s="19"/>
    </row>
    <row r="215">
      <c r="G215" s="19"/>
      <c r="K215" s="19"/>
      <c r="O215" s="19"/>
    </row>
    <row r="216">
      <c r="G216" s="19"/>
      <c r="K216" s="19"/>
      <c r="O216" s="19"/>
    </row>
    <row r="217">
      <c r="G217" s="19"/>
      <c r="K217" s="19"/>
      <c r="O217" s="19"/>
    </row>
    <row r="218">
      <c r="G218" s="19"/>
      <c r="K218" s="19"/>
      <c r="O218" s="19"/>
    </row>
    <row r="219">
      <c r="G219" s="19"/>
      <c r="K219" s="19"/>
      <c r="O219" s="19"/>
    </row>
    <row r="220">
      <c r="G220" s="19"/>
      <c r="K220" s="19"/>
      <c r="O220" s="19"/>
    </row>
    <row r="221">
      <c r="G221" s="19"/>
      <c r="K221" s="19"/>
      <c r="O221" s="19"/>
    </row>
    <row r="222">
      <c r="G222" s="19"/>
      <c r="K222" s="19"/>
      <c r="O222" s="19"/>
    </row>
    <row r="223">
      <c r="G223" s="19"/>
      <c r="K223" s="19"/>
      <c r="O223" s="19"/>
    </row>
    <row r="224">
      <c r="G224" s="19"/>
      <c r="K224" s="19"/>
      <c r="O224" s="19"/>
    </row>
    <row r="225">
      <c r="G225" s="19"/>
      <c r="K225" s="19"/>
      <c r="O225" s="19"/>
    </row>
    <row r="226">
      <c r="G226" s="19"/>
      <c r="K226" s="19"/>
      <c r="O226" s="19"/>
    </row>
    <row r="227">
      <c r="G227" s="19"/>
      <c r="K227" s="19"/>
      <c r="O227" s="19"/>
    </row>
    <row r="228">
      <c r="G228" s="19"/>
      <c r="K228" s="19"/>
      <c r="O228" s="19"/>
    </row>
    <row r="229">
      <c r="G229" s="19"/>
      <c r="K229" s="19"/>
      <c r="O229" s="19"/>
    </row>
    <row r="230">
      <c r="G230" s="19"/>
      <c r="K230" s="19"/>
      <c r="O230" s="19"/>
    </row>
    <row r="231">
      <c r="G231" s="19"/>
      <c r="K231" s="19"/>
      <c r="O231" s="19"/>
    </row>
    <row r="232">
      <c r="G232" s="19"/>
      <c r="K232" s="19"/>
      <c r="O232" s="19"/>
    </row>
    <row r="233">
      <c r="G233" s="19"/>
      <c r="K233" s="19"/>
      <c r="O233" s="19"/>
    </row>
    <row r="234">
      <c r="G234" s="19"/>
      <c r="K234" s="19"/>
      <c r="O234" s="19"/>
    </row>
    <row r="235">
      <c r="G235" s="19"/>
      <c r="K235" s="19"/>
      <c r="O235" s="19"/>
    </row>
    <row r="236">
      <c r="G236" s="19"/>
      <c r="K236" s="19"/>
      <c r="O236" s="19"/>
    </row>
    <row r="237">
      <c r="G237" s="19"/>
      <c r="K237" s="19"/>
      <c r="O237" s="19"/>
    </row>
    <row r="238">
      <c r="G238" s="19"/>
      <c r="K238" s="19"/>
      <c r="O238" s="19"/>
    </row>
    <row r="239">
      <c r="G239" s="19"/>
      <c r="K239" s="19"/>
      <c r="O239" s="19"/>
    </row>
    <row r="240">
      <c r="G240" s="19"/>
      <c r="K240" s="19"/>
      <c r="O240" s="19"/>
    </row>
    <row r="241">
      <c r="G241" s="19"/>
      <c r="K241" s="19"/>
      <c r="O241" s="19"/>
    </row>
    <row r="242">
      <c r="G242" s="19"/>
      <c r="K242" s="19"/>
      <c r="O242" s="19"/>
    </row>
    <row r="243">
      <c r="G243" s="19"/>
      <c r="K243" s="19"/>
      <c r="O243" s="19"/>
    </row>
    <row r="244">
      <c r="G244" s="19"/>
      <c r="K244" s="19"/>
      <c r="O244" s="19"/>
    </row>
    <row r="245">
      <c r="G245" s="19"/>
      <c r="K245" s="19"/>
      <c r="O245" s="19"/>
    </row>
    <row r="246">
      <c r="G246" s="19"/>
      <c r="K246" s="19"/>
      <c r="O246" s="19"/>
    </row>
    <row r="247">
      <c r="G247" s="19"/>
      <c r="K247" s="19"/>
      <c r="O247" s="19"/>
    </row>
    <row r="248">
      <c r="G248" s="19"/>
      <c r="K248" s="19"/>
      <c r="O248" s="19"/>
    </row>
    <row r="249">
      <c r="G249" s="19"/>
      <c r="K249" s="19"/>
      <c r="O249" s="19"/>
    </row>
    <row r="250">
      <c r="G250" s="19"/>
      <c r="K250" s="19"/>
      <c r="O250" s="19"/>
    </row>
    <row r="251">
      <c r="G251" s="19"/>
      <c r="K251" s="19"/>
      <c r="O251" s="19"/>
    </row>
    <row r="252">
      <c r="G252" s="19"/>
      <c r="K252" s="19"/>
      <c r="O252" s="19"/>
    </row>
    <row r="253">
      <c r="G253" s="19"/>
      <c r="K253" s="19"/>
      <c r="O253" s="19"/>
    </row>
    <row r="254">
      <c r="G254" s="19"/>
      <c r="K254" s="19"/>
      <c r="O254" s="19"/>
    </row>
    <row r="255">
      <c r="G255" s="19"/>
      <c r="K255" s="19"/>
      <c r="O255" s="19"/>
    </row>
    <row r="256">
      <c r="G256" s="19"/>
      <c r="K256" s="19"/>
      <c r="O256" s="19"/>
    </row>
    <row r="257">
      <c r="G257" s="19"/>
      <c r="K257" s="19"/>
      <c r="O257" s="19"/>
    </row>
    <row r="258">
      <c r="G258" s="19"/>
      <c r="K258" s="19"/>
      <c r="O258" s="19"/>
    </row>
    <row r="259">
      <c r="G259" s="19"/>
      <c r="K259" s="19"/>
      <c r="O259" s="19"/>
    </row>
    <row r="260">
      <c r="G260" s="19"/>
      <c r="K260" s="19"/>
      <c r="O260" s="19"/>
    </row>
    <row r="261">
      <c r="G261" s="19"/>
      <c r="K261" s="19"/>
      <c r="O261" s="19"/>
    </row>
    <row r="262">
      <c r="G262" s="19"/>
      <c r="K262" s="19"/>
      <c r="O262" s="19"/>
    </row>
    <row r="263">
      <c r="G263" s="19"/>
      <c r="K263" s="19"/>
      <c r="O263" s="19"/>
    </row>
    <row r="264">
      <c r="G264" s="19"/>
      <c r="K264" s="19"/>
      <c r="O264" s="19"/>
    </row>
    <row r="265">
      <c r="G265" s="19"/>
      <c r="K265" s="19"/>
      <c r="O265" s="19"/>
    </row>
    <row r="266">
      <c r="G266" s="19"/>
      <c r="K266" s="19"/>
      <c r="O266" s="19"/>
    </row>
    <row r="267">
      <c r="G267" s="19"/>
      <c r="K267" s="19"/>
      <c r="O267" s="19"/>
    </row>
    <row r="268">
      <c r="G268" s="19"/>
      <c r="K268" s="19"/>
      <c r="O268" s="19"/>
    </row>
    <row r="269">
      <c r="G269" s="19"/>
      <c r="K269" s="19"/>
      <c r="O269" s="19"/>
    </row>
    <row r="270">
      <c r="G270" s="19"/>
      <c r="K270" s="19"/>
      <c r="O270" s="19"/>
    </row>
    <row r="271">
      <c r="G271" s="19"/>
      <c r="K271" s="19"/>
      <c r="O271" s="19"/>
    </row>
    <row r="272">
      <c r="G272" s="19"/>
      <c r="K272" s="19"/>
      <c r="O272" s="19"/>
    </row>
    <row r="273">
      <c r="G273" s="19"/>
      <c r="K273" s="19"/>
      <c r="O273" s="19"/>
    </row>
    <row r="274">
      <c r="G274" s="19"/>
      <c r="K274" s="19"/>
      <c r="O274" s="19"/>
    </row>
    <row r="275">
      <c r="G275" s="19"/>
      <c r="K275" s="19"/>
      <c r="O275" s="19"/>
    </row>
    <row r="276">
      <c r="G276" s="19"/>
      <c r="K276" s="19"/>
      <c r="O276" s="19"/>
    </row>
    <row r="277">
      <c r="G277" s="19"/>
      <c r="K277" s="19"/>
      <c r="O277" s="19"/>
    </row>
    <row r="278">
      <c r="G278" s="19"/>
      <c r="K278" s="19"/>
      <c r="O278" s="19"/>
    </row>
    <row r="279">
      <c r="G279" s="19"/>
      <c r="K279" s="19"/>
      <c r="O279" s="19"/>
    </row>
    <row r="280">
      <c r="G280" s="19"/>
      <c r="K280" s="19"/>
      <c r="O280" s="19"/>
    </row>
    <row r="281">
      <c r="G281" s="19"/>
      <c r="K281" s="19"/>
      <c r="O281" s="19"/>
    </row>
    <row r="282">
      <c r="G282" s="19"/>
      <c r="K282" s="19"/>
      <c r="O282" s="19"/>
    </row>
    <row r="283">
      <c r="G283" s="19"/>
      <c r="K283" s="19"/>
      <c r="O283" s="19"/>
    </row>
    <row r="284">
      <c r="G284" s="19"/>
      <c r="K284" s="19"/>
      <c r="O284" s="19"/>
    </row>
    <row r="285">
      <c r="G285" s="19"/>
      <c r="K285" s="19"/>
      <c r="O285" s="19"/>
    </row>
    <row r="286">
      <c r="G286" s="19"/>
      <c r="K286" s="19"/>
      <c r="O286" s="19"/>
    </row>
    <row r="287">
      <c r="G287" s="19"/>
      <c r="K287" s="19"/>
      <c r="O287" s="19"/>
    </row>
    <row r="288">
      <c r="G288" s="19"/>
      <c r="K288" s="19"/>
      <c r="O288" s="19"/>
    </row>
    <row r="289">
      <c r="G289" s="19"/>
      <c r="K289" s="19"/>
      <c r="O289" s="19"/>
    </row>
    <row r="290">
      <c r="G290" s="19"/>
      <c r="K290" s="19"/>
      <c r="O290" s="19"/>
    </row>
    <row r="291">
      <c r="G291" s="19"/>
      <c r="K291" s="19"/>
      <c r="O291" s="19"/>
    </row>
    <row r="292">
      <c r="G292" s="19"/>
      <c r="K292" s="19"/>
      <c r="O292" s="19"/>
    </row>
    <row r="293">
      <c r="G293" s="19"/>
      <c r="K293" s="19"/>
      <c r="O293" s="19"/>
    </row>
    <row r="294">
      <c r="G294" s="19"/>
      <c r="K294" s="19"/>
      <c r="O294" s="19"/>
    </row>
    <row r="295">
      <c r="G295" s="19"/>
      <c r="K295" s="19"/>
      <c r="O295" s="19"/>
    </row>
    <row r="296">
      <c r="G296" s="19"/>
      <c r="K296" s="19"/>
      <c r="O296" s="19"/>
    </row>
    <row r="297">
      <c r="G297" s="19"/>
      <c r="K297" s="19"/>
      <c r="O297" s="19"/>
    </row>
    <row r="298">
      <c r="G298" s="19"/>
      <c r="K298" s="19"/>
      <c r="O298" s="19"/>
    </row>
    <row r="299">
      <c r="G299" s="19"/>
      <c r="K299" s="19"/>
      <c r="O299" s="19"/>
    </row>
    <row r="300">
      <c r="G300" s="19"/>
      <c r="K300" s="19"/>
      <c r="O300" s="19"/>
    </row>
    <row r="301">
      <c r="G301" s="19"/>
      <c r="K301" s="19"/>
      <c r="O301" s="19"/>
    </row>
    <row r="302">
      <c r="G302" s="19"/>
      <c r="K302" s="19"/>
      <c r="O302" s="19"/>
    </row>
    <row r="303">
      <c r="G303" s="19"/>
      <c r="K303" s="19"/>
      <c r="O303" s="19"/>
    </row>
    <row r="304">
      <c r="G304" s="19"/>
      <c r="K304" s="19"/>
      <c r="O304" s="19"/>
    </row>
    <row r="305">
      <c r="G305" s="19"/>
      <c r="K305" s="19"/>
      <c r="O305" s="19"/>
    </row>
    <row r="306">
      <c r="G306" s="19"/>
      <c r="K306" s="19"/>
      <c r="O306" s="19"/>
    </row>
    <row r="307">
      <c r="G307" s="19"/>
      <c r="K307" s="19"/>
      <c r="O307" s="19"/>
    </row>
    <row r="308">
      <c r="G308" s="19"/>
      <c r="K308" s="19"/>
      <c r="O308" s="19"/>
    </row>
    <row r="309">
      <c r="G309" s="19"/>
      <c r="K309" s="19"/>
      <c r="O309" s="19"/>
    </row>
    <row r="310">
      <c r="G310" s="19"/>
      <c r="K310" s="19"/>
      <c r="O310" s="19"/>
    </row>
    <row r="311">
      <c r="G311" s="19"/>
      <c r="K311" s="19"/>
      <c r="O311" s="19"/>
    </row>
    <row r="312">
      <c r="G312" s="19"/>
      <c r="K312" s="19"/>
      <c r="O312" s="19"/>
    </row>
    <row r="313">
      <c r="G313" s="19"/>
      <c r="K313" s="19"/>
      <c r="O313" s="19"/>
    </row>
    <row r="314">
      <c r="G314" s="19"/>
      <c r="K314" s="19"/>
      <c r="O314" s="19"/>
    </row>
    <row r="315">
      <c r="G315" s="19"/>
      <c r="K315" s="19"/>
      <c r="O315" s="19"/>
    </row>
    <row r="316">
      <c r="G316" s="19"/>
      <c r="K316" s="19"/>
      <c r="O316" s="19"/>
    </row>
    <row r="317">
      <c r="G317" s="19"/>
      <c r="K317" s="19"/>
      <c r="O317" s="19"/>
    </row>
    <row r="318">
      <c r="G318" s="19"/>
      <c r="K318" s="19"/>
      <c r="O318" s="19"/>
    </row>
    <row r="319">
      <c r="G319" s="19"/>
      <c r="K319" s="19"/>
      <c r="O319" s="19"/>
    </row>
    <row r="320">
      <c r="G320" s="19"/>
      <c r="K320" s="19"/>
      <c r="O320" s="19"/>
    </row>
    <row r="321">
      <c r="G321" s="19"/>
      <c r="K321" s="19"/>
      <c r="O321" s="19"/>
    </row>
    <row r="322">
      <c r="G322" s="19"/>
      <c r="K322" s="19"/>
      <c r="O322" s="19"/>
    </row>
    <row r="323">
      <c r="G323" s="19"/>
      <c r="K323" s="19"/>
      <c r="O323" s="19"/>
    </row>
    <row r="324">
      <c r="G324" s="19"/>
      <c r="K324" s="19"/>
      <c r="O324" s="19"/>
    </row>
    <row r="325">
      <c r="G325" s="19"/>
      <c r="K325" s="19"/>
      <c r="O325" s="19"/>
    </row>
    <row r="326">
      <c r="G326" s="19"/>
      <c r="K326" s="19"/>
      <c r="O326" s="19"/>
    </row>
    <row r="327">
      <c r="G327" s="19"/>
      <c r="K327" s="19"/>
      <c r="O327" s="19"/>
    </row>
    <row r="328">
      <c r="G328" s="19"/>
      <c r="K328" s="19"/>
      <c r="O328" s="19"/>
    </row>
    <row r="329">
      <c r="G329" s="19"/>
      <c r="K329" s="19"/>
      <c r="O329" s="19"/>
    </row>
    <row r="330">
      <c r="G330" s="19"/>
      <c r="K330" s="19"/>
      <c r="O330" s="19"/>
    </row>
    <row r="331">
      <c r="G331" s="19"/>
      <c r="K331" s="19"/>
      <c r="O331" s="19"/>
    </row>
    <row r="332">
      <c r="G332" s="19"/>
      <c r="K332" s="19"/>
      <c r="O332" s="19"/>
    </row>
    <row r="333">
      <c r="G333" s="19"/>
      <c r="K333" s="19"/>
      <c r="O333" s="19"/>
    </row>
    <row r="334">
      <c r="G334" s="19"/>
      <c r="K334" s="19"/>
      <c r="O334" s="19"/>
    </row>
    <row r="335">
      <c r="G335" s="19"/>
      <c r="K335" s="19"/>
      <c r="O335" s="19"/>
    </row>
    <row r="336">
      <c r="G336" s="19"/>
      <c r="K336" s="19"/>
      <c r="O336" s="19"/>
    </row>
    <row r="337">
      <c r="G337" s="19"/>
      <c r="K337" s="19"/>
      <c r="O337" s="19"/>
    </row>
    <row r="338">
      <c r="G338" s="19"/>
      <c r="K338" s="19"/>
      <c r="O338" s="19"/>
    </row>
    <row r="339">
      <c r="G339" s="19"/>
      <c r="K339" s="19"/>
      <c r="O339" s="19"/>
    </row>
    <row r="340">
      <c r="G340" s="19"/>
      <c r="K340" s="19"/>
      <c r="O340" s="19"/>
    </row>
    <row r="341">
      <c r="G341" s="19"/>
      <c r="K341" s="19"/>
      <c r="O341" s="19"/>
    </row>
    <row r="342">
      <c r="G342" s="19"/>
      <c r="K342" s="19"/>
      <c r="O342" s="19"/>
    </row>
    <row r="343">
      <c r="G343" s="19"/>
      <c r="K343" s="19"/>
      <c r="O343" s="19"/>
    </row>
    <row r="344">
      <c r="G344" s="19"/>
      <c r="K344" s="19"/>
      <c r="O344" s="19"/>
    </row>
    <row r="345">
      <c r="G345" s="19"/>
      <c r="K345" s="19"/>
      <c r="O345" s="19"/>
    </row>
    <row r="346">
      <c r="G346" s="19"/>
      <c r="K346" s="19"/>
      <c r="O346" s="19"/>
    </row>
    <row r="347">
      <c r="G347" s="19"/>
      <c r="K347" s="19"/>
      <c r="O347" s="19"/>
    </row>
    <row r="348">
      <c r="G348" s="19"/>
      <c r="K348" s="19"/>
      <c r="O348" s="19"/>
    </row>
    <row r="349">
      <c r="G349" s="19"/>
      <c r="K349" s="19"/>
      <c r="O349" s="19"/>
    </row>
    <row r="350">
      <c r="G350" s="19"/>
      <c r="K350" s="19"/>
      <c r="O350" s="19"/>
    </row>
    <row r="351">
      <c r="G351" s="19"/>
      <c r="K351" s="19"/>
      <c r="O351" s="19"/>
    </row>
    <row r="352">
      <c r="G352" s="19"/>
      <c r="K352" s="19"/>
      <c r="O352" s="19"/>
    </row>
    <row r="353">
      <c r="G353" s="19"/>
      <c r="K353" s="19"/>
      <c r="O353" s="19"/>
    </row>
    <row r="354">
      <c r="G354" s="19"/>
      <c r="K354" s="19"/>
      <c r="O354" s="19"/>
    </row>
    <row r="355">
      <c r="G355" s="19"/>
      <c r="K355" s="19"/>
      <c r="O355" s="19"/>
    </row>
    <row r="356">
      <c r="G356" s="19"/>
      <c r="K356" s="19"/>
      <c r="O356" s="19"/>
    </row>
    <row r="357">
      <c r="G357" s="19"/>
      <c r="K357" s="19"/>
      <c r="O357" s="19"/>
    </row>
    <row r="358">
      <c r="G358" s="19"/>
      <c r="K358" s="19"/>
      <c r="O358" s="19"/>
    </row>
    <row r="359">
      <c r="G359" s="19"/>
      <c r="K359" s="19"/>
      <c r="O359" s="19"/>
    </row>
    <row r="360">
      <c r="G360" s="19"/>
      <c r="K360" s="19"/>
      <c r="O360" s="19"/>
    </row>
    <row r="361">
      <c r="G361" s="19"/>
      <c r="K361" s="19"/>
      <c r="O361" s="19"/>
    </row>
    <row r="362">
      <c r="G362" s="19"/>
      <c r="K362" s="19"/>
      <c r="O362" s="19"/>
    </row>
    <row r="363">
      <c r="G363" s="19"/>
      <c r="K363" s="19"/>
      <c r="O363" s="19"/>
    </row>
    <row r="364">
      <c r="G364" s="19"/>
      <c r="K364" s="19"/>
      <c r="O364" s="19"/>
    </row>
    <row r="365">
      <c r="G365" s="19"/>
      <c r="K365" s="19"/>
      <c r="O365" s="19"/>
    </row>
    <row r="366">
      <c r="G366" s="19"/>
      <c r="K366" s="19"/>
      <c r="O366" s="19"/>
    </row>
    <row r="367">
      <c r="G367" s="19"/>
      <c r="K367" s="19"/>
      <c r="O367" s="19"/>
    </row>
    <row r="368">
      <c r="G368" s="19"/>
      <c r="K368" s="19"/>
      <c r="O368" s="19"/>
    </row>
    <row r="369">
      <c r="G369" s="19"/>
      <c r="K369" s="19"/>
      <c r="O369" s="19"/>
    </row>
    <row r="370">
      <c r="G370" s="19"/>
      <c r="K370" s="19"/>
      <c r="O370" s="19"/>
    </row>
    <row r="371">
      <c r="G371" s="19"/>
      <c r="K371" s="19"/>
      <c r="O371" s="19"/>
    </row>
    <row r="372">
      <c r="G372" s="19"/>
      <c r="K372" s="19"/>
      <c r="O372" s="19"/>
    </row>
    <row r="373">
      <c r="G373" s="19"/>
      <c r="K373" s="19"/>
      <c r="O373" s="19"/>
    </row>
    <row r="374">
      <c r="G374" s="19"/>
      <c r="K374" s="19"/>
      <c r="O374" s="19"/>
    </row>
    <row r="375">
      <c r="G375" s="19"/>
      <c r="K375" s="19"/>
      <c r="O375" s="19"/>
    </row>
    <row r="376">
      <c r="G376" s="19"/>
      <c r="K376" s="19"/>
      <c r="O376" s="19"/>
    </row>
    <row r="377">
      <c r="G377" s="19"/>
      <c r="K377" s="19"/>
      <c r="O377" s="19"/>
    </row>
    <row r="378">
      <c r="G378" s="19"/>
      <c r="K378" s="19"/>
      <c r="O378" s="19"/>
    </row>
    <row r="379">
      <c r="G379" s="19"/>
      <c r="K379" s="19"/>
      <c r="O379" s="19"/>
    </row>
    <row r="380">
      <c r="G380" s="19"/>
      <c r="K380" s="19"/>
      <c r="O380" s="19"/>
    </row>
    <row r="381">
      <c r="G381" s="19"/>
      <c r="K381" s="19"/>
      <c r="O381" s="19"/>
    </row>
    <row r="382">
      <c r="G382" s="19"/>
      <c r="K382" s="19"/>
      <c r="O382" s="19"/>
    </row>
    <row r="383">
      <c r="G383" s="19"/>
      <c r="K383" s="19"/>
      <c r="O383" s="19"/>
    </row>
    <row r="384">
      <c r="G384" s="19"/>
      <c r="K384" s="19"/>
      <c r="O384" s="19"/>
    </row>
    <row r="385">
      <c r="G385" s="19"/>
      <c r="K385" s="19"/>
      <c r="O385" s="19"/>
    </row>
    <row r="386">
      <c r="G386" s="19"/>
      <c r="K386" s="19"/>
      <c r="O386" s="19"/>
    </row>
    <row r="387">
      <c r="G387" s="19"/>
      <c r="K387" s="19"/>
      <c r="O387" s="19"/>
    </row>
    <row r="388">
      <c r="G388" s="19"/>
      <c r="K388" s="19"/>
      <c r="O388" s="19"/>
    </row>
    <row r="389">
      <c r="G389" s="19"/>
      <c r="K389" s="19"/>
      <c r="O389" s="19"/>
    </row>
    <row r="390">
      <c r="G390" s="19"/>
      <c r="K390" s="19"/>
      <c r="O390" s="19"/>
    </row>
    <row r="391">
      <c r="G391" s="19"/>
      <c r="K391" s="19"/>
      <c r="O391" s="19"/>
    </row>
    <row r="392">
      <c r="G392" s="19"/>
      <c r="K392" s="19"/>
      <c r="O392" s="19"/>
    </row>
    <row r="393">
      <c r="G393" s="19"/>
      <c r="K393" s="19"/>
      <c r="O393" s="19"/>
    </row>
    <row r="394">
      <c r="G394" s="19"/>
      <c r="K394" s="19"/>
      <c r="O394" s="19"/>
    </row>
    <row r="395">
      <c r="G395" s="19"/>
      <c r="K395" s="19"/>
      <c r="O395" s="19"/>
    </row>
    <row r="396">
      <c r="G396" s="19"/>
      <c r="K396" s="19"/>
      <c r="O396" s="19"/>
    </row>
    <row r="397">
      <c r="G397" s="19"/>
      <c r="K397" s="19"/>
      <c r="O397" s="19"/>
    </row>
    <row r="398">
      <c r="G398" s="19"/>
      <c r="K398" s="19"/>
      <c r="O398" s="19"/>
    </row>
    <row r="399">
      <c r="G399" s="19"/>
      <c r="K399" s="19"/>
      <c r="O399" s="19"/>
    </row>
    <row r="400">
      <c r="G400" s="19"/>
      <c r="K400" s="19"/>
      <c r="O400" s="19"/>
    </row>
    <row r="401">
      <c r="G401" s="19"/>
      <c r="K401" s="19"/>
      <c r="O401" s="19"/>
    </row>
    <row r="402">
      <c r="G402" s="19"/>
      <c r="K402" s="19"/>
      <c r="O402" s="19"/>
    </row>
    <row r="403">
      <c r="G403" s="19"/>
      <c r="K403" s="19"/>
      <c r="O403" s="19"/>
    </row>
    <row r="404">
      <c r="G404" s="19"/>
      <c r="K404" s="19"/>
      <c r="O404" s="19"/>
    </row>
    <row r="405">
      <c r="G405" s="19"/>
      <c r="K405" s="19"/>
      <c r="O405" s="19"/>
    </row>
    <row r="406">
      <c r="G406" s="19"/>
      <c r="K406" s="19"/>
      <c r="O406" s="19"/>
    </row>
    <row r="407">
      <c r="G407" s="19"/>
      <c r="K407" s="19"/>
      <c r="O407" s="19"/>
    </row>
    <row r="408">
      <c r="G408" s="19"/>
      <c r="K408" s="19"/>
      <c r="O408" s="19"/>
    </row>
    <row r="409">
      <c r="G409" s="19"/>
      <c r="K409" s="19"/>
      <c r="O409" s="19"/>
    </row>
    <row r="410">
      <c r="G410" s="19"/>
      <c r="K410" s="19"/>
      <c r="O410" s="19"/>
    </row>
    <row r="411">
      <c r="G411" s="19"/>
      <c r="K411" s="19"/>
      <c r="O411" s="19"/>
    </row>
    <row r="412">
      <c r="G412" s="19"/>
      <c r="K412" s="19"/>
      <c r="O412" s="19"/>
    </row>
    <row r="413">
      <c r="G413" s="19"/>
      <c r="K413" s="19"/>
      <c r="O413" s="19"/>
    </row>
    <row r="414">
      <c r="G414" s="19"/>
      <c r="K414" s="19"/>
      <c r="O414" s="19"/>
    </row>
    <row r="415">
      <c r="G415" s="19"/>
      <c r="K415" s="19"/>
      <c r="O415" s="19"/>
    </row>
    <row r="416">
      <c r="G416" s="19"/>
      <c r="K416" s="19"/>
      <c r="O416" s="19"/>
    </row>
    <row r="417">
      <c r="G417" s="19"/>
      <c r="K417" s="19"/>
      <c r="O417" s="19"/>
    </row>
    <row r="418">
      <c r="G418" s="19"/>
      <c r="K418" s="19"/>
      <c r="O418" s="19"/>
    </row>
    <row r="419">
      <c r="G419" s="19"/>
      <c r="K419" s="19"/>
      <c r="O419" s="19"/>
    </row>
    <row r="420">
      <c r="G420" s="19"/>
      <c r="K420" s="19"/>
      <c r="O420" s="19"/>
    </row>
    <row r="421">
      <c r="G421" s="19"/>
      <c r="K421" s="19"/>
      <c r="O421" s="19"/>
    </row>
    <row r="422">
      <c r="G422" s="19"/>
      <c r="K422" s="19"/>
      <c r="O422" s="19"/>
    </row>
    <row r="423">
      <c r="G423" s="19"/>
      <c r="K423" s="19"/>
      <c r="O423" s="19"/>
    </row>
    <row r="424">
      <c r="G424" s="19"/>
      <c r="K424" s="19"/>
      <c r="O424" s="19"/>
    </row>
    <row r="425">
      <c r="G425" s="19"/>
      <c r="K425" s="19"/>
      <c r="O425" s="19"/>
    </row>
    <row r="426">
      <c r="G426" s="19"/>
      <c r="K426" s="19"/>
      <c r="O426" s="19"/>
    </row>
    <row r="427">
      <c r="G427" s="19"/>
      <c r="K427" s="19"/>
      <c r="O427" s="19"/>
    </row>
    <row r="428">
      <c r="G428" s="19"/>
      <c r="K428" s="19"/>
      <c r="O428" s="19"/>
    </row>
    <row r="429">
      <c r="G429" s="19"/>
      <c r="K429" s="19"/>
      <c r="O429" s="19"/>
    </row>
    <row r="430">
      <c r="G430" s="19"/>
      <c r="K430" s="19"/>
      <c r="O430" s="19"/>
    </row>
    <row r="431">
      <c r="G431" s="19"/>
      <c r="K431" s="19"/>
      <c r="O431" s="19"/>
    </row>
    <row r="432">
      <c r="G432" s="19"/>
      <c r="K432" s="19"/>
      <c r="O432" s="19"/>
    </row>
    <row r="433">
      <c r="G433" s="19"/>
      <c r="K433" s="19"/>
      <c r="O433" s="19"/>
    </row>
    <row r="434">
      <c r="G434" s="19"/>
      <c r="K434" s="19"/>
      <c r="O434" s="19"/>
    </row>
    <row r="435">
      <c r="G435" s="19"/>
      <c r="K435" s="19"/>
      <c r="O435" s="19"/>
    </row>
    <row r="436">
      <c r="G436" s="19"/>
      <c r="K436" s="19"/>
      <c r="O436" s="19"/>
    </row>
    <row r="437">
      <c r="G437" s="19"/>
      <c r="K437" s="19"/>
      <c r="O437" s="19"/>
    </row>
    <row r="438">
      <c r="G438" s="19"/>
      <c r="K438" s="19"/>
      <c r="O438" s="19"/>
    </row>
    <row r="439">
      <c r="G439" s="19"/>
      <c r="K439" s="19"/>
      <c r="O439" s="19"/>
    </row>
    <row r="440">
      <c r="G440" s="19"/>
      <c r="K440" s="19"/>
      <c r="O440" s="19"/>
    </row>
    <row r="441">
      <c r="G441" s="19"/>
      <c r="K441" s="19"/>
      <c r="O441" s="19"/>
    </row>
    <row r="442">
      <c r="G442" s="19"/>
      <c r="K442" s="19"/>
      <c r="O442" s="19"/>
    </row>
    <row r="443">
      <c r="G443" s="19"/>
      <c r="K443" s="19"/>
      <c r="O443" s="19"/>
    </row>
    <row r="444">
      <c r="G444" s="19"/>
      <c r="K444" s="19"/>
      <c r="O444" s="19"/>
    </row>
    <row r="445">
      <c r="G445" s="19"/>
      <c r="K445" s="19"/>
      <c r="O445" s="19"/>
    </row>
    <row r="446">
      <c r="G446" s="19"/>
      <c r="K446" s="19"/>
      <c r="O446" s="19"/>
    </row>
    <row r="447">
      <c r="G447" s="19"/>
      <c r="K447" s="19"/>
      <c r="O447" s="19"/>
    </row>
    <row r="448">
      <c r="G448" s="19"/>
      <c r="K448" s="19"/>
      <c r="O448" s="19"/>
    </row>
    <row r="449">
      <c r="G449" s="19"/>
      <c r="K449" s="19"/>
      <c r="O449" s="19"/>
    </row>
    <row r="450">
      <c r="G450" s="19"/>
      <c r="K450" s="19"/>
      <c r="O450" s="19"/>
    </row>
    <row r="451">
      <c r="G451" s="19"/>
      <c r="K451" s="19"/>
      <c r="O451" s="19"/>
    </row>
    <row r="452">
      <c r="G452" s="19"/>
      <c r="K452" s="19"/>
      <c r="O452" s="19"/>
    </row>
    <row r="453">
      <c r="G453" s="19"/>
      <c r="K453" s="19"/>
      <c r="O453" s="19"/>
    </row>
    <row r="454">
      <c r="G454" s="19"/>
      <c r="K454" s="19"/>
      <c r="O454" s="19"/>
    </row>
    <row r="455">
      <c r="G455" s="19"/>
      <c r="K455" s="19"/>
      <c r="O455" s="19"/>
    </row>
    <row r="456">
      <c r="G456" s="19"/>
      <c r="K456" s="19"/>
      <c r="O456" s="19"/>
    </row>
    <row r="457">
      <c r="G457" s="19"/>
      <c r="K457" s="19"/>
      <c r="O457" s="19"/>
    </row>
    <row r="458">
      <c r="G458" s="19"/>
      <c r="K458" s="19"/>
      <c r="O458" s="19"/>
    </row>
    <row r="459">
      <c r="G459" s="19"/>
      <c r="K459" s="19"/>
      <c r="O459" s="19"/>
    </row>
    <row r="460">
      <c r="G460" s="19"/>
      <c r="K460" s="19"/>
      <c r="O460" s="19"/>
    </row>
    <row r="461">
      <c r="G461" s="19"/>
      <c r="K461" s="19"/>
      <c r="O461" s="19"/>
    </row>
    <row r="462">
      <c r="G462" s="19"/>
      <c r="K462" s="19"/>
      <c r="O462" s="19"/>
    </row>
    <row r="463">
      <c r="G463" s="19"/>
      <c r="K463" s="19"/>
      <c r="O463" s="19"/>
    </row>
    <row r="464">
      <c r="G464" s="19"/>
      <c r="K464" s="19"/>
      <c r="O464" s="19"/>
    </row>
    <row r="465">
      <c r="G465" s="19"/>
      <c r="K465" s="19"/>
      <c r="O465" s="19"/>
    </row>
    <row r="466">
      <c r="G466" s="19"/>
      <c r="K466" s="19"/>
      <c r="O466" s="19"/>
    </row>
    <row r="467">
      <c r="G467" s="19"/>
      <c r="K467" s="19"/>
      <c r="O467" s="19"/>
    </row>
    <row r="468">
      <c r="G468" s="19"/>
      <c r="K468" s="19"/>
      <c r="O468" s="19"/>
    </row>
    <row r="469">
      <c r="G469" s="19"/>
      <c r="K469" s="19"/>
      <c r="O469" s="19"/>
    </row>
    <row r="470">
      <c r="G470" s="19"/>
      <c r="K470" s="19"/>
      <c r="O470" s="19"/>
    </row>
    <row r="471">
      <c r="G471" s="19"/>
      <c r="K471" s="19"/>
      <c r="O471" s="19"/>
    </row>
    <row r="472">
      <c r="G472" s="19"/>
      <c r="K472" s="19"/>
      <c r="O472" s="19"/>
    </row>
    <row r="473">
      <c r="G473" s="19"/>
      <c r="K473" s="19"/>
      <c r="O473" s="19"/>
    </row>
    <row r="474">
      <c r="G474" s="19"/>
      <c r="K474" s="19"/>
      <c r="O474" s="19"/>
    </row>
    <row r="475">
      <c r="G475" s="19"/>
      <c r="K475" s="19"/>
      <c r="O475" s="19"/>
    </row>
    <row r="476">
      <c r="G476" s="19"/>
      <c r="K476" s="19"/>
      <c r="O476" s="19"/>
    </row>
    <row r="477">
      <c r="G477" s="19"/>
      <c r="K477" s="19"/>
      <c r="O477" s="19"/>
    </row>
    <row r="478">
      <c r="G478" s="19"/>
      <c r="K478" s="19"/>
      <c r="O478" s="19"/>
    </row>
    <row r="479">
      <c r="G479" s="19"/>
      <c r="K479" s="19"/>
      <c r="O479" s="19"/>
    </row>
    <row r="480">
      <c r="G480" s="19"/>
      <c r="K480" s="19"/>
      <c r="O480" s="19"/>
    </row>
    <row r="481">
      <c r="G481" s="19"/>
      <c r="K481" s="19"/>
      <c r="O481" s="19"/>
    </row>
    <row r="482">
      <c r="G482" s="19"/>
      <c r="K482" s="19"/>
      <c r="O482" s="19"/>
    </row>
    <row r="483">
      <c r="G483" s="19"/>
      <c r="K483" s="19"/>
      <c r="O483" s="19"/>
    </row>
    <row r="484">
      <c r="G484" s="19"/>
      <c r="K484" s="19"/>
      <c r="O484" s="19"/>
    </row>
    <row r="485">
      <c r="G485" s="19"/>
      <c r="K485" s="19"/>
      <c r="O485" s="19"/>
    </row>
    <row r="486">
      <c r="G486" s="19"/>
      <c r="K486" s="19"/>
      <c r="O486" s="19"/>
    </row>
    <row r="487">
      <c r="G487" s="19"/>
      <c r="K487" s="19"/>
      <c r="O487" s="19"/>
    </row>
    <row r="488">
      <c r="G488" s="19"/>
      <c r="K488" s="19"/>
      <c r="O488" s="19"/>
    </row>
    <row r="489">
      <c r="G489" s="19"/>
      <c r="K489" s="19"/>
      <c r="O489" s="19"/>
    </row>
    <row r="490">
      <c r="G490" s="19"/>
      <c r="K490" s="19"/>
      <c r="O490" s="19"/>
    </row>
    <row r="491">
      <c r="G491" s="19"/>
      <c r="K491" s="19"/>
      <c r="O491" s="19"/>
    </row>
    <row r="492">
      <c r="G492" s="19"/>
      <c r="K492" s="19"/>
      <c r="O492" s="19"/>
    </row>
    <row r="493">
      <c r="G493" s="19"/>
      <c r="K493" s="19"/>
      <c r="O493" s="19"/>
    </row>
    <row r="494">
      <c r="G494" s="19"/>
      <c r="K494" s="19"/>
      <c r="O494" s="19"/>
    </row>
    <row r="495">
      <c r="G495" s="19"/>
      <c r="K495" s="19"/>
      <c r="O495" s="19"/>
    </row>
    <row r="496">
      <c r="G496" s="19"/>
      <c r="K496" s="19"/>
      <c r="O496" s="19"/>
    </row>
    <row r="497">
      <c r="G497" s="19"/>
      <c r="K497" s="19"/>
      <c r="O497" s="19"/>
    </row>
    <row r="498">
      <c r="G498" s="19"/>
      <c r="K498" s="19"/>
      <c r="O498" s="19"/>
    </row>
    <row r="499">
      <c r="G499" s="19"/>
      <c r="K499" s="19"/>
      <c r="O499" s="19"/>
    </row>
    <row r="500">
      <c r="G500" s="19"/>
      <c r="K500" s="19"/>
      <c r="O500" s="19"/>
    </row>
    <row r="501">
      <c r="G501" s="19"/>
      <c r="K501" s="19"/>
      <c r="O501" s="19"/>
    </row>
    <row r="502">
      <c r="G502" s="19"/>
      <c r="K502" s="19"/>
      <c r="O502" s="19"/>
    </row>
    <row r="503">
      <c r="G503" s="19"/>
      <c r="K503" s="19"/>
      <c r="O503" s="19"/>
    </row>
    <row r="504">
      <c r="G504" s="19"/>
      <c r="K504" s="19"/>
      <c r="O504" s="19"/>
    </row>
    <row r="505">
      <c r="G505" s="19"/>
      <c r="K505" s="19"/>
      <c r="O505" s="19"/>
    </row>
    <row r="506">
      <c r="G506" s="19"/>
      <c r="K506" s="19"/>
      <c r="O506" s="19"/>
    </row>
    <row r="507">
      <c r="G507" s="19"/>
      <c r="K507" s="19"/>
      <c r="O507" s="19"/>
    </row>
    <row r="508">
      <c r="G508" s="19"/>
      <c r="K508" s="19"/>
      <c r="O508" s="19"/>
    </row>
    <row r="509">
      <c r="G509" s="19"/>
      <c r="K509" s="19"/>
      <c r="O509" s="19"/>
    </row>
    <row r="510">
      <c r="G510" s="19"/>
      <c r="K510" s="19"/>
      <c r="O510" s="19"/>
    </row>
    <row r="511">
      <c r="G511" s="19"/>
      <c r="K511" s="19"/>
      <c r="O511" s="19"/>
    </row>
    <row r="512">
      <c r="G512" s="19"/>
      <c r="K512" s="19"/>
      <c r="O512" s="19"/>
    </row>
    <row r="513">
      <c r="G513" s="19"/>
      <c r="K513" s="19"/>
      <c r="O513" s="19"/>
    </row>
    <row r="514">
      <c r="G514" s="19"/>
      <c r="K514" s="19"/>
      <c r="O514" s="19"/>
    </row>
    <row r="515">
      <c r="G515" s="19"/>
      <c r="K515" s="19"/>
      <c r="O515" s="19"/>
    </row>
    <row r="516">
      <c r="G516" s="19"/>
      <c r="K516" s="19"/>
      <c r="O516" s="19"/>
    </row>
    <row r="517">
      <c r="G517" s="19"/>
      <c r="K517" s="19"/>
      <c r="O517" s="19"/>
    </row>
    <row r="518">
      <c r="G518" s="19"/>
      <c r="K518" s="19"/>
      <c r="O518" s="19"/>
    </row>
    <row r="519">
      <c r="G519" s="19"/>
      <c r="K519" s="19"/>
      <c r="O519" s="19"/>
    </row>
    <row r="520">
      <c r="G520" s="19"/>
      <c r="K520" s="19"/>
      <c r="O520" s="19"/>
    </row>
    <row r="521">
      <c r="G521" s="19"/>
      <c r="K521" s="19"/>
      <c r="O521" s="19"/>
    </row>
    <row r="522">
      <c r="G522" s="19"/>
      <c r="K522" s="19"/>
      <c r="O522" s="19"/>
    </row>
    <row r="523">
      <c r="G523" s="19"/>
      <c r="K523" s="19"/>
      <c r="O523" s="19"/>
    </row>
    <row r="524">
      <c r="G524" s="19"/>
      <c r="K524" s="19"/>
      <c r="O524" s="19"/>
    </row>
    <row r="525">
      <c r="G525" s="19"/>
      <c r="K525" s="19"/>
      <c r="O525" s="19"/>
    </row>
    <row r="526">
      <c r="G526" s="19"/>
      <c r="K526" s="19"/>
      <c r="O526" s="19"/>
    </row>
    <row r="527">
      <c r="G527" s="19"/>
      <c r="K527" s="19"/>
      <c r="O527" s="19"/>
    </row>
    <row r="528">
      <c r="G528" s="19"/>
      <c r="K528" s="19"/>
      <c r="O528" s="19"/>
    </row>
    <row r="529">
      <c r="G529" s="19"/>
      <c r="K529" s="19"/>
      <c r="O529" s="19"/>
    </row>
    <row r="530">
      <c r="G530" s="19"/>
      <c r="K530" s="19"/>
      <c r="O530" s="19"/>
    </row>
    <row r="531">
      <c r="G531" s="19"/>
      <c r="K531" s="19"/>
      <c r="O531" s="19"/>
    </row>
    <row r="532">
      <c r="G532" s="19"/>
      <c r="K532" s="19"/>
      <c r="O532" s="19"/>
    </row>
    <row r="533">
      <c r="G533" s="19"/>
      <c r="K533" s="19"/>
      <c r="O533" s="19"/>
    </row>
    <row r="534">
      <c r="G534" s="19"/>
      <c r="K534" s="19"/>
      <c r="O534" s="19"/>
    </row>
    <row r="535">
      <c r="G535" s="19"/>
      <c r="K535" s="19"/>
      <c r="O535" s="19"/>
    </row>
    <row r="536">
      <c r="G536" s="19"/>
      <c r="K536" s="19"/>
      <c r="O536" s="19"/>
    </row>
    <row r="537">
      <c r="G537" s="19"/>
      <c r="K537" s="19"/>
      <c r="O537" s="19"/>
    </row>
    <row r="538">
      <c r="G538" s="19"/>
      <c r="K538" s="19"/>
      <c r="O538" s="19"/>
    </row>
    <row r="539">
      <c r="G539" s="19"/>
      <c r="K539" s="19"/>
      <c r="O539" s="19"/>
    </row>
    <row r="540">
      <c r="G540" s="19"/>
      <c r="K540" s="19"/>
      <c r="O540" s="19"/>
    </row>
    <row r="541">
      <c r="G541" s="19"/>
      <c r="K541" s="19"/>
      <c r="O541" s="19"/>
    </row>
    <row r="542">
      <c r="G542" s="19"/>
      <c r="K542" s="19"/>
      <c r="O542" s="19"/>
    </row>
    <row r="543">
      <c r="G543" s="19"/>
      <c r="K543" s="19"/>
      <c r="O543" s="19"/>
    </row>
    <row r="544">
      <c r="G544" s="19"/>
      <c r="K544" s="19"/>
      <c r="O544" s="19"/>
    </row>
    <row r="545">
      <c r="G545" s="19"/>
      <c r="K545" s="19"/>
      <c r="O545" s="19"/>
    </row>
    <row r="546">
      <c r="G546" s="19"/>
      <c r="K546" s="19"/>
      <c r="O546" s="19"/>
    </row>
    <row r="547">
      <c r="G547" s="19"/>
      <c r="K547" s="19"/>
      <c r="O547" s="19"/>
    </row>
    <row r="548">
      <c r="G548" s="19"/>
      <c r="K548" s="19"/>
      <c r="O548" s="19"/>
    </row>
    <row r="549">
      <c r="G549" s="19"/>
      <c r="K549" s="19"/>
      <c r="O549" s="19"/>
    </row>
    <row r="550">
      <c r="G550" s="19"/>
      <c r="K550" s="19"/>
      <c r="O550" s="19"/>
    </row>
    <row r="551">
      <c r="G551" s="19"/>
      <c r="K551" s="19"/>
      <c r="O551" s="19"/>
    </row>
    <row r="552">
      <c r="G552" s="19"/>
      <c r="K552" s="19"/>
      <c r="O552" s="19"/>
    </row>
    <row r="553">
      <c r="G553" s="19"/>
      <c r="K553" s="19"/>
      <c r="O553" s="19"/>
    </row>
    <row r="554">
      <c r="G554" s="19"/>
      <c r="K554" s="19"/>
      <c r="O554" s="19"/>
    </row>
    <row r="555">
      <c r="G555" s="19"/>
      <c r="K555" s="19"/>
      <c r="O555" s="19"/>
    </row>
    <row r="556">
      <c r="G556" s="19"/>
      <c r="K556" s="19"/>
      <c r="O556" s="19"/>
    </row>
    <row r="557">
      <c r="G557" s="19"/>
      <c r="K557" s="19"/>
      <c r="O557" s="19"/>
    </row>
    <row r="558">
      <c r="G558" s="19"/>
      <c r="K558" s="19"/>
      <c r="O558" s="19"/>
    </row>
    <row r="559">
      <c r="G559" s="19"/>
      <c r="K559" s="19"/>
      <c r="O559" s="19"/>
    </row>
    <row r="560">
      <c r="G560" s="19"/>
      <c r="K560" s="19"/>
      <c r="O560" s="19"/>
    </row>
    <row r="561">
      <c r="G561" s="19"/>
      <c r="K561" s="19"/>
      <c r="O561" s="19"/>
    </row>
    <row r="562">
      <c r="G562" s="19"/>
      <c r="K562" s="19"/>
      <c r="O562" s="19"/>
    </row>
    <row r="563">
      <c r="G563" s="19"/>
      <c r="K563" s="19"/>
      <c r="O563" s="19"/>
    </row>
    <row r="564">
      <c r="G564" s="19"/>
      <c r="K564" s="19"/>
      <c r="O564" s="19"/>
    </row>
    <row r="565">
      <c r="G565" s="19"/>
      <c r="K565" s="19"/>
      <c r="O565" s="19"/>
    </row>
    <row r="566">
      <c r="G566" s="19"/>
      <c r="K566" s="19"/>
      <c r="O566" s="19"/>
    </row>
    <row r="567">
      <c r="G567" s="19"/>
      <c r="K567" s="19"/>
      <c r="O567" s="19"/>
    </row>
    <row r="568">
      <c r="G568" s="19"/>
      <c r="K568" s="19"/>
      <c r="O568" s="19"/>
    </row>
    <row r="569">
      <c r="G569" s="19"/>
      <c r="K569" s="19"/>
      <c r="O569" s="19"/>
    </row>
    <row r="570">
      <c r="G570" s="19"/>
      <c r="K570" s="19"/>
      <c r="O570" s="19"/>
    </row>
    <row r="571">
      <c r="G571" s="19"/>
      <c r="K571" s="19"/>
      <c r="O571" s="19"/>
    </row>
    <row r="572">
      <c r="G572" s="19"/>
      <c r="K572" s="19"/>
      <c r="O572" s="19"/>
    </row>
    <row r="573">
      <c r="G573" s="19"/>
      <c r="K573" s="19"/>
      <c r="O573" s="19"/>
    </row>
    <row r="574">
      <c r="G574" s="19"/>
      <c r="K574" s="19"/>
      <c r="O574" s="19"/>
    </row>
    <row r="575">
      <c r="G575" s="19"/>
      <c r="K575" s="19"/>
      <c r="O575" s="19"/>
    </row>
    <row r="576">
      <c r="G576" s="19"/>
      <c r="K576" s="19"/>
      <c r="O576" s="19"/>
    </row>
    <row r="577">
      <c r="G577" s="19"/>
      <c r="K577" s="19"/>
      <c r="O577" s="19"/>
    </row>
    <row r="578">
      <c r="G578" s="19"/>
      <c r="K578" s="19"/>
      <c r="O578" s="19"/>
    </row>
    <row r="579">
      <c r="G579" s="19"/>
      <c r="K579" s="19"/>
      <c r="O579" s="19"/>
    </row>
    <row r="580">
      <c r="G580" s="19"/>
      <c r="K580" s="19"/>
      <c r="O580" s="19"/>
    </row>
    <row r="581">
      <c r="G581" s="19"/>
      <c r="K581" s="19"/>
      <c r="O581" s="19"/>
    </row>
    <row r="582">
      <c r="G582" s="19"/>
      <c r="K582" s="19"/>
      <c r="O582" s="19"/>
    </row>
    <row r="583">
      <c r="G583" s="19"/>
      <c r="K583" s="19"/>
      <c r="O583" s="19"/>
    </row>
    <row r="584">
      <c r="G584" s="19"/>
      <c r="K584" s="19"/>
      <c r="O584" s="19"/>
    </row>
    <row r="585">
      <c r="G585" s="19"/>
      <c r="K585" s="19"/>
      <c r="O585" s="19"/>
    </row>
    <row r="586">
      <c r="G586" s="19"/>
      <c r="K586" s="19"/>
      <c r="O586" s="19"/>
    </row>
    <row r="587">
      <c r="G587" s="19"/>
      <c r="K587" s="19"/>
      <c r="O587" s="19"/>
    </row>
    <row r="588">
      <c r="G588" s="19"/>
      <c r="K588" s="19"/>
      <c r="O588" s="19"/>
    </row>
    <row r="589">
      <c r="G589" s="19"/>
      <c r="K589" s="19"/>
      <c r="O589" s="19"/>
    </row>
    <row r="590">
      <c r="G590" s="19"/>
      <c r="K590" s="19"/>
      <c r="O590" s="19"/>
    </row>
    <row r="591">
      <c r="G591" s="19"/>
      <c r="K591" s="19"/>
      <c r="O591" s="19"/>
    </row>
    <row r="592">
      <c r="G592" s="19"/>
      <c r="K592" s="19"/>
      <c r="O592" s="19"/>
    </row>
    <row r="593">
      <c r="G593" s="19"/>
      <c r="K593" s="19"/>
      <c r="O593" s="19"/>
    </row>
    <row r="594">
      <c r="G594" s="19"/>
      <c r="K594" s="19"/>
      <c r="O594" s="19"/>
    </row>
    <row r="595">
      <c r="G595" s="19"/>
      <c r="K595" s="19"/>
      <c r="O595" s="19"/>
    </row>
    <row r="596">
      <c r="G596" s="19"/>
      <c r="K596" s="19"/>
      <c r="O596" s="19"/>
    </row>
    <row r="597">
      <c r="G597" s="19"/>
      <c r="K597" s="19"/>
      <c r="O597" s="19"/>
    </row>
    <row r="598">
      <c r="G598" s="19"/>
      <c r="K598" s="19"/>
      <c r="O598" s="19"/>
    </row>
    <row r="599">
      <c r="G599" s="19"/>
      <c r="K599" s="19"/>
      <c r="O599" s="19"/>
    </row>
    <row r="600">
      <c r="G600" s="19"/>
      <c r="K600" s="19"/>
      <c r="O600" s="19"/>
    </row>
    <row r="601">
      <c r="G601" s="19"/>
      <c r="K601" s="19"/>
      <c r="O601" s="19"/>
    </row>
    <row r="602">
      <c r="G602" s="19"/>
      <c r="K602" s="19"/>
      <c r="O602" s="19"/>
    </row>
    <row r="603">
      <c r="G603" s="19"/>
      <c r="K603" s="19"/>
      <c r="O603" s="19"/>
    </row>
    <row r="604">
      <c r="G604" s="19"/>
      <c r="K604" s="19"/>
      <c r="O604" s="19"/>
    </row>
    <row r="605">
      <c r="G605" s="19"/>
      <c r="K605" s="19"/>
      <c r="O605" s="19"/>
    </row>
    <row r="606">
      <c r="G606" s="19"/>
      <c r="K606" s="19"/>
      <c r="O606" s="19"/>
    </row>
    <row r="607">
      <c r="G607" s="19"/>
      <c r="K607" s="19"/>
      <c r="O607" s="19"/>
    </row>
    <row r="608">
      <c r="G608" s="19"/>
      <c r="K608" s="19"/>
      <c r="O608" s="19"/>
    </row>
    <row r="609">
      <c r="G609" s="19"/>
      <c r="K609" s="19"/>
      <c r="O609" s="19"/>
    </row>
    <row r="610">
      <c r="G610" s="19"/>
      <c r="K610" s="19"/>
      <c r="O610" s="19"/>
    </row>
    <row r="611">
      <c r="G611" s="19"/>
      <c r="K611" s="19"/>
      <c r="O611" s="19"/>
    </row>
    <row r="612">
      <c r="G612" s="19"/>
      <c r="K612" s="19"/>
      <c r="O612" s="19"/>
    </row>
    <row r="613">
      <c r="G613" s="19"/>
      <c r="K613" s="19"/>
      <c r="O613" s="19"/>
    </row>
    <row r="614">
      <c r="G614" s="19"/>
      <c r="K614" s="19"/>
      <c r="O614" s="19"/>
    </row>
    <row r="615">
      <c r="G615" s="19"/>
      <c r="K615" s="19"/>
      <c r="O615" s="19"/>
    </row>
    <row r="616">
      <c r="G616" s="19"/>
      <c r="K616" s="19"/>
      <c r="O616" s="19"/>
    </row>
    <row r="617">
      <c r="G617" s="19"/>
      <c r="K617" s="19"/>
      <c r="O617" s="19"/>
    </row>
    <row r="618">
      <c r="G618" s="19"/>
      <c r="K618" s="19"/>
      <c r="O618" s="19"/>
    </row>
    <row r="619">
      <c r="G619" s="19"/>
      <c r="K619" s="19"/>
      <c r="O619" s="19"/>
    </row>
    <row r="620">
      <c r="G620" s="19"/>
      <c r="K620" s="19"/>
      <c r="O620" s="19"/>
    </row>
    <row r="621">
      <c r="G621" s="19"/>
      <c r="K621" s="19"/>
      <c r="O621" s="19"/>
    </row>
    <row r="622">
      <c r="G622" s="19"/>
      <c r="K622" s="19"/>
      <c r="O622" s="19"/>
    </row>
    <row r="623">
      <c r="G623" s="19"/>
      <c r="K623" s="19"/>
      <c r="O623" s="19"/>
    </row>
    <row r="624">
      <c r="G624" s="19"/>
      <c r="K624" s="19"/>
      <c r="O624" s="19"/>
    </row>
    <row r="625">
      <c r="G625" s="19"/>
      <c r="K625" s="19"/>
      <c r="O625" s="19"/>
    </row>
    <row r="626">
      <c r="G626" s="19"/>
      <c r="K626" s="19"/>
      <c r="O626" s="19"/>
    </row>
    <row r="627">
      <c r="G627" s="19"/>
      <c r="K627" s="19"/>
      <c r="O627" s="19"/>
    </row>
    <row r="628">
      <c r="G628" s="19"/>
      <c r="K628" s="19"/>
      <c r="O628" s="19"/>
    </row>
    <row r="629">
      <c r="G629" s="19"/>
      <c r="K629" s="19"/>
      <c r="O629" s="19"/>
    </row>
    <row r="630">
      <c r="G630" s="19"/>
      <c r="K630" s="19"/>
      <c r="O630" s="19"/>
    </row>
    <row r="631">
      <c r="G631" s="19"/>
      <c r="K631" s="19"/>
      <c r="O631" s="19"/>
    </row>
    <row r="632">
      <c r="G632" s="19"/>
      <c r="K632" s="19"/>
      <c r="O632" s="19"/>
    </row>
    <row r="633">
      <c r="G633" s="19"/>
      <c r="K633" s="19"/>
      <c r="O633" s="19"/>
    </row>
    <row r="634">
      <c r="G634" s="19"/>
      <c r="K634" s="19"/>
      <c r="O634" s="19"/>
    </row>
    <row r="635">
      <c r="G635" s="19"/>
      <c r="K635" s="19"/>
      <c r="O635" s="19"/>
    </row>
    <row r="636">
      <c r="G636" s="19"/>
      <c r="K636" s="19"/>
      <c r="O636" s="19"/>
    </row>
    <row r="637">
      <c r="G637" s="19"/>
      <c r="K637" s="19"/>
      <c r="O637" s="19"/>
    </row>
    <row r="638">
      <c r="G638" s="19"/>
      <c r="K638" s="19"/>
      <c r="O638" s="19"/>
    </row>
    <row r="639">
      <c r="G639" s="19"/>
      <c r="K639" s="19"/>
      <c r="O639" s="19"/>
    </row>
    <row r="640">
      <c r="G640" s="19"/>
      <c r="K640" s="19"/>
      <c r="O640" s="19"/>
    </row>
    <row r="641">
      <c r="G641" s="19"/>
      <c r="K641" s="19"/>
      <c r="O641" s="19"/>
    </row>
    <row r="642">
      <c r="G642" s="19"/>
      <c r="K642" s="19"/>
      <c r="O642" s="19"/>
    </row>
    <row r="643">
      <c r="G643" s="19"/>
      <c r="K643" s="19"/>
      <c r="O643" s="19"/>
    </row>
    <row r="644">
      <c r="G644" s="19"/>
      <c r="K644" s="19"/>
      <c r="O644" s="19"/>
    </row>
    <row r="645">
      <c r="G645" s="19"/>
      <c r="K645" s="19"/>
      <c r="O645" s="19"/>
    </row>
    <row r="646">
      <c r="G646" s="19"/>
      <c r="K646" s="19"/>
      <c r="O646" s="19"/>
    </row>
    <row r="647">
      <c r="G647" s="19"/>
      <c r="K647" s="19"/>
      <c r="O647" s="19"/>
    </row>
    <row r="648">
      <c r="G648" s="19"/>
      <c r="K648" s="19"/>
      <c r="O648" s="19"/>
    </row>
    <row r="649">
      <c r="G649" s="19"/>
      <c r="K649" s="19"/>
      <c r="O649" s="19"/>
    </row>
    <row r="650">
      <c r="G650" s="19"/>
      <c r="K650" s="19"/>
      <c r="O650" s="19"/>
    </row>
    <row r="651">
      <c r="G651" s="19"/>
      <c r="K651" s="19"/>
      <c r="O651" s="19"/>
    </row>
    <row r="652">
      <c r="G652" s="19"/>
      <c r="K652" s="19"/>
      <c r="O652" s="19"/>
    </row>
    <row r="653">
      <c r="G653" s="19"/>
      <c r="K653" s="19"/>
      <c r="O653" s="19"/>
    </row>
    <row r="654">
      <c r="G654" s="19"/>
      <c r="K654" s="19"/>
      <c r="O654" s="19"/>
    </row>
    <row r="655">
      <c r="G655" s="19"/>
      <c r="K655" s="19"/>
      <c r="O655" s="19"/>
    </row>
    <row r="656">
      <c r="G656" s="19"/>
      <c r="K656" s="19"/>
      <c r="O656" s="19"/>
    </row>
    <row r="657">
      <c r="G657" s="19"/>
      <c r="K657" s="19"/>
      <c r="O657" s="19"/>
    </row>
    <row r="658">
      <c r="G658" s="19"/>
      <c r="K658" s="19"/>
      <c r="O658" s="19"/>
    </row>
    <row r="659">
      <c r="G659" s="19"/>
      <c r="K659" s="19"/>
      <c r="O659" s="19"/>
    </row>
    <row r="660">
      <c r="G660" s="19"/>
      <c r="K660" s="19"/>
      <c r="O660" s="19"/>
    </row>
    <row r="661">
      <c r="G661" s="19"/>
      <c r="K661" s="19"/>
      <c r="O661" s="19"/>
    </row>
    <row r="662">
      <c r="G662" s="19"/>
      <c r="K662" s="19"/>
      <c r="O662" s="19"/>
    </row>
    <row r="663">
      <c r="G663" s="19"/>
      <c r="K663" s="19"/>
      <c r="O663" s="19"/>
    </row>
    <row r="664">
      <c r="G664" s="19"/>
      <c r="K664" s="19"/>
      <c r="O664" s="19"/>
    </row>
    <row r="665">
      <c r="G665" s="19"/>
      <c r="K665" s="19"/>
      <c r="O665" s="19"/>
    </row>
    <row r="666">
      <c r="G666" s="19"/>
      <c r="K666" s="19"/>
      <c r="O666" s="19"/>
    </row>
    <row r="667">
      <c r="G667" s="19"/>
      <c r="K667" s="19"/>
      <c r="O667" s="19"/>
    </row>
    <row r="668">
      <c r="G668" s="19"/>
      <c r="K668" s="19"/>
      <c r="O668" s="19"/>
    </row>
    <row r="669">
      <c r="G669" s="19"/>
      <c r="K669" s="19"/>
      <c r="O669" s="19"/>
    </row>
    <row r="670">
      <c r="G670" s="19"/>
      <c r="K670" s="19"/>
      <c r="O670" s="19"/>
    </row>
    <row r="671">
      <c r="G671" s="19"/>
      <c r="K671" s="19"/>
      <c r="O671" s="19"/>
    </row>
    <row r="672">
      <c r="G672" s="19"/>
      <c r="K672" s="19"/>
      <c r="O672" s="19"/>
    </row>
    <row r="673">
      <c r="G673" s="19"/>
      <c r="K673" s="19"/>
      <c r="O673" s="19"/>
    </row>
    <row r="674">
      <c r="G674" s="19"/>
      <c r="K674" s="19"/>
      <c r="O674" s="19"/>
    </row>
    <row r="675">
      <c r="G675" s="19"/>
      <c r="K675" s="19"/>
      <c r="O675" s="19"/>
    </row>
    <row r="676">
      <c r="G676" s="19"/>
      <c r="K676" s="19"/>
      <c r="O676" s="19"/>
    </row>
    <row r="677">
      <c r="G677" s="19"/>
      <c r="K677" s="19"/>
      <c r="O677" s="19"/>
    </row>
    <row r="678">
      <c r="G678" s="19"/>
      <c r="K678" s="19"/>
      <c r="O678" s="19"/>
    </row>
    <row r="679">
      <c r="G679" s="19"/>
      <c r="K679" s="19"/>
      <c r="O679" s="19"/>
    </row>
    <row r="680">
      <c r="G680" s="19"/>
      <c r="K680" s="19"/>
      <c r="O680" s="19"/>
    </row>
    <row r="681">
      <c r="G681" s="19"/>
      <c r="K681" s="19"/>
      <c r="O681" s="19"/>
    </row>
    <row r="682">
      <c r="G682" s="19"/>
      <c r="K682" s="19"/>
      <c r="O682" s="19"/>
    </row>
    <row r="683">
      <c r="G683" s="19"/>
      <c r="K683" s="19"/>
      <c r="O683" s="19"/>
    </row>
    <row r="684">
      <c r="G684" s="19"/>
      <c r="K684" s="19"/>
      <c r="O684" s="19"/>
    </row>
    <row r="685">
      <c r="G685" s="19"/>
      <c r="K685" s="19"/>
      <c r="O685" s="19"/>
    </row>
    <row r="686">
      <c r="G686" s="19"/>
      <c r="K686" s="19"/>
      <c r="O686" s="19"/>
    </row>
    <row r="687">
      <c r="G687" s="19"/>
      <c r="K687" s="19"/>
      <c r="O687" s="19"/>
    </row>
    <row r="688">
      <c r="G688" s="19"/>
      <c r="K688" s="19"/>
      <c r="O688" s="19"/>
    </row>
    <row r="689">
      <c r="G689" s="19"/>
      <c r="K689" s="19"/>
      <c r="O689" s="19"/>
    </row>
    <row r="690">
      <c r="G690" s="19"/>
      <c r="K690" s="19"/>
      <c r="O690" s="19"/>
    </row>
    <row r="691">
      <c r="G691" s="19"/>
      <c r="K691" s="19"/>
      <c r="O691" s="19"/>
    </row>
    <row r="692">
      <c r="G692" s="19"/>
      <c r="K692" s="19"/>
      <c r="O692" s="19"/>
    </row>
    <row r="693">
      <c r="G693" s="19"/>
      <c r="K693" s="19"/>
      <c r="O693" s="19"/>
    </row>
    <row r="694">
      <c r="G694" s="19"/>
      <c r="K694" s="19"/>
      <c r="O694" s="19"/>
    </row>
    <row r="695">
      <c r="G695" s="19"/>
      <c r="K695" s="19"/>
      <c r="O695" s="19"/>
    </row>
    <row r="696">
      <c r="G696" s="19"/>
      <c r="K696" s="19"/>
      <c r="O696" s="19"/>
    </row>
    <row r="697">
      <c r="G697" s="19"/>
      <c r="K697" s="19"/>
      <c r="O697" s="19"/>
    </row>
    <row r="698">
      <c r="G698" s="19"/>
      <c r="K698" s="19"/>
      <c r="O698" s="19"/>
    </row>
    <row r="699">
      <c r="G699" s="19"/>
      <c r="K699" s="19"/>
      <c r="O699" s="19"/>
    </row>
    <row r="700">
      <c r="G700" s="19"/>
      <c r="K700" s="19"/>
      <c r="O700" s="19"/>
    </row>
    <row r="701">
      <c r="G701" s="19"/>
      <c r="K701" s="19"/>
      <c r="O701" s="19"/>
    </row>
    <row r="702">
      <c r="G702" s="19"/>
      <c r="K702" s="19"/>
      <c r="O702" s="19"/>
    </row>
    <row r="703">
      <c r="G703" s="19"/>
      <c r="K703" s="19"/>
      <c r="O703" s="19"/>
    </row>
    <row r="704">
      <c r="G704" s="19"/>
      <c r="K704" s="19"/>
      <c r="O704" s="19"/>
    </row>
    <row r="705">
      <c r="G705" s="19"/>
      <c r="K705" s="19"/>
      <c r="O705" s="19"/>
    </row>
    <row r="706">
      <c r="G706" s="19"/>
      <c r="K706" s="19"/>
      <c r="O706" s="19"/>
    </row>
    <row r="707">
      <c r="G707" s="19"/>
      <c r="K707" s="19"/>
      <c r="O707" s="19"/>
    </row>
    <row r="708">
      <c r="G708" s="19"/>
      <c r="K708" s="19"/>
      <c r="O708" s="19"/>
    </row>
    <row r="709">
      <c r="G709" s="19"/>
      <c r="K709" s="19"/>
      <c r="O709" s="19"/>
    </row>
    <row r="710">
      <c r="G710" s="19"/>
      <c r="K710" s="19"/>
      <c r="O710" s="19"/>
    </row>
    <row r="711">
      <c r="G711" s="19"/>
      <c r="K711" s="19"/>
      <c r="O711" s="19"/>
    </row>
    <row r="712">
      <c r="G712" s="19"/>
      <c r="K712" s="19"/>
      <c r="O712" s="19"/>
    </row>
    <row r="713">
      <c r="G713" s="19"/>
      <c r="K713" s="19"/>
      <c r="O713" s="19"/>
    </row>
    <row r="714">
      <c r="G714" s="19"/>
      <c r="K714" s="19"/>
      <c r="O714" s="19"/>
    </row>
    <row r="715">
      <c r="G715" s="19"/>
      <c r="K715" s="19"/>
      <c r="O715" s="19"/>
    </row>
    <row r="716">
      <c r="G716" s="19"/>
      <c r="K716" s="19"/>
      <c r="O716" s="19"/>
    </row>
    <row r="717">
      <c r="G717" s="19"/>
      <c r="K717" s="19"/>
      <c r="O717" s="19"/>
    </row>
    <row r="718">
      <c r="G718" s="19"/>
      <c r="K718" s="19"/>
      <c r="O718" s="19"/>
    </row>
    <row r="719">
      <c r="G719" s="19"/>
      <c r="K719" s="19"/>
      <c r="O719" s="19"/>
    </row>
    <row r="720">
      <c r="G720" s="19"/>
      <c r="K720" s="19"/>
      <c r="O720" s="19"/>
    </row>
    <row r="721">
      <c r="G721" s="19"/>
      <c r="K721" s="19"/>
      <c r="O721" s="19"/>
    </row>
    <row r="722">
      <c r="G722" s="19"/>
      <c r="K722" s="19"/>
      <c r="O722" s="19"/>
    </row>
    <row r="723">
      <c r="G723" s="19"/>
      <c r="K723" s="19"/>
      <c r="O723" s="19"/>
    </row>
    <row r="724">
      <c r="G724" s="19"/>
      <c r="K724" s="19"/>
      <c r="O724" s="19"/>
    </row>
    <row r="725">
      <c r="G725" s="19"/>
      <c r="K725" s="19"/>
      <c r="O725" s="19"/>
    </row>
    <row r="726">
      <c r="G726" s="19"/>
      <c r="K726" s="19"/>
      <c r="O726" s="19"/>
    </row>
    <row r="727">
      <c r="G727" s="19"/>
      <c r="K727" s="19"/>
      <c r="O727" s="19"/>
    </row>
    <row r="728">
      <c r="G728" s="19"/>
      <c r="K728" s="19"/>
      <c r="O728" s="19"/>
    </row>
    <row r="729">
      <c r="G729" s="19"/>
      <c r="K729" s="19"/>
      <c r="O729" s="19"/>
    </row>
    <row r="730">
      <c r="G730" s="19"/>
      <c r="K730" s="19"/>
      <c r="O730" s="19"/>
    </row>
    <row r="731">
      <c r="G731" s="19"/>
      <c r="K731" s="19"/>
      <c r="O731" s="19"/>
    </row>
    <row r="732">
      <c r="G732" s="19"/>
      <c r="K732" s="19"/>
      <c r="O732" s="19"/>
    </row>
    <row r="733">
      <c r="G733" s="19"/>
      <c r="K733" s="19"/>
      <c r="O733" s="19"/>
    </row>
    <row r="734">
      <c r="G734" s="19"/>
      <c r="K734" s="19"/>
      <c r="O734" s="19"/>
    </row>
    <row r="735">
      <c r="G735" s="19"/>
      <c r="K735" s="19"/>
      <c r="O735" s="19"/>
    </row>
    <row r="736">
      <c r="G736" s="19"/>
      <c r="K736" s="19"/>
      <c r="O736" s="19"/>
    </row>
    <row r="737">
      <c r="G737" s="19"/>
      <c r="K737" s="19"/>
      <c r="O737" s="19"/>
    </row>
    <row r="738">
      <c r="G738" s="19"/>
      <c r="K738" s="19"/>
      <c r="O738" s="19"/>
    </row>
    <row r="739">
      <c r="G739" s="19"/>
      <c r="K739" s="19"/>
      <c r="O739" s="19"/>
    </row>
    <row r="740">
      <c r="G740" s="19"/>
      <c r="K740" s="19"/>
      <c r="O740" s="19"/>
    </row>
    <row r="741">
      <c r="G741" s="19"/>
      <c r="K741" s="19"/>
      <c r="O741" s="19"/>
    </row>
    <row r="742">
      <c r="G742" s="19"/>
      <c r="K742" s="19"/>
      <c r="O742" s="19"/>
    </row>
    <row r="743">
      <c r="G743" s="19"/>
      <c r="K743" s="19"/>
      <c r="O743" s="19"/>
    </row>
    <row r="744">
      <c r="G744" s="19"/>
      <c r="K744" s="19"/>
      <c r="O744" s="19"/>
    </row>
    <row r="745">
      <c r="G745" s="19"/>
      <c r="K745" s="19"/>
      <c r="O745" s="19"/>
    </row>
    <row r="746">
      <c r="G746" s="19"/>
      <c r="K746" s="19"/>
      <c r="O746" s="19"/>
    </row>
    <row r="747">
      <c r="G747" s="19"/>
      <c r="K747" s="19"/>
      <c r="O747" s="19"/>
    </row>
    <row r="748">
      <c r="G748" s="19"/>
      <c r="K748" s="19"/>
      <c r="O748" s="19"/>
    </row>
    <row r="749">
      <c r="G749" s="19"/>
      <c r="K749" s="19"/>
      <c r="O749" s="19"/>
    </row>
    <row r="750">
      <c r="G750" s="19"/>
      <c r="K750" s="19"/>
      <c r="O750" s="19"/>
    </row>
    <row r="751">
      <c r="G751" s="19"/>
      <c r="K751" s="19"/>
      <c r="O751" s="19"/>
    </row>
    <row r="752">
      <c r="G752" s="19"/>
      <c r="K752" s="19"/>
      <c r="O752" s="19"/>
    </row>
    <row r="753">
      <c r="G753" s="19"/>
      <c r="K753" s="19"/>
      <c r="O753" s="19"/>
    </row>
    <row r="754">
      <c r="G754" s="19"/>
      <c r="K754" s="19"/>
      <c r="O754" s="19"/>
    </row>
    <row r="755">
      <c r="G755" s="19"/>
      <c r="K755" s="19"/>
      <c r="O755" s="19"/>
    </row>
    <row r="756">
      <c r="G756" s="19"/>
      <c r="K756" s="19"/>
      <c r="O756" s="19"/>
    </row>
    <row r="757">
      <c r="G757" s="19"/>
      <c r="K757" s="19"/>
      <c r="O757" s="19"/>
    </row>
    <row r="758">
      <c r="G758" s="19"/>
      <c r="K758" s="19"/>
      <c r="O758" s="19"/>
    </row>
    <row r="759">
      <c r="G759" s="19"/>
      <c r="K759" s="19"/>
      <c r="O759" s="19"/>
    </row>
    <row r="760">
      <c r="G760" s="19"/>
      <c r="K760" s="19"/>
      <c r="O760" s="19"/>
    </row>
    <row r="761">
      <c r="G761" s="19"/>
      <c r="K761" s="19"/>
      <c r="O761" s="19"/>
    </row>
    <row r="762">
      <c r="G762" s="19"/>
      <c r="K762" s="19"/>
      <c r="O762" s="19"/>
    </row>
    <row r="763">
      <c r="G763" s="19"/>
      <c r="K763" s="19"/>
      <c r="O763" s="19"/>
    </row>
    <row r="764">
      <c r="G764" s="19"/>
      <c r="K764" s="19"/>
      <c r="O764" s="19"/>
    </row>
    <row r="765">
      <c r="G765" s="19"/>
      <c r="K765" s="19"/>
      <c r="O765" s="19"/>
    </row>
    <row r="766">
      <c r="G766" s="19"/>
      <c r="K766" s="19"/>
      <c r="O766" s="19"/>
    </row>
    <row r="767">
      <c r="G767" s="19"/>
      <c r="K767" s="19"/>
      <c r="O767" s="19"/>
    </row>
    <row r="768">
      <c r="G768" s="19"/>
      <c r="K768" s="19"/>
      <c r="O768" s="19"/>
    </row>
    <row r="769">
      <c r="G769" s="19"/>
      <c r="K769" s="19"/>
      <c r="O769" s="19"/>
    </row>
    <row r="770">
      <c r="G770" s="19"/>
      <c r="K770" s="19"/>
      <c r="O770" s="19"/>
    </row>
    <row r="771">
      <c r="G771" s="19"/>
      <c r="K771" s="19"/>
      <c r="O771" s="19"/>
    </row>
    <row r="772">
      <c r="G772" s="19"/>
      <c r="K772" s="19"/>
      <c r="O772" s="19"/>
    </row>
    <row r="773">
      <c r="G773" s="19"/>
      <c r="K773" s="19"/>
      <c r="O773" s="19"/>
    </row>
    <row r="774">
      <c r="G774" s="19"/>
      <c r="K774" s="19"/>
      <c r="O774" s="19"/>
    </row>
    <row r="775">
      <c r="G775" s="19"/>
      <c r="K775" s="19"/>
      <c r="O775" s="19"/>
    </row>
    <row r="776">
      <c r="G776" s="19"/>
      <c r="K776" s="19"/>
      <c r="O776" s="19"/>
    </row>
    <row r="777">
      <c r="G777" s="19"/>
      <c r="K777" s="19"/>
      <c r="O777" s="19"/>
    </row>
    <row r="778">
      <c r="G778" s="19"/>
      <c r="K778" s="19"/>
      <c r="O778" s="19"/>
    </row>
    <row r="779">
      <c r="G779" s="19"/>
      <c r="K779" s="19"/>
      <c r="O779" s="19"/>
    </row>
    <row r="780">
      <c r="G780" s="19"/>
      <c r="K780" s="19"/>
      <c r="O780" s="19"/>
    </row>
    <row r="781">
      <c r="G781" s="19"/>
      <c r="K781" s="19"/>
      <c r="O781" s="19"/>
    </row>
    <row r="782">
      <c r="G782" s="19"/>
      <c r="K782" s="19"/>
      <c r="O782" s="19"/>
    </row>
    <row r="783">
      <c r="G783" s="19"/>
      <c r="K783" s="19"/>
      <c r="O783" s="19"/>
    </row>
    <row r="784">
      <c r="G784" s="19"/>
      <c r="K784" s="19"/>
      <c r="O784" s="19"/>
    </row>
    <row r="785">
      <c r="G785" s="19"/>
      <c r="K785" s="19"/>
      <c r="O785" s="19"/>
    </row>
    <row r="786">
      <c r="G786" s="19"/>
      <c r="K786" s="19"/>
      <c r="O786" s="19"/>
    </row>
    <row r="787">
      <c r="G787" s="19"/>
      <c r="K787" s="19"/>
      <c r="O787" s="19"/>
    </row>
    <row r="788">
      <c r="G788" s="19"/>
      <c r="K788" s="19"/>
      <c r="O788" s="19"/>
    </row>
    <row r="789">
      <c r="G789" s="19"/>
      <c r="K789" s="19"/>
      <c r="O789" s="19"/>
    </row>
    <row r="790">
      <c r="G790" s="19"/>
      <c r="K790" s="19"/>
      <c r="O790" s="19"/>
    </row>
    <row r="791">
      <c r="G791" s="19"/>
      <c r="K791" s="19"/>
      <c r="O791" s="19"/>
    </row>
    <row r="792">
      <c r="G792" s="19"/>
      <c r="K792" s="19"/>
      <c r="O792" s="19"/>
    </row>
    <row r="793">
      <c r="G793" s="19"/>
      <c r="K793" s="19"/>
      <c r="O793" s="19"/>
    </row>
    <row r="794">
      <c r="G794" s="19"/>
      <c r="K794" s="19"/>
      <c r="O794" s="19"/>
    </row>
    <row r="795">
      <c r="G795" s="19"/>
      <c r="K795" s="19"/>
      <c r="O795" s="19"/>
    </row>
    <row r="796">
      <c r="G796" s="19"/>
      <c r="K796" s="19"/>
      <c r="O796" s="19"/>
    </row>
    <row r="797">
      <c r="G797" s="19"/>
      <c r="K797" s="19"/>
      <c r="O797" s="19"/>
    </row>
    <row r="798">
      <c r="G798" s="19"/>
      <c r="K798" s="19"/>
      <c r="O798" s="19"/>
    </row>
    <row r="799">
      <c r="G799" s="19"/>
      <c r="K799" s="19"/>
      <c r="O799" s="19"/>
    </row>
    <row r="800">
      <c r="G800" s="19"/>
      <c r="K800" s="19"/>
      <c r="O800" s="19"/>
    </row>
    <row r="801">
      <c r="G801" s="19"/>
      <c r="K801" s="19"/>
      <c r="O801" s="19"/>
    </row>
    <row r="802">
      <c r="G802" s="19"/>
      <c r="K802" s="19"/>
      <c r="O802" s="19"/>
    </row>
    <row r="803">
      <c r="G803" s="19"/>
      <c r="K803" s="19"/>
      <c r="O803" s="19"/>
    </row>
    <row r="804">
      <c r="G804" s="19"/>
      <c r="K804" s="19"/>
      <c r="O804" s="19"/>
    </row>
    <row r="805">
      <c r="G805" s="19"/>
      <c r="K805" s="19"/>
      <c r="O805" s="19"/>
    </row>
    <row r="806">
      <c r="G806" s="19"/>
      <c r="K806" s="19"/>
      <c r="O806" s="19"/>
    </row>
    <row r="807">
      <c r="G807" s="19"/>
      <c r="K807" s="19"/>
      <c r="O807" s="19"/>
    </row>
    <row r="808">
      <c r="G808" s="19"/>
      <c r="K808" s="19"/>
      <c r="O808" s="19"/>
    </row>
    <row r="809">
      <c r="G809" s="19"/>
      <c r="K809" s="19"/>
      <c r="O809" s="19"/>
    </row>
    <row r="810">
      <c r="G810" s="19"/>
      <c r="K810" s="19"/>
      <c r="O810" s="19"/>
    </row>
    <row r="811">
      <c r="G811" s="19"/>
      <c r="K811" s="19"/>
      <c r="O811" s="19"/>
    </row>
    <row r="812">
      <c r="G812" s="19"/>
      <c r="K812" s="19"/>
      <c r="O812" s="19"/>
    </row>
    <row r="813">
      <c r="G813" s="19"/>
      <c r="K813" s="19"/>
      <c r="O813" s="19"/>
    </row>
    <row r="814">
      <c r="G814" s="19"/>
      <c r="K814" s="19"/>
      <c r="O814" s="19"/>
    </row>
    <row r="815">
      <c r="G815" s="19"/>
      <c r="K815" s="19"/>
      <c r="O815" s="19"/>
    </row>
    <row r="816">
      <c r="G816" s="19"/>
      <c r="K816" s="19"/>
      <c r="O816" s="19"/>
    </row>
    <row r="817">
      <c r="G817" s="19"/>
      <c r="K817" s="19"/>
      <c r="O817" s="19"/>
    </row>
    <row r="818">
      <c r="G818" s="19"/>
      <c r="K818" s="19"/>
      <c r="O818" s="19"/>
    </row>
    <row r="819">
      <c r="G819" s="19"/>
      <c r="K819" s="19"/>
      <c r="O819" s="19"/>
    </row>
    <row r="820">
      <c r="G820" s="19"/>
      <c r="K820" s="19"/>
      <c r="O820" s="19"/>
    </row>
    <row r="821">
      <c r="G821" s="19"/>
      <c r="K821" s="19"/>
      <c r="O821" s="19"/>
    </row>
    <row r="822">
      <c r="G822" s="19"/>
      <c r="K822" s="19"/>
      <c r="O822" s="19"/>
    </row>
    <row r="823">
      <c r="G823" s="19"/>
      <c r="K823" s="19"/>
      <c r="O823" s="19"/>
    </row>
    <row r="824">
      <c r="G824" s="19"/>
      <c r="K824" s="19"/>
      <c r="O824" s="19"/>
    </row>
    <row r="825">
      <c r="G825" s="19"/>
      <c r="K825" s="19"/>
      <c r="O825" s="19"/>
    </row>
    <row r="826">
      <c r="G826" s="19"/>
      <c r="K826" s="19"/>
      <c r="O826" s="19"/>
    </row>
    <row r="827">
      <c r="G827" s="19"/>
      <c r="K827" s="19"/>
      <c r="O827" s="19"/>
    </row>
    <row r="828">
      <c r="G828" s="19"/>
      <c r="K828" s="19"/>
      <c r="O828" s="19"/>
    </row>
    <row r="829">
      <c r="G829" s="19"/>
      <c r="K829" s="19"/>
      <c r="O829" s="19"/>
    </row>
    <row r="830">
      <c r="G830" s="19"/>
      <c r="K830" s="19"/>
      <c r="O830" s="19"/>
    </row>
    <row r="831">
      <c r="G831" s="19"/>
      <c r="K831" s="19"/>
      <c r="O831" s="19"/>
    </row>
    <row r="832">
      <c r="G832" s="19"/>
      <c r="K832" s="19"/>
      <c r="O832" s="19"/>
    </row>
    <row r="833">
      <c r="G833" s="19"/>
      <c r="K833" s="19"/>
      <c r="O833" s="19"/>
    </row>
    <row r="834">
      <c r="G834" s="19"/>
      <c r="K834" s="19"/>
      <c r="O834" s="19"/>
    </row>
    <row r="835">
      <c r="G835" s="19"/>
      <c r="K835" s="19"/>
      <c r="O835" s="19"/>
    </row>
    <row r="836">
      <c r="G836" s="19"/>
      <c r="K836" s="19"/>
      <c r="O836" s="19"/>
    </row>
    <row r="837">
      <c r="G837" s="19"/>
      <c r="K837" s="19"/>
      <c r="O837" s="19"/>
    </row>
    <row r="838">
      <c r="G838" s="19"/>
      <c r="K838" s="19"/>
      <c r="O838" s="19"/>
    </row>
    <row r="839">
      <c r="G839" s="19"/>
      <c r="K839" s="19"/>
      <c r="O839" s="19"/>
    </row>
    <row r="840">
      <c r="G840" s="19"/>
      <c r="K840" s="19"/>
      <c r="O840" s="19"/>
    </row>
    <row r="841">
      <c r="G841" s="19"/>
      <c r="K841" s="19"/>
      <c r="O841" s="19"/>
    </row>
    <row r="842">
      <c r="G842" s="19"/>
      <c r="K842" s="19"/>
      <c r="O842" s="19"/>
    </row>
    <row r="843">
      <c r="G843" s="19"/>
      <c r="K843" s="19"/>
      <c r="O843" s="19"/>
    </row>
    <row r="844">
      <c r="G844" s="19"/>
      <c r="K844" s="19"/>
      <c r="O844" s="19"/>
    </row>
    <row r="845">
      <c r="G845" s="19"/>
      <c r="K845" s="19"/>
      <c r="O845" s="19"/>
    </row>
    <row r="846">
      <c r="G846" s="19"/>
      <c r="K846" s="19"/>
      <c r="O846" s="19"/>
    </row>
    <row r="847">
      <c r="G847" s="19"/>
      <c r="K847" s="19"/>
      <c r="O847" s="19"/>
    </row>
    <row r="848">
      <c r="G848" s="19"/>
      <c r="K848" s="19"/>
      <c r="O848" s="19"/>
    </row>
    <row r="849">
      <c r="G849" s="19"/>
      <c r="K849" s="19"/>
      <c r="O849" s="19"/>
    </row>
    <row r="850">
      <c r="G850" s="19"/>
      <c r="K850" s="19"/>
      <c r="O850" s="19"/>
    </row>
    <row r="851">
      <c r="G851" s="19"/>
      <c r="K851" s="19"/>
      <c r="O851" s="19"/>
    </row>
    <row r="852">
      <c r="G852" s="19"/>
      <c r="K852" s="19"/>
      <c r="O852" s="19"/>
    </row>
    <row r="853">
      <c r="G853" s="19"/>
      <c r="K853" s="19"/>
      <c r="O853" s="19"/>
    </row>
    <row r="854">
      <c r="G854" s="19"/>
      <c r="K854" s="19"/>
      <c r="O854" s="19"/>
    </row>
    <row r="855">
      <c r="G855" s="19"/>
      <c r="K855" s="19"/>
      <c r="O855" s="19"/>
    </row>
    <row r="856">
      <c r="G856" s="19"/>
      <c r="K856" s="19"/>
      <c r="O856" s="19"/>
    </row>
    <row r="857">
      <c r="G857" s="19"/>
      <c r="K857" s="19"/>
      <c r="O857" s="19"/>
    </row>
    <row r="858">
      <c r="G858" s="19"/>
      <c r="K858" s="19"/>
      <c r="O858" s="19"/>
    </row>
    <row r="859">
      <c r="G859" s="19"/>
      <c r="K859" s="19"/>
      <c r="O859" s="19"/>
    </row>
    <row r="860">
      <c r="G860" s="19"/>
      <c r="K860" s="19"/>
      <c r="O860" s="19"/>
    </row>
    <row r="861">
      <c r="G861" s="19"/>
      <c r="K861" s="19"/>
      <c r="O861" s="19"/>
    </row>
    <row r="862">
      <c r="G862" s="19"/>
      <c r="K862" s="19"/>
      <c r="O862" s="19"/>
    </row>
    <row r="863">
      <c r="G863" s="19"/>
      <c r="K863" s="19"/>
      <c r="O863" s="19"/>
    </row>
    <row r="864">
      <c r="G864" s="19"/>
      <c r="K864" s="19"/>
      <c r="O864" s="19"/>
    </row>
    <row r="865">
      <c r="G865" s="19"/>
      <c r="K865" s="19"/>
      <c r="O865" s="19"/>
    </row>
    <row r="866">
      <c r="G866" s="19"/>
      <c r="K866" s="19"/>
      <c r="O866" s="19"/>
    </row>
    <row r="867">
      <c r="G867" s="19"/>
      <c r="K867" s="19"/>
      <c r="O867" s="19"/>
    </row>
    <row r="868">
      <c r="G868" s="19"/>
      <c r="K868" s="19"/>
      <c r="O868" s="19"/>
    </row>
    <row r="869">
      <c r="G869" s="19"/>
      <c r="K869" s="19"/>
      <c r="O869" s="19"/>
    </row>
    <row r="870">
      <c r="G870" s="19"/>
      <c r="K870" s="19"/>
      <c r="O870" s="19"/>
    </row>
    <row r="871">
      <c r="G871" s="19"/>
      <c r="K871" s="19"/>
      <c r="O871" s="19"/>
    </row>
    <row r="872">
      <c r="G872" s="19"/>
      <c r="K872" s="19"/>
      <c r="O872" s="19"/>
    </row>
    <row r="873">
      <c r="G873" s="19"/>
      <c r="K873" s="19"/>
      <c r="O873" s="19"/>
    </row>
    <row r="874">
      <c r="G874" s="19"/>
      <c r="K874" s="19"/>
      <c r="O874" s="19"/>
    </row>
    <row r="875">
      <c r="G875" s="19"/>
      <c r="K875" s="19"/>
      <c r="O875" s="19"/>
    </row>
    <row r="876">
      <c r="G876" s="19"/>
      <c r="K876" s="19"/>
      <c r="O876" s="19"/>
    </row>
    <row r="877">
      <c r="G877" s="19"/>
      <c r="K877" s="19"/>
      <c r="O877" s="19"/>
    </row>
    <row r="878">
      <c r="G878" s="19"/>
      <c r="K878" s="19"/>
      <c r="O878" s="19"/>
    </row>
    <row r="879">
      <c r="G879" s="19"/>
      <c r="K879" s="19"/>
      <c r="O879" s="19"/>
    </row>
    <row r="880">
      <c r="G880" s="19"/>
      <c r="K880" s="19"/>
      <c r="O880" s="19"/>
    </row>
    <row r="881">
      <c r="G881" s="19"/>
      <c r="K881" s="19"/>
      <c r="O881" s="19"/>
    </row>
    <row r="882">
      <c r="G882" s="19"/>
      <c r="K882" s="19"/>
      <c r="O882" s="19"/>
    </row>
    <row r="883">
      <c r="G883" s="19"/>
      <c r="K883" s="19"/>
      <c r="O883" s="19"/>
    </row>
    <row r="884">
      <c r="G884" s="19"/>
      <c r="K884" s="19"/>
      <c r="O884" s="19"/>
    </row>
    <row r="885">
      <c r="G885" s="19"/>
      <c r="K885" s="19"/>
      <c r="O885" s="19"/>
    </row>
    <row r="886">
      <c r="G886" s="19"/>
      <c r="K886" s="19"/>
      <c r="O886" s="19"/>
    </row>
    <row r="887">
      <c r="G887" s="19"/>
      <c r="K887" s="19"/>
      <c r="O887" s="19"/>
    </row>
    <row r="888">
      <c r="G888" s="19"/>
      <c r="K888" s="19"/>
      <c r="O888" s="19"/>
    </row>
    <row r="889">
      <c r="G889" s="19"/>
      <c r="K889" s="19"/>
      <c r="O889" s="19"/>
    </row>
    <row r="890">
      <c r="G890" s="19"/>
      <c r="K890" s="19"/>
      <c r="O890" s="19"/>
    </row>
    <row r="891">
      <c r="G891" s="19"/>
      <c r="K891" s="19"/>
      <c r="O891" s="19"/>
    </row>
    <row r="892">
      <c r="G892" s="19"/>
      <c r="K892" s="19"/>
      <c r="O892" s="19"/>
    </row>
    <row r="893">
      <c r="G893" s="19"/>
      <c r="K893" s="19"/>
      <c r="O893" s="19"/>
    </row>
    <row r="894">
      <c r="G894" s="19"/>
      <c r="K894" s="19"/>
      <c r="O894" s="19"/>
    </row>
    <row r="895">
      <c r="G895" s="19"/>
      <c r="K895" s="19"/>
      <c r="O895" s="19"/>
    </row>
    <row r="896">
      <c r="G896" s="19"/>
      <c r="K896" s="19"/>
      <c r="O896" s="19"/>
    </row>
    <row r="897">
      <c r="G897" s="19"/>
      <c r="K897" s="19"/>
      <c r="O897" s="19"/>
    </row>
    <row r="898">
      <c r="G898" s="19"/>
      <c r="K898" s="19"/>
      <c r="O898" s="19"/>
    </row>
    <row r="899">
      <c r="G899" s="19"/>
      <c r="K899" s="19"/>
      <c r="O899" s="19"/>
    </row>
    <row r="900">
      <c r="G900" s="19"/>
      <c r="K900" s="19"/>
      <c r="O900" s="19"/>
    </row>
    <row r="901">
      <c r="G901" s="19"/>
      <c r="K901" s="19"/>
      <c r="O901" s="19"/>
    </row>
    <row r="902">
      <c r="G902" s="19"/>
      <c r="K902" s="19"/>
      <c r="O902" s="19"/>
    </row>
    <row r="903">
      <c r="G903" s="19"/>
      <c r="K903" s="19"/>
      <c r="O903" s="19"/>
    </row>
    <row r="904">
      <c r="G904" s="19"/>
      <c r="K904" s="19"/>
      <c r="O904" s="19"/>
    </row>
    <row r="905">
      <c r="G905" s="19"/>
      <c r="K905" s="19"/>
      <c r="O905" s="19"/>
    </row>
    <row r="906">
      <c r="G906" s="19"/>
      <c r="K906" s="19"/>
      <c r="O906" s="19"/>
    </row>
    <row r="907">
      <c r="G907" s="19"/>
      <c r="K907" s="19"/>
      <c r="O907" s="19"/>
    </row>
    <row r="908">
      <c r="G908" s="19"/>
      <c r="K908" s="19"/>
      <c r="O908" s="19"/>
    </row>
    <row r="909">
      <c r="G909" s="19"/>
      <c r="K909" s="19"/>
      <c r="O909" s="19"/>
    </row>
    <row r="910">
      <c r="G910" s="19"/>
      <c r="K910" s="19"/>
      <c r="O910" s="19"/>
    </row>
    <row r="911">
      <c r="G911" s="19"/>
      <c r="K911" s="19"/>
      <c r="O911" s="19"/>
    </row>
    <row r="912">
      <c r="G912" s="19"/>
      <c r="K912" s="19"/>
      <c r="O912" s="19"/>
    </row>
    <row r="913">
      <c r="G913" s="19"/>
      <c r="K913" s="19"/>
      <c r="O913" s="19"/>
    </row>
    <row r="914">
      <c r="G914" s="19"/>
      <c r="K914" s="19"/>
      <c r="O914" s="19"/>
    </row>
    <row r="915">
      <c r="G915" s="19"/>
      <c r="K915" s="19"/>
      <c r="O915" s="19"/>
    </row>
    <row r="916">
      <c r="G916" s="19"/>
      <c r="K916" s="19"/>
      <c r="O916" s="19"/>
    </row>
    <row r="917">
      <c r="G917" s="19"/>
      <c r="K917" s="19"/>
      <c r="O917" s="19"/>
    </row>
    <row r="918">
      <c r="G918" s="19"/>
      <c r="K918" s="19"/>
      <c r="O918" s="19"/>
    </row>
    <row r="919">
      <c r="G919" s="19"/>
      <c r="K919" s="19"/>
      <c r="O919" s="19"/>
    </row>
    <row r="920">
      <c r="G920" s="19"/>
      <c r="K920" s="19"/>
      <c r="O920" s="19"/>
    </row>
    <row r="921">
      <c r="G921" s="19"/>
      <c r="K921" s="19"/>
      <c r="O921" s="19"/>
    </row>
    <row r="922">
      <c r="G922" s="19"/>
      <c r="K922" s="19"/>
      <c r="O922" s="19"/>
    </row>
    <row r="923">
      <c r="G923" s="19"/>
      <c r="K923" s="19"/>
      <c r="O923" s="19"/>
    </row>
    <row r="924">
      <c r="G924" s="19"/>
      <c r="K924" s="19"/>
      <c r="O924" s="19"/>
    </row>
    <row r="925">
      <c r="G925" s="19"/>
      <c r="K925" s="19"/>
      <c r="O925" s="19"/>
    </row>
    <row r="926">
      <c r="G926" s="19"/>
      <c r="K926" s="19"/>
      <c r="O926" s="19"/>
    </row>
    <row r="927">
      <c r="G927" s="19"/>
      <c r="K927" s="19"/>
      <c r="O927" s="19"/>
    </row>
    <row r="928">
      <c r="G928" s="19"/>
      <c r="K928" s="19"/>
      <c r="O928" s="19"/>
    </row>
    <row r="929">
      <c r="G929" s="19"/>
      <c r="K929" s="19"/>
      <c r="O929" s="19"/>
    </row>
    <row r="930">
      <c r="G930" s="19"/>
      <c r="K930" s="19"/>
      <c r="O930" s="19"/>
    </row>
    <row r="931">
      <c r="G931" s="19"/>
      <c r="K931" s="19"/>
      <c r="O931" s="19"/>
    </row>
    <row r="932">
      <c r="G932" s="19"/>
      <c r="K932" s="19"/>
      <c r="O932" s="19"/>
    </row>
    <row r="933">
      <c r="G933" s="19"/>
      <c r="K933" s="19"/>
      <c r="O933" s="19"/>
    </row>
    <row r="934">
      <c r="G934" s="19"/>
      <c r="K934" s="19"/>
      <c r="O934" s="19"/>
    </row>
    <row r="935">
      <c r="G935" s="19"/>
      <c r="K935" s="19"/>
      <c r="O935" s="19"/>
    </row>
    <row r="936">
      <c r="G936" s="19"/>
      <c r="K936" s="19"/>
      <c r="O936" s="19"/>
    </row>
    <row r="937">
      <c r="G937" s="19"/>
      <c r="K937" s="19"/>
      <c r="O937" s="19"/>
    </row>
    <row r="938">
      <c r="G938" s="19"/>
      <c r="K938" s="19"/>
      <c r="O938" s="19"/>
    </row>
    <row r="939">
      <c r="G939" s="19"/>
      <c r="K939" s="19"/>
      <c r="O939" s="19"/>
    </row>
    <row r="940">
      <c r="G940" s="19"/>
      <c r="K940" s="19"/>
      <c r="O940" s="19"/>
    </row>
    <row r="941">
      <c r="G941" s="19"/>
      <c r="K941" s="19"/>
      <c r="O941" s="19"/>
    </row>
    <row r="942">
      <c r="G942" s="19"/>
      <c r="K942" s="19"/>
      <c r="O942" s="19"/>
    </row>
    <row r="943">
      <c r="G943" s="19"/>
      <c r="K943" s="19"/>
      <c r="O943" s="19"/>
    </row>
    <row r="944">
      <c r="G944" s="19"/>
      <c r="K944" s="19"/>
      <c r="O944" s="19"/>
    </row>
    <row r="945">
      <c r="G945" s="19"/>
      <c r="K945" s="19"/>
      <c r="O945" s="19"/>
    </row>
    <row r="946">
      <c r="G946" s="19"/>
      <c r="K946" s="19"/>
      <c r="O946" s="19"/>
    </row>
    <row r="947">
      <c r="G947" s="19"/>
      <c r="K947" s="19"/>
      <c r="O947" s="19"/>
    </row>
    <row r="948">
      <c r="G948" s="19"/>
      <c r="K948" s="19"/>
      <c r="O948" s="19"/>
    </row>
    <row r="949">
      <c r="G949" s="19"/>
      <c r="K949" s="19"/>
      <c r="O949" s="19"/>
    </row>
    <row r="950">
      <c r="G950" s="19"/>
      <c r="K950" s="19"/>
      <c r="O950" s="19"/>
    </row>
    <row r="951">
      <c r="G951" s="19"/>
      <c r="K951" s="19"/>
      <c r="O951" s="19"/>
    </row>
    <row r="952">
      <c r="G952" s="19"/>
      <c r="K952" s="19"/>
      <c r="O952" s="19"/>
    </row>
    <row r="953">
      <c r="G953" s="19"/>
      <c r="K953" s="19"/>
      <c r="O953" s="19"/>
    </row>
    <row r="954">
      <c r="G954" s="19"/>
      <c r="K954" s="19"/>
      <c r="O954" s="19"/>
    </row>
    <row r="955">
      <c r="G955" s="19"/>
      <c r="K955" s="19"/>
      <c r="O955" s="19"/>
    </row>
    <row r="956">
      <c r="G956" s="19"/>
      <c r="K956" s="19"/>
      <c r="O956" s="19"/>
    </row>
    <row r="957">
      <c r="G957" s="19"/>
      <c r="K957" s="19"/>
      <c r="O957" s="19"/>
    </row>
    <row r="958">
      <c r="G958" s="19"/>
      <c r="K958" s="19"/>
      <c r="O958" s="19"/>
    </row>
    <row r="959">
      <c r="G959" s="19"/>
      <c r="K959" s="19"/>
      <c r="O959" s="19"/>
    </row>
    <row r="960">
      <c r="G960" s="19"/>
      <c r="K960" s="19"/>
      <c r="O960" s="19"/>
    </row>
    <row r="961">
      <c r="G961" s="19"/>
      <c r="K961" s="19"/>
      <c r="O961" s="19"/>
    </row>
    <row r="962">
      <c r="G962" s="19"/>
      <c r="K962" s="19"/>
      <c r="O962" s="19"/>
    </row>
    <row r="963">
      <c r="G963" s="19"/>
      <c r="K963" s="19"/>
      <c r="O963" s="19"/>
    </row>
    <row r="964">
      <c r="G964" s="19"/>
      <c r="K964" s="19"/>
      <c r="O964" s="19"/>
    </row>
    <row r="965">
      <c r="G965" s="19"/>
      <c r="K965" s="19"/>
      <c r="O965" s="19"/>
    </row>
    <row r="966">
      <c r="G966" s="19"/>
      <c r="K966" s="19"/>
      <c r="O966" s="19"/>
    </row>
    <row r="967">
      <c r="G967" s="19"/>
      <c r="K967" s="19"/>
      <c r="O967" s="19"/>
    </row>
    <row r="968">
      <c r="G968" s="19"/>
      <c r="K968" s="19"/>
      <c r="O968" s="19"/>
    </row>
    <row r="969">
      <c r="G969" s="19"/>
      <c r="K969" s="19"/>
      <c r="O969" s="19"/>
    </row>
    <row r="970">
      <c r="G970" s="19"/>
      <c r="K970" s="19"/>
      <c r="O970" s="19"/>
    </row>
    <row r="971">
      <c r="G971" s="19"/>
      <c r="K971" s="19"/>
      <c r="O971" s="19"/>
    </row>
    <row r="972">
      <c r="G972" s="19"/>
      <c r="K972" s="19"/>
      <c r="O972" s="19"/>
    </row>
    <row r="973">
      <c r="G973" s="19"/>
      <c r="K973" s="19"/>
      <c r="O973" s="19"/>
    </row>
    <row r="974">
      <c r="G974" s="19"/>
      <c r="K974" s="19"/>
      <c r="O974" s="19"/>
    </row>
    <row r="975">
      <c r="G975" s="19"/>
      <c r="K975" s="19"/>
      <c r="O975" s="19"/>
    </row>
    <row r="976">
      <c r="G976" s="19"/>
      <c r="K976" s="19"/>
      <c r="O976" s="19"/>
    </row>
    <row r="977">
      <c r="G977" s="19"/>
      <c r="K977" s="19"/>
      <c r="O977" s="19"/>
    </row>
    <row r="978">
      <c r="G978" s="19"/>
      <c r="K978" s="19"/>
      <c r="O978" s="19"/>
    </row>
    <row r="979">
      <c r="G979" s="19"/>
      <c r="K979" s="19"/>
      <c r="O979" s="19"/>
    </row>
    <row r="980">
      <c r="G980" s="19"/>
      <c r="K980" s="19"/>
      <c r="O980" s="19"/>
    </row>
    <row r="981">
      <c r="G981" s="19"/>
      <c r="K981" s="19"/>
      <c r="O981" s="19"/>
    </row>
    <row r="982">
      <c r="G982" s="19"/>
      <c r="K982" s="19"/>
      <c r="O982" s="19"/>
    </row>
    <row r="983">
      <c r="G983" s="19"/>
      <c r="K983" s="19"/>
      <c r="O983" s="19"/>
    </row>
    <row r="984">
      <c r="G984" s="19"/>
      <c r="K984" s="19"/>
      <c r="O984" s="19"/>
    </row>
    <row r="985">
      <c r="G985" s="19"/>
      <c r="K985" s="19"/>
      <c r="O985" s="19"/>
    </row>
    <row r="986">
      <c r="G986" s="19"/>
      <c r="K986" s="19"/>
      <c r="O986" s="19"/>
    </row>
    <row r="987">
      <c r="G987" s="19"/>
      <c r="K987" s="19"/>
      <c r="O987" s="19"/>
    </row>
    <row r="988">
      <c r="G988" s="19"/>
      <c r="K988" s="19"/>
      <c r="O988" s="19"/>
    </row>
    <row r="989">
      <c r="G989" s="19"/>
      <c r="K989" s="19"/>
      <c r="O989" s="19"/>
    </row>
    <row r="990">
      <c r="G990" s="19"/>
      <c r="K990" s="19"/>
      <c r="O990" s="19"/>
    </row>
    <row r="991">
      <c r="G991" s="19"/>
      <c r="K991" s="19"/>
      <c r="O991" s="19"/>
    </row>
    <row r="992">
      <c r="G992" s="19"/>
      <c r="K992" s="19"/>
      <c r="O992" s="19"/>
    </row>
    <row r="993">
      <c r="G993" s="19"/>
      <c r="K993" s="19"/>
      <c r="O993" s="19"/>
    </row>
    <row r="994">
      <c r="G994" s="19"/>
      <c r="K994" s="19"/>
      <c r="O994" s="19"/>
    </row>
    <row r="995">
      <c r="G995" s="19"/>
      <c r="K995" s="19"/>
      <c r="O995" s="19"/>
    </row>
    <row r="996">
      <c r="G996" s="19"/>
      <c r="K996" s="19"/>
      <c r="O996" s="19"/>
    </row>
    <row r="997">
      <c r="G997" s="19"/>
      <c r="K997" s="19"/>
      <c r="O997" s="19"/>
    </row>
    <row r="998">
      <c r="G998" s="19"/>
      <c r="K998" s="19"/>
      <c r="O998" s="19"/>
    </row>
    <row r="999">
      <c r="G999" s="19"/>
      <c r="K999" s="19"/>
      <c r="O999" s="19"/>
    </row>
    <row r="1000">
      <c r="G1000" s="19"/>
      <c r="K1000" s="19"/>
      <c r="O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63"/>
  </cols>
  <sheetData>
    <row r="1"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/>
    <row r="3">
      <c r="F3" s="39" t="s">
        <v>827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F24" s="39" t="s">
        <v>828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>
      <c r="F46" s="39" t="s">
        <v>829</v>
      </c>
    </row>
    <row r="47">
      <c r="D47" s="40"/>
    </row>
    <row r="48">
      <c r="D48" s="40"/>
    </row>
    <row r="49">
      <c r="D49" s="40"/>
    </row>
    <row r="50">
      <c r="D50" s="40"/>
    </row>
    <row r="51">
      <c r="D51" s="40"/>
    </row>
    <row r="52">
      <c r="D52" s="40"/>
    </row>
    <row r="53">
      <c r="D53" s="40"/>
    </row>
    <row r="54">
      <c r="D54" s="40"/>
    </row>
    <row r="55">
      <c r="D55" s="40"/>
    </row>
    <row r="56">
      <c r="D56" s="40"/>
    </row>
    <row r="57">
      <c r="D57" s="40"/>
    </row>
    <row r="58">
      <c r="D58" s="40"/>
    </row>
    <row r="59">
      <c r="D59" s="40"/>
    </row>
    <row r="60">
      <c r="D60" s="40"/>
    </row>
    <row r="61">
      <c r="D61" s="40"/>
    </row>
    <row r="62">
      <c r="D62" s="40"/>
    </row>
    <row r="63">
      <c r="D63" s="40"/>
    </row>
    <row r="64">
      <c r="D64" s="40"/>
    </row>
    <row r="65">
      <c r="D65" s="40"/>
    </row>
    <row r="66">
      <c r="D66" s="40"/>
    </row>
    <row r="67">
      <c r="D67" s="40"/>
    </row>
    <row r="68">
      <c r="D68" s="40"/>
    </row>
    <row r="69">
      <c r="D69" s="40"/>
    </row>
    <row r="70">
      <c r="D70" s="40"/>
    </row>
    <row r="71">
      <c r="D71" s="40"/>
    </row>
    <row r="72">
      <c r="D72" s="40"/>
    </row>
    <row r="73">
      <c r="D73" s="40"/>
    </row>
    <row r="74">
      <c r="D74" s="40"/>
    </row>
    <row r="75">
      <c r="D75" s="40"/>
    </row>
    <row r="76">
      <c r="D76" s="40"/>
    </row>
    <row r="77">
      <c r="D77" s="40"/>
    </row>
    <row r="78">
      <c r="D78" s="40"/>
    </row>
    <row r="79">
      <c r="D79" s="40"/>
    </row>
    <row r="80">
      <c r="D80" s="40"/>
    </row>
    <row r="81">
      <c r="D81" s="40"/>
    </row>
    <row r="82">
      <c r="D82" s="40"/>
    </row>
    <row r="83">
      <c r="D83" s="40"/>
    </row>
    <row r="84">
      <c r="D84" s="40"/>
    </row>
    <row r="85">
      <c r="D85" s="40"/>
    </row>
    <row r="86">
      <c r="D86" s="40"/>
    </row>
    <row r="87">
      <c r="D87" s="40"/>
    </row>
    <row r="88">
      <c r="D88" s="40"/>
    </row>
    <row r="89">
      <c r="D89" s="40"/>
    </row>
    <row r="90">
      <c r="D90" s="40"/>
    </row>
    <row r="91">
      <c r="D91" s="40"/>
    </row>
    <row r="92">
      <c r="D92" s="40"/>
    </row>
    <row r="93">
      <c r="D93" s="40"/>
    </row>
    <row r="94">
      <c r="D94" s="40"/>
    </row>
    <row r="95">
      <c r="D95" s="40"/>
    </row>
    <row r="96">
      <c r="D96" s="40"/>
    </row>
    <row r="97">
      <c r="D97" s="40"/>
    </row>
    <row r="98">
      <c r="D98" s="40"/>
    </row>
    <row r="99">
      <c r="D99" s="40"/>
    </row>
    <row r="100">
      <c r="D100" s="40"/>
    </row>
    <row r="101">
      <c r="D101" s="40"/>
    </row>
    <row r="102">
      <c r="D102" s="40"/>
    </row>
    <row r="103">
      <c r="D103" s="40"/>
    </row>
    <row r="104">
      <c r="D104" s="40"/>
    </row>
    <row r="105">
      <c r="D105" s="40"/>
    </row>
    <row r="106">
      <c r="D106" s="40"/>
    </row>
    <row r="107">
      <c r="D107" s="40"/>
    </row>
    <row r="108">
      <c r="D108" s="40"/>
    </row>
    <row r="109">
      <c r="D109" s="40"/>
    </row>
    <row r="110">
      <c r="D110" s="40"/>
    </row>
    <row r="111">
      <c r="D111" s="40"/>
    </row>
    <row r="112">
      <c r="D112" s="40"/>
    </row>
    <row r="113">
      <c r="D113" s="40"/>
    </row>
    <row r="114">
      <c r="D114" s="40"/>
    </row>
    <row r="115">
      <c r="D115" s="40"/>
    </row>
    <row r="116">
      <c r="D116" s="40"/>
    </row>
    <row r="117">
      <c r="D117" s="40"/>
    </row>
    <row r="118">
      <c r="D118" s="40"/>
    </row>
    <row r="119">
      <c r="D119" s="40"/>
    </row>
    <row r="120">
      <c r="D120" s="40"/>
    </row>
    <row r="121">
      <c r="D121" s="40"/>
    </row>
    <row r="122">
      <c r="D122" s="40"/>
    </row>
    <row r="123">
      <c r="D123" s="40"/>
    </row>
    <row r="124">
      <c r="D124" s="40"/>
    </row>
    <row r="125">
      <c r="D125" s="40"/>
    </row>
    <row r="126">
      <c r="D126" s="40"/>
    </row>
    <row r="127">
      <c r="D127" s="40"/>
    </row>
    <row r="128">
      <c r="D128" s="40"/>
    </row>
    <row r="129">
      <c r="D129" s="40"/>
    </row>
    <row r="130">
      <c r="D130" s="40"/>
    </row>
    <row r="131">
      <c r="D131" s="40"/>
    </row>
    <row r="132">
      <c r="D132" s="40"/>
    </row>
    <row r="133">
      <c r="D133" s="40"/>
    </row>
    <row r="134">
      <c r="D134" s="40"/>
    </row>
    <row r="135">
      <c r="D135" s="40"/>
    </row>
    <row r="136">
      <c r="D136" s="40"/>
    </row>
    <row r="137">
      <c r="D137" s="40"/>
    </row>
    <row r="138">
      <c r="D138" s="40"/>
    </row>
    <row r="139">
      <c r="D139" s="40"/>
    </row>
    <row r="140">
      <c r="D140" s="40"/>
    </row>
    <row r="141">
      <c r="D141" s="40"/>
    </row>
    <row r="142">
      <c r="D142" s="40"/>
    </row>
    <row r="143">
      <c r="D143" s="40"/>
    </row>
    <row r="144">
      <c r="D144" s="40"/>
    </row>
    <row r="145">
      <c r="D145" s="40"/>
    </row>
    <row r="146">
      <c r="D146" s="40"/>
    </row>
    <row r="147">
      <c r="D147" s="40"/>
    </row>
    <row r="148">
      <c r="D148" s="40"/>
    </row>
    <row r="149">
      <c r="D149" s="40"/>
    </row>
    <row r="150">
      <c r="D150" s="40"/>
    </row>
    <row r="151">
      <c r="D151" s="40"/>
    </row>
    <row r="152">
      <c r="D152" s="40"/>
    </row>
    <row r="153">
      <c r="D153" s="40"/>
    </row>
    <row r="154">
      <c r="D154" s="40"/>
    </row>
    <row r="155">
      <c r="D155" s="40"/>
    </row>
    <row r="156">
      <c r="D156" s="40"/>
    </row>
    <row r="157">
      <c r="D157" s="40"/>
    </row>
    <row r="158">
      <c r="D158" s="40"/>
    </row>
    <row r="159">
      <c r="D159" s="40"/>
    </row>
    <row r="160">
      <c r="D160" s="40"/>
    </row>
    <row r="161">
      <c r="D161" s="40"/>
    </row>
    <row r="162">
      <c r="D162" s="40"/>
    </row>
    <row r="163">
      <c r="D163" s="40"/>
    </row>
    <row r="164">
      <c r="D164" s="40"/>
    </row>
    <row r="165">
      <c r="D165" s="40"/>
    </row>
    <row r="166">
      <c r="D166" s="40"/>
    </row>
    <row r="167">
      <c r="D167" s="40"/>
    </row>
    <row r="168">
      <c r="D168" s="40"/>
    </row>
    <row r="169">
      <c r="D169" s="40"/>
    </row>
    <row r="170">
      <c r="D170" s="40"/>
    </row>
    <row r="171">
      <c r="D171" s="40"/>
    </row>
    <row r="172">
      <c r="D172" s="40"/>
    </row>
    <row r="173">
      <c r="D173" s="40"/>
    </row>
    <row r="174">
      <c r="D174" s="40"/>
    </row>
    <row r="175">
      <c r="D175" s="40"/>
    </row>
    <row r="176">
      <c r="D176" s="40"/>
    </row>
    <row r="177">
      <c r="D177" s="40"/>
    </row>
    <row r="178">
      <c r="D178" s="40"/>
    </row>
    <row r="179">
      <c r="D179" s="40"/>
    </row>
    <row r="180">
      <c r="D180" s="40"/>
    </row>
    <row r="181">
      <c r="D181" s="40"/>
    </row>
    <row r="182">
      <c r="D182" s="40"/>
    </row>
    <row r="183">
      <c r="D183" s="40"/>
    </row>
    <row r="184">
      <c r="D184" s="40"/>
    </row>
    <row r="185">
      <c r="D185" s="40"/>
    </row>
    <row r="186">
      <c r="D186" s="40"/>
    </row>
    <row r="187">
      <c r="D187" s="40"/>
    </row>
    <row r="188">
      <c r="D188" s="40"/>
    </row>
    <row r="189">
      <c r="D189" s="40"/>
    </row>
    <row r="190">
      <c r="D190" s="40"/>
    </row>
    <row r="191">
      <c r="D191" s="40"/>
    </row>
    <row r="192">
      <c r="D192" s="40"/>
    </row>
    <row r="193">
      <c r="D193" s="40"/>
    </row>
    <row r="194">
      <c r="D194" s="40"/>
    </row>
    <row r="195">
      <c r="D195" s="40"/>
    </row>
    <row r="196">
      <c r="D196" s="40"/>
    </row>
    <row r="197">
      <c r="D197" s="40"/>
    </row>
    <row r="198">
      <c r="D198" s="40"/>
    </row>
    <row r="199">
      <c r="D199" s="40"/>
    </row>
    <row r="200">
      <c r="D200" s="40"/>
    </row>
    <row r="201">
      <c r="D201" s="40"/>
    </row>
    <row r="202">
      <c r="D202" s="40"/>
    </row>
    <row r="203">
      <c r="D203" s="40"/>
    </row>
    <row r="204">
      <c r="D204" s="40"/>
    </row>
    <row r="205">
      <c r="D205" s="40"/>
    </row>
    <row r="206">
      <c r="D206" s="40"/>
    </row>
    <row r="207">
      <c r="D207" s="40"/>
    </row>
    <row r="208">
      <c r="D208" s="40"/>
    </row>
    <row r="209">
      <c r="D209" s="40"/>
    </row>
    <row r="210">
      <c r="D210" s="40"/>
    </row>
    <row r="211">
      <c r="D211" s="40"/>
    </row>
    <row r="212">
      <c r="D212" s="40"/>
    </row>
    <row r="213">
      <c r="D213" s="40"/>
    </row>
    <row r="214">
      <c r="D214" s="40"/>
    </row>
    <row r="215">
      <c r="D215" s="40"/>
    </row>
    <row r="216">
      <c r="D216" s="40"/>
    </row>
    <row r="217">
      <c r="D217" s="40"/>
    </row>
    <row r="218">
      <c r="D218" s="40"/>
    </row>
    <row r="219">
      <c r="D219" s="40"/>
    </row>
    <row r="220">
      <c r="D220" s="40"/>
    </row>
    <row r="221">
      <c r="D221" s="40"/>
    </row>
    <row r="222">
      <c r="D222" s="40"/>
    </row>
    <row r="223">
      <c r="D223" s="40"/>
    </row>
    <row r="224">
      <c r="D224" s="40"/>
    </row>
    <row r="225">
      <c r="D225" s="40"/>
    </row>
    <row r="226">
      <c r="D226" s="40"/>
    </row>
    <row r="227">
      <c r="D227" s="40"/>
    </row>
    <row r="228">
      <c r="D228" s="40"/>
    </row>
    <row r="229">
      <c r="D229" s="40"/>
    </row>
    <row r="230">
      <c r="D230" s="40"/>
    </row>
    <row r="231">
      <c r="D231" s="40"/>
    </row>
    <row r="232">
      <c r="D232" s="40"/>
    </row>
    <row r="233">
      <c r="D233" s="40"/>
    </row>
    <row r="234">
      <c r="D234" s="40"/>
    </row>
    <row r="235">
      <c r="D235" s="40"/>
    </row>
    <row r="236">
      <c r="D236" s="40"/>
    </row>
    <row r="237">
      <c r="D237" s="40"/>
    </row>
    <row r="238">
      <c r="D238" s="40"/>
    </row>
    <row r="239">
      <c r="D239" s="40"/>
    </row>
    <row r="240">
      <c r="D240" s="40"/>
    </row>
    <row r="241">
      <c r="D241" s="40"/>
    </row>
    <row r="242">
      <c r="D242" s="40"/>
    </row>
    <row r="243">
      <c r="D243" s="40"/>
    </row>
    <row r="244">
      <c r="D244" s="40"/>
    </row>
    <row r="245">
      <c r="D245" s="40"/>
    </row>
    <row r="246">
      <c r="D246" s="40"/>
    </row>
    <row r="247">
      <c r="D247" s="40"/>
    </row>
    <row r="248">
      <c r="D248" s="40"/>
    </row>
    <row r="249">
      <c r="D249" s="40"/>
    </row>
    <row r="250">
      <c r="D250" s="40"/>
    </row>
    <row r="251">
      <c r="D251" s="40"/>
    </row>
    <row r="252">
      <c r="D252" s="40"/>
    </row>
    <row r="253">
      <c r="D253" s="40"/>
    </row>
    <row r="254">
      <c r="D254" s="40"/>
    </row>
    <row r="255">
      <c r="D255" s="40"/>
    </row>
    <row r="256">
      <c r="D256" s="40"/>
    </row>
    <row r="257">
      <c r="D257" s="40"/>
    </row>
    <row r="258">
      <c r="D258" s="40"/>
    </row>
    <row r="259">
      <c r="D259" s="40"/>
    </row>
    <row r="260">
      <c r="D260" s="40"/>
    </row>
    <row r="261">
      <c r="D261" s="40"/>
    </row>
    <row r="262">
      <c r="D262" s="40"/>
    </row>
    <row r="263">
      <c r="D263" s="40"/>
    </row>
    <row r="264">
      <c r="D264" s="40"/>
    </row>
    <row r="265">
      <c r="D265" s="40"/>
    </row>
    <row r="266">
      <c r="D266" s="40"/>
    </row>
    <row r="267">
      <c r="D267" s="40"/>
    </row>
    <row r="268">
      <c r="D268" s="40"/>
    </row>
    <row r="269">
      <c r="D269" s="40"/>
    </row>
    <row r="270">
      <c r="D270" s="40"/>
    </row>
    <row r="271">
      <c r="D271" s="40"/>
    </row>
    <row r="272">
      <c r="D272" s="40"/>
    </row>
    <row r="273">
      <c r="D273" s="40"/>
    </row>
    <row r="274">
      <c r="D274" s="40"/>
    </row>
    <row r="275">
      <c r="D275" s="40"/>
    </row>
    <row r="276">
      <c r="D276" s="40"/>
    </row>
    <row r="277">
      <c r="D277" s="40"/>
    </row>
    <row r="278">
      <c r="D278" s="40"/>
    </row>
    <row r="279">
      <c r="D279" s="40"/>
    </row>
    <row r="280">
      <c r="D280" s="40"/>
    </row>
    <row r="281">
      <c r="D281" s="40"/>
    </row>
    <row r="282">
      <c r="D282" s="40"/>
    </row>
    <row r="283">
      <c r="D283" s="40"/>
    </row>
    <row r="284">
      <c r="D284" s="40"/>
    </row>
    <row r="285">
      <c r="D285" s="40"/>
    </row>
    <row r="286">
      <c r="D286" s="40"/>
    </row>
    <row r="287">
      <c r="D287" s="40"/>
    </row>
    <row r="288">
      <c r="D288" s="40"/>
    </row>
    <row r="289">
      <c r="D289" s="40"/>
    </row>
    <row r="290">
      <c r="D290" s="40"/>
    </row>
    <row r="291">
      <c r="D291" s="40"/>
    </row>
    <row r="292">
      <c r="D292" s="40"/>
    </row>
    <row r="293">
      <c r="D293" s="40"/>
    </row>
    <row r="294">
      <c r="D294" s="40"/>
    </row>
    <row r="295">
      <c r="D295" s="40"/>
    </row>
    <row r="296">
      <c r="D296" s="40"/>
    </row>
    <row r="297">
      <c r="D297" s="40"/>
    </row>
    <row r="298">
      <c r="D298" s="40"/>
    </row>
    <row r="299">
      <c r="D299" s="40"/>
    </row>
    <row r="300">
      <c r="D300" s="40"/>
    </row>
    <row r="301">
      <c r="D301" s="40"/>
    </row>
    <row r="302">
      <c r="D302" s="40"/>
    </row>
    <row r="303">
      <c r="D303" s="40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  <row r="1000">
      <c r="D1000" s="40"/>
    </row>
    <row r="1001">
      <c r="D1001" s="40"/>
    </row>
    <row r="1002">
      <c r="D1002" s="40"/>
    </row>
    <row r="1003">
      <c r="D1003" s="40"/>
    </row>
    <row r="1004">
      <c r="D1004" s="40"/>
    </row>
    <row r="1005">
      <c r="D1005" s="40"/>
    </row>
    <row r="1006">
      <c r="D1006" s="40"/>
    </row>
    <row r="1007">
      <c r="D1007" s="40"/>
    </row>
    <row r="1008">
      <c r="D1008" s="40"/>
    </row>
    <row r="1009">
      <c r="D1009" s="40"/>
    </row>
    <row r="1010">
      <c r="D1010" s="40"/>
    </row>
    <row r="1011">
      <c r="D1011" s="40"/>
    </row>
    <row r="1012">
      <c r="D1012" s="40"/>
    </row>
    <row r="1013">
      <c r="D1013" s="40"/>
    </row>
    <row r="1014">
      <c r="D1014" s="40"/>
    </row>
    <row r="1015">
      <c r="D1015" s="40"/>
    </row>
    <row r="1016">
      <c r="D1016" s="40"/>
    </row>
    <row r="1017">
      <c r="D1017" s="40"/>
    </row>
    <row r="1018">
      <c r="D1018" s="40"/>
    </row>
    <row r="1019">
      <c r="D1019" s="40"/>
    </row>
    <row r="1020">
      <c r="D1020" s="40"/>
    </row>
    <row r="1021">
      <c r="D1021" s="40"/>
    </row>
    <row r="1022">
      <c r="D1022" s="40"/>
    </row>
    <row r="1023">
      <c r="D1023" s="40"/>
    </row>
    <row r="1024">
      <c r="D1024" s="40"/>
    </row>
    <row r="1025">
      <c r="D1025" s="40"/>
    </row>
    <row r="1026">
      <c r="D1026" s="40"/>
    </row>
    <row r="1027">
      <c r="D1027" s="40"/>
    </row>
    <row r="1028">
      <c r="D1028" s="40"/>
    </row>
    <row r="1029">
      <c r="D1029" s="40"/>
    </row>
    <row r="1030">
      <c r="D1030" s="40"/>
    </row>
    <row r="1031">
      <c r="D1031" s="40"/>
    </row>
    <row r="1032">
      <c r="D1032" s="40"/>
    </row>
    <row r="1033">
      <c r="D1033" s="40"/>
    </row>
    <row r="1034">
      <c r="D1034" s="40"/>
    </row>
    <row r="1035">
      <c r="D1035" s="40"/>
    </row>
    <row r="1036">
      <c r="D1036" s="40"/>
    </row>
    <row r="1037">
      <c r="D1037" s="40"/>
    </row>
    <row r="1038">
      <c r="D1038" s="40"/>
    </row>
    <row r="1039">
      <c r="D1039" s="40"/>
    </row>
    <row r="1040">
      <c r="D1040" s="40"/>
    </row>
    <row r="1041">
      <c r="D1041" s="40"/>
    </row>
    <row r="1042">
      <c r="D1042" s="40"/>
    </row>
    <row r="1043">
      <c r="D1043" s="40"/>
    </row>
    <row r="1044">
      <c r="D1044" s="40"/>
    </row>
    <row r="1045">
      <c r="D1045" s="40"/>
    </row>
    <row r="1046">
      <c r="D1046" s="40"/>
    </row>
    <row r="1047">
      <c r="D1047" s="40"/>
    </row>
    <row r="1048">
      <c r="D1048" s="40"/>
    </row>
    <row r="1049">
      <c r="D1049" s="40"/>
    </row>
    <row r="1050">
      <c r="D1050" s="40"/>
    </row>
    <row r="1051">
      <c r="D1051" s="40"/>
    </row>
    <row r="1052">
      <c r="D1052" s="40"/>
    </row>
    <row r="1053">
      <c r="D1053" s="40"/>
    </row>
    <row r="1054">
      <c r="D1054" s="40"/>
    </row>
    <row r="1055">
      <c r="D1055" s="40"/>
    </row>
    <row r="1056">
      <c r="D1056" s="40"/>
    </row>
    <row r="1057">
      <c r="D1057" s="40"/>
    </row>
    <row r="1058">
      <c r="D1058" s="40"/>
    </row>
    <row r="1059">
      <c r="D1059" s="40"/>
    </row>
    <row r="1060">
      <c r="D1060" s="40"/>
    </row>
    <row r="1061">
      <c r="D1061" s="40"/>
    </row>
    <row r="1062">
      <c r="D1062" s="40"/>
    </row>
    <row r="1063">
      <c r="D1063" s="40"/>
    </row>
    <row r="1064">
      <c r="D1064" s="40"/>
    </row>
    <row r="1065">
      <c r="D1065" s="40"/>
    </row>
    <row r="1066">
      <c r="D1066" s="40"/>
    </row>
    <row r="1067">
      <c r="D1067" s="40"/>
    </row>
    <row r="1068">
      <c r="D1068" s="40"/>
    </row>
    <row r="1069">
      <c r="D1069" s="40"/>
    </row>
    <row r="1070">
      <c r="D1070" s="40"/>
    </row>
    <row r="1071">
      <c r="D1071" s="40"/>
    </row>
    <row r="1072">
      <c r="D1072" s="40"/>
    </row>
    <row r="1073">
      <c r="D1073" s="40"/>
    </row>
    <row r="1074">
      <c r="D1074" s="40"/>
    </row>
    <row r="1075">
      <c r="D1075" s="40"/>
    </row>
    <row r="1076">
      <c r="D1076" s="40"/>
    </row>
    <row r="1077">
      <c r="D1077" s="40"/>
    </row>
    <row r="1078">
      <c r="D1078" s="40"/>
    </row>
    <row r="1079">
      <c r="D1079" s="40"/>
    </row>
    <row r="1080">
      <c r="D1080" s="40"/>
    </row>
    <row r="1081">
      <c r="D1081" s="40"/>
    </row>
    <row r="1082">
      <c r="D1082" s="40"/>
    </row>
    <row r="1083">
      <c r="D1083" s="40"/>
    </row>
    <row r="1084">
      <c r="D1084" s="40"/>
    </row>
    <row r="1085">
      <c r="D1085" s="40"/>
    </row>
    <row r="1086">
      <c r="D1086" s="40"/>
    </row>
    <row r="1087">
      <c r="D1087" s="40"/>
    </row>
    <row r="1088">
      <c r="D1088" s="40"/>
    </row>
    <row r="1089">
      <c r="D1089" s="40"/>
    </row>
    <row r="1090">
      <c r="D1090" s="40"/>
    </row>
    <row r="1091">
      <c r="D1091" s="40"/>
    </row>
    <row r="1092">
      <c r="D1092" s="40"/>
    </row>
    <row r="1093">
      <c r="D1093" s="40"/>
    </row>
    <row r="1094">
      <c r="D1094" s="40"/>
    </row>
    <row r="1095">
      <c r="D1095" s="40"/>
    </row>
    <row r="1096">
      <c r="D1096" s="40"/>
    </row>
    <row r="1097">
      <c r="D1097" s="40"/>
    </row>
    <row r="1098">
      <c r="D1098" s="40"/>
    </row>
    <row r="1099">
      <c r="D1099" s="40"/>
    </row>
    <row r="1100">
      <c r="D1100" s="40"/>
    </row>
    <row r="1101">
      <c r="D1101" s="40"/>
    </row>
    <row r="1102">
      <c r="D1102" s="40"/>
    </row>
    <row r="1103">
      <c r="D1103" s="40"/>
    </row>
    <row r="1104">
      <c r="D1104" s="40"/>
    </row>
    <row r="1105">
      <c r="D1105" s="40"/>
    </row>
    <row r="1106">
      <c r="D1106" s="40"/>
    </row>
    <row r="1107">
      <c r="D1107" s="40"/>
    </row>
    <row r="1108">
      <c r="D1108" s="40"/>
    </row>
    <row r="1109">
      <c r="D1109" s="40"/>
    </row>
    <row r="1110">
      <c r="D1110" s="40"/>
    </row>
    <row r="1111">
      <c r="D1111" s="40"/>
    </row>
    <row r="1112">
      <c r="D1112" s="40"/>
    </row>
    <row r="1113">
      <c r="D1113" s="40"/>
    </row>
    <row r="1114">
      <c r="D1114" s="40"/>
    </row>
    <row r="1115">
      <c r="D1115" s="40"/>
    </row>
    <row r="1116">
      <c r="D1116" s="40"/>
    </row>
    <row r="1117">
      <c r="D1117" s="40"/>
    </row>
    <row r="1118">
      <c r="D1118" s="40"/>
    </row>
    <row r="1119">
      <c r="D1119" s="40"/>
    </row>
    <row r="1120">
      <c r="D1120" s="40"/>
    </row>
    <row r="1121">
      <c r="D1121" s="40"/>
    </row>
    <row r="1122">
      <c r="D1122" s="40"/>
    </row>
    <row r="1123">
      <c r="D1123" s="40"/>
    </row>
    <row r="1124">
      <c r="D1124" s="40"/>
    </row>
    <row r="1125">
      <c r="D1125" s="40"/>
    </row>
    <row r="1126">
      <c r="D1126" s="40"/>
    </row>
    <row r="1127">
      <c r="D1127" s="40"/>
    </row>
    <row r="1128">
      <c r="D1128" s="40"/>
    </row>
    <row r="1129">
      <c r="D1129" s="40"/>
    </row>
    <row r="1130">
      <c r="D1130" s="40"/>
    </row>
    <row r="1131">
      <c r="D1131" s="40"/>
    </row>
    <row r="1132">
      <c r="D1132" s="40"/>
    </row>
    <row r="1133">
      <c r="D1133" s="40"/>
    </row>
    <row r="1134">
      <c r="D1134" s="40"/>
    </row>
    <row r="1135">
      <c r="D1135" s="40"/>
    </row>
    <row r="1136">
      <c r="D1136" s="40"/>
    </row>
    <row r="1137">
      <c r="D1137" s="40"/>
    </row>
    <row r="1138">
      <c r="D1138" s="40"/>
    </row>
    <row r="1139">
      <c r="D1139" s="40"/>
    </row>
    <row r="1140">
      <c r="D1140" s="40"/>
    </row>
    <row r="1141">
      <c r="D1141" s="40"/>
    </row>
    <row r="1142">
      <c r="D1142" s="40"/>
    </row>
    <row r="1143">
      <c r="D1143" s="40"/>
    </row>
    <row r="1144">
      <c r="D1144" s="40"/>
    </row>
    <row r="1145">
      <c r="D1145" s="40"/>
    </row>
    <row r="1146">
      <c r="D1146" s="40"/>
    </row>
    <row r="1147">
      <c r="D1147" s="40"/>
    </row>
    <row r="1148">
      <c r="D1148" s="40"/>
    </row>
    <row r="1149">
      <c r="D1149" s="40"/>
    </row>
    <row r="1150">
      <c r="D1150" s="40"/>
    </row>
    <row r="1151">
      <c r="D1151" s="40"/>
    </row>
    <row r="1152">
      <c r="D1152" s="40"/>
    </row>
    <row r="1153">
      <c r="D1153" s="40"/>
    </row>
    <row r="1154">
      <c r="D1154" s="40"/>
    </row>
    <row r="1155">
      <c r="D1155" s="40"/>
    </row>
    <row r="1156">
      <c r="D1156" s="40"/>
    </row>
    <row r="1157">
      <c r="D1157" s="40"/>
    </row>
    <row r="1158">
      <c r="D1158" s="40"/>
    </row>
    <row r="1159">
      <c r="D1159" s="40"/>
    </row>
    <row r="1160">
      <c r="D1160" s="40"/>
    </row>
    <row r="1161">
      <c r="D1161" s="40"/>
    </row>
    <row r="1162">
      <c r="D1162" s="40"/>
    </row>
    <row r="1163">
      <c r="D1163" s="40"/>
    </row>
    <row r="1164">
      <c r="D1164" s="40"/>
    </row>
    <row r="1165">
      <c r="D1165" s="40"/>
    </row>
    <row r="1166">
      <c r="D1166" s="40"/>
    </row>
    <row r="1167">
      <c r="D1167" s="40"/>
    </row>
    <row r="1168">
      <c r="D1168" s="40"/>
    </row>
    <row r="1169">
      <c r="D1169" s="40"/>
    </row>
    <row r="1170">
      <c r="D1170" s="40"/>
    </row>
    <row r="1171">
      <c r="D1171" s="40"/>
    </row>
    <row r="1172">
      <c r="D1172" s="40"/>
    </row>
    <row r="1173">
      <c r="D1173" s="40"/>
    </row>
    <row r="1174">
      <c r="D1174" s="40"/>
    </row>
    <row r="1175">
      <c r="D1175" s="40"/>
    </row>
    <row r="1176">
      <c r="D1176" s="40"/>
    </row>
    <row r="1177">
      <c r="D1177" s="40"/>
    </row>
    <row r="1178">
      <c r="D1178" s="40"/>
    </row>
    <row r="1179">
      <c r="D1179" s="40"/>
    </row>
    <row r="1180">
      <c r="D1180" s="40"/>
    </row>
    <row r="1181">
      <c r="D1181" s="40"/>
    </row>
    <row r="1182">
      <c r="D1182" s="40"/>
    </row>
    <row r="1183">
      <c r="D1183" s="40"/>
    </row>
    <row r="1184">
      <c r="D1184" s="40"/>
    </row>
    <row r="1185">
      <c r="D1185" s="40"/>
    </row>
    <row r="1186">
      <c r="D1186" s="40"/>
    </row>
    <row r="1187">
      <c r="D1187" s="40"/>
    </row>
    <row r="1188">
      <c r="D1188" s="40"/>
    </row>
    <row r="1189">
      <c r="D1189" s="40"/>
    </row>
    <row r="1190">
      <c r="D1190" s="40"/>
    </row>
    <row r="1191">
      <c r="D1191" s="40"/>
    </row>
    <row r="1192">
      <c r="D1192" s="40"/>
    </row>
    <row r="1193">
      <c r="D1193" s="40"/>
    </row>
    <row r="1194">
      <c r="D1194" s="40"/>
    </row>
    <row r="1195">
      <c r="D1195" s="40"/>
    </row>
    <row r="1196">
      <c r="D1196" s="40"/>
    </row>
    <row r="1197">
      <c r="D1197" s="40"/>
    </row>
    <row r="1198">
      <c r="D1198" s="40"/>
    </row>
    <row r="1199">
      <c r="D1199" s="40"/>
    </row>
    <row r="1200">
      <c r="D1200" s="40"/>
    </row>
    <row r="1201">
      <c r="D1201" s="40"/>
    </row>
    <row r="1202">
      <c r="D1202" s="40"/>
    </row>
    <row r="1203">
      <c r="D1203" s="40"/>
    </row>
    <row r="1204">
      <c r="D1204" s="40"/>
    </row>
    <row r="1205">
      <c r="D1205" s="40"/>
    </row>
    <row r="1206">
      <c r="D1206" s="40"/>
    </row>
    <row r="1207">
      <c r="D1207" s="40"/>
    </row>
    <row r="1208">
      <c r="D1208" s="40"/>
    </row>
    <row r="1209">
      <c r="D1209" s="40"/>
    </row>
    <row r="1210">
      <c r="D1210" s="40"/>
    </row>
    <row r="1211">
      <c r="D1211" s="40"/>
    </row>
    <row r="1212">
      <c r="D1212" s="40"/>
    </row>
    <row r="1213">
      <c r="D1213" s="40"/>
    </row>
    <row r="1214">
      <c r="D1214" s="40"/>
    </row>
    <row r="1215">
      <c r="D1215" s="40"/>
    </row>
    <row r="1216">
      <c r="D1216" s="40"/>
    </row>
    <row r="1217">
      <c r="D1217" s="40"/>
    </row>
    <row r="1218">
      <c r="D1218" s="40"/>
    </row>
    <row r="1219">
      <c r="D1219" s="40"/>
    </row>
    <row r="1220">
      <c r="D1220" s="40"/>
    </row>
    <row r="1221">
      <c r="D1221" s="40"/>
    </row>
    <row r="1222">
      <c r="D1222" s="40"/>
    </row>
    <row r="1223">
      <c r="D1223" s="40"/>
    </row>
    <row r="1224">
      <c r="D1224" s="40"/>
    </row>
    <row r="1225">
      <c r="D1225" s="40"/>
    </row>
    <row r="1226">
      <c r="D1226" s="40"/>
    </row>
    <row r="1227">
      <c r="D1227" s="40"/>
    </row>
    <row r="1228">
      <c r="D1228" s="40"/>
    </row>
    <row r="1229">
      <c r="D1229" s="40"/>
    </row>
    <row r="1230">
      <c r="D1230" s="40"/>
    </row>
    <row r="1231">
      <c r="D1231" s="40"/>
    </row>
    <row r="1232">
      <c r="D1232" s="40"/>
    </row>
    <row r="1233">
      <c r="D1233" s="40"/>
    </row>
    <row r="1234">
      <c r="D1234" s="40"/>
    </row>
    <row r="1235">
      <c r="D1235" s="40"/>
    </row>
    <row r="1236">
      <c r="D1236" s="40"/>
    </row>
    <row r="1237">
      <c r="D1237" s="40"/>
    </row>
    <row r="1238">
      <c r="D1238" s="40"/>
    </row>
    <row r="1239">
      <c r="D1239" s="40"/>
    </row>
    <row r="1240">
      <c r="D1240" s="40"/>
    </row>
    <row r="1241">
      <c r="D1241" s="40"/>
    </row>
    <row r="1242">
      <c r="D1242" s="40"/>
    </row>
    <row r="1243">
      <c r="D1243" s="40"/>
    </row>
    <row r="1244">
      <c r="D1244" s="40"/>
    </row>
    <row r="1245">
      <c r="D1245" s="40"/>
    </row>
    <row r="1246">
      <c r="D1246" s="40"/>
    </row>
    <row r="1247">
      <c r="D1247" s="40"/>
    </row>
    <row r="1248">
      <c r="D1248" s="40"/>
    </row>
    <row r="1249">
      <c r="D1249" s="40"/>
    </row>
    <row r="1250">
      <c r="D1250" s="40"/>
    </row>
    <row r="1251">
      <c r="D1251" s="40"/>
    </row>
    <row r="1252">
      <c r="D1252" s="40"/>
    </row>
    <row r="1253">
      <c r="D1253" s="40"/>
    </row>
    <row r="1254">
      <c r="D1254" s="40"/>
    </row>
    <row r="1255">
      <c r="D1255" s="40"/>
    </row>
    <row r="1256">
      <c r="D1256" s="40"/>
    </row>
    <row r="1257">
      <c r="D1257" s="40"/>
    </row>
    <row r="1258">
      <c r="D1258" s="40"/>
    </row>
    <row r="1259">
      <c r="D1259" s="40"/>
    </row>
    <row r="1260">
      <c r="D1260" s="40"/>
    </row>
    <row r="1261">
      <c r="D1261" s="40"/>
    </row>
    <row r="1262">
      <c r="D1262" s="40"/>
    </row>
    <row r="1263">
      <c r="D1263" s="40"/>
    </row>
    <row r="1264">
      <c r="D1264" s="40"/>
    </row>
    <row r="1265">
      <c r="D1265" s="40"/>
    </row>
    <row r="1266">
      <c r="D1266" s="40"/>
    </row>
    <row r="1267">
      <c r="D1267" s="40"/>
    </row>
    <row r="1268">
      <c r="D1268" s="40"/>
    </row>
    <row r="1269">
      <c r="D1269" s="40"/>
    </row>
    <row r="1270">
      <c r="D1270" s="40"/>
    </row>
    <row r="1271">
      <c r="D1271" s="40"/>
    </row>
    <row r="1272">
      <c r="D1272" s="40"/>
    </row>
    <row r="1273">
      <c r="D1273" s="40"/>
    </row>
    <row r="1274">
      <c r="D1274" s="40"/>
    </row>
    <row r="1275">
      <c r="D1275" s="40"/>
    </row>
    <row r="1276">
      <c r="D1276" s="40"/>
    </row>
    <row r="1277">
      <c r="D1277" s="40"/>
    </row>
    <row r="1278">
      <c r="D1278" s="40"/>
    </row>
    <row r="1279">
      <c r="D1279" s="40"/>
    </row>
    <row r="1280">
      <c r="D1280" s="40"/>
    </row>
    <row r="1281">
      <c r="D1281" s="40"/>
    </row>
    <row r="1282">
      <c r="D1282" s="40"/>
    </row>
    <row r="1283">
      <c r="D1283" s="40"/>
    </row>
    <row r="1284">
      <c r="D1284" s="40"/>
    </row>
    <row r="1285">
      <c r="D1285" s="40"/>
    </row>
    <row r="1286">
      <c r="D1286" s="40"/>
    </row>
    <row r="1287">
      <c r="D1287" s="40"/>
    </row>
    <row r="1288">
      <c r="D1288" s="40"/>
    </row>
    <row r="1289">
      <c r="D1289" s="40"/>
    </row>
    <row r="1290">
      <c r="D1290" s="40"/>
    </row>
    <row r="1291">
      <c r="D1291" s="40"/>
    </row>
    <row r="1292">
      <c r="D1292" s="40"/>
    </row>
    <row r="1293">
      <c r="D1293" s="40"/>
    </row>
    <row r="1294">
      <c r="D1294" s="40"/>
    </row>
    <row r="1295">
      <c r="D1295" s="40"/>
    </row>
    <row r="1296">
      <c r="D1296" s="40"/>
    </row>
    <row r="1297">
      <c r="D1297" s="40"/>
    </row>
    <row r="1298">
      <c r="D1298" s="40"/>
    </row>
    <row r="1299">
      <c r="D1299" s="40"/>
    </row>
    <row r="1300">
      <c r="D1300" s="40"/>
    </row>
    <row r="1301">
      <c r="D1301" s="40"/>
    </row>
    <row r="1302">
      <c r="D1302" s="40"/>
    </row>
    <row r="1303">
      <c r="D1303" s="40"/>
    </row>
    <row r="1304">
      <c r="D1304" s="40"/>
    </row>
    <row r="1305">
      <c r="D1305" s="40"/>
    </row>
    <row r="1306">
      <c r="D1306" s="40"/>
    </row>
    <row r="1307">
      <c r="D1307" s="40"/>
    </row>
    <row r="1308">
      <c r="D1308" s="40"/>
    </row>
    <row r="1309">
      <c r="D1309" s="40"/>
    </row>
    <row r="1310">
      <c r="D1310" s="40"/>
    </row>
    <row r="1311">
      <c r="D1311" s="40"/>
    </row>
    <row r="1312">
      <c r="D1312" s="40"/>
    </row>
    <row r="1313">
      <c r="D1313" s="40"/>
    </row>
    <row r="1314">
      <c r="D1314" s="40"/>
    </row>
    <row r="1315">
      <c r="D1315" s="40"/>
    </row>
    <row r="1316">
      <c r="D1316" s="40"/>
    </row>
    <row r="1317">
      <c r="D1317" s="40"/>
    </row>
    <row r="1318">
      <c r="D1318" s="40"/>
    </row>
    <row r="1319">
      <c r="D1319" s="40"/>
    </row>
    <row r="1320">
      <c r="D1320" s="40"/>
    </row>
    <row r="1321">
      <c r="D1321" s="40"/>
    </row>
    <row r="1322">
      <c r="D1322" s="40"/>
    </row>
    <row r="1323">
      <c r="D1323" s="40"/>
    </row>
    <row r="1324">
      <c r="D1324" s="40"/>
    </row>
    <row r="1325">
      <c r="D1325" s="40"/>
    </row>
    <row r="1326">
      <c r="D1326" s="40"/>
    </row>
    <row r="1327">
      <c r="D1327" s="40"/>
    </row>
    <row r="1328">
      <c r="D1328" s="40"/>
    </row>
    <row r="1329">
      <c r="D1329" s="40"/>
    </row>
    <row r="1330">
      <c r="D1330" s="40"/>
    </row>
    <row r="1331">
      <c r="D1331" s="40"/>
    </row>
    <row r="1332">
      <c r="D1332" s="40"/>
    </row>
    <row r="1333">
      <c r="D1333" s="40"/>
    </row>
    <row r="1334">
      <c r="D1334" s="40"/>
    </row>
    <row r="1335">
      <c r="D1335" s="40"/>
    </row>
    <row r="1336">
      <c r="D1336" s="40"/>
    </row>
    <row r="1337">
      <c r="D1337" s="40"/>
    </row>
    <row r="1338">
      <c r="D1338" s="40"/>
    </row>
    <row r="1339">
      <c r="D1339" s="40"/>
    </row>
    <row r="1340">
      <c r="D1340" s="40"/>
    </row>
    <row r="1341">
      <c r="D1341" s="40"/>
    </row>
    <row r="1342">
      <c r="D1342" s="40"/>
    </row>
    <row r="1343">
      <c r="D1343" s="40"/>
    </row>
    <row r="1344">
      <c r="D1344" s="40"/>
    </row>
    <row r="1345">
      <c r="D1345" s="40"/>
    </row>
    <row r="1346">
      <c r="D1346" s="40"/>
    </row>
    <row r="1347">
      <c r="D1347" s="40"/>
    </row>
    <row r="1348">
      <c r="D1348" s="40"/>
    </row>
    <row r="1349">
      <c r="D1349" s="40"/>
    </row>
    <row r="1350">
      <c r="D1350" s="40"/>
    </row>
    <row r="1351">
      <c r="D1351" s="40"/>
    </row>
    <row r="1352">
      <c r="D1352" s="40"/>
    </row>
    <row r="1353">
      <c r="D1353" s="40"/>
    </row>
    <row r="1354">
      <c r="D1354" s="40"/>
    </row>
    <row r="1355">
      <c r="D1355" s="40"/>
    </row>
    <row r="1356">
      <c r="D1356" s="40"/>
    </row>
    <row r="1357">
      <c r="D1357" s="40"/>
    </row>
    <row r="1358">
      <c r="D1358" s="40"/>
    </row>
    <row r="1359">
      <c r="D1359" s="40"/>
    </row>
    <row r="1360">
      <c r="D1360" s="40"/>
    </row>
    <row r="1361">
      <c r="D1361" s="40"/>
    </row>
    <row r="1362">
      <c r="D1362" s="40"/>
    </row>
    <row r="1363">
      <c r="D1363" s="40"/>
    </row>
    <row r="1364">
      <c r="D1364" s="40"/>
    </row>
    <row r="1365">
      <c r="D1365" s="40"/>
    </row>
    <row r="1366">
      <c r="D1366" s="40"/>
    </row>
    <row r="1367">
      <c r="D1367" s="40"/>
    </row>
    <row r="1368">
      <c r="D1368" s="40"/>
    </row>
    <row r="1369">
      <c r="D1369" s="40"/>
    </row>
    <row r="1370">
      <c r="D1370" s="40"/>
    </row>
    <row r="1371">
      <c r="D1371" s="40"/>
    </row>
    <row r="1372">
      <c r="D1372" s="40"/>
    </row>
    <row r="1373">
      <c r="D1373" s="40"/>
    </row>
    <row r="1374">
      <c r="D1374" s="40"/>
    </row>
    <row r="1375">
      <c r="D1375" s="40"/>
    </row>
    <row r="1376">
      <c r="D1376" s="40"/>
    </row>
    <row r="1377">
      <c r="D1377" s="40"/>
    </row>
    <row r="1378">
      <c r="D1378" s="40"/>
    </row>
    <row r="1379">
      <c r="D1379" s="40"/>
    </row>
    <row r="1380">
      <c r="D1380" s="40"/>
    </row>
    <row r="1381">
      <c r="D1381" s="40"/>
    </row>
    <row r="1382">
      <c r="D1382" s="40"/>
    </row>
    <row r="1383">
      <c r="D1383" s="40"/>
    </row>
    <row r="1384">
      <c r="D1384" s="40"/>
    </row>
    <row r="1385">
      <c r="D1385" s="40"/>
    </row>
    <row r="1386">
      <c r="D1386" s="40"/>
    </row>
    <row r="1387">
      <c r="D1387" s="40"/>
    </row>
    <row r="1388">
      <c r="D1388" s="40"/>
    </row>
    <row r="1389">
      <c r="D1389" s="40"/>
    </row>
    <row r="1390">
      <c r="D1390" s="40"/>
    </row>
    <row r="1391">
      <c r="D1391" s="40"/>
    </row>
    <row r="1392">
      <c r="D1392" s="40"/>
    </row>
    <row r="1393">
      <c r="D1393" s="40"/>
    </row>
    <row r="1394">
      <c r="D1394" s="40"/>
    </row>
    <row r="1395">
      <c r="D1395" s="40"/>
    </row>
    <row r="1396">
      <c r="D1396" s="40"/>
    </row>
    <row r="1397">
      <c r="D1397" s="40"/>
    </row>
    <row r="1398">
      <c r="D1398" s="40"/>
    </row>
    <row r="1399">
      <c r="D1399" s="40"/>
    </row>
    <row r="1400">
      <c r="D1400" s="40"/>
    </row>
    <row r="1401">
      <c r="D1401" s="40"/>
    </row>
    <row r="1402">
      <c r="D1402" s="40"/>
    </row>
    <row r="1403">
      <c r="D1403" s="40"/>
    </row>
    <row r="1404">
      <c r="D1404" s="40"/>
    </row>
    <row r="1405">
      <c r="D1405" s="40"/>
    </row>
    <row r="1406">
      <c r="D1406" s="40"/>
    </row>
    <row r="1407">
      <c r="D1407" s="40"/>
    </row>
    <row r="1408">
      <c r="D1408" s="40"/>
    </row>
    <row r="1409">
      <c r="D1409" s="40"/>
    </row>
    <row r="1410">
      <c r="D1410" s="40"/>
    </row>
    <row r="1411">
      <c r="D1411" s="40"/>
    </row>
    <row r="1412">
      <c r="D1412" s="40"/>
    </row>
    <row r="1413">
      <c r="D1413" s="40"/>
    </row>
    <row r="1414">
      <c r="D1414" s="40"/>
    </row>
    <row r="1415">
      <c r="D1415" s="40"/>
    </row>
    <row r="1416">
      <c r="D1416" s="40"/>
    </row>
    <row r="1417">
      <c r="D1417" s="40"/>
    </row>
    <row r="1418">
      <c r="D1418" s="40"/>
    </row>
    <row r="1419">
      <c r="D1419" s="40"/>
    </row>
    <row r="1420">
      <c r="D1420" s="40"/>
    </row>
    <row r="1421">
      <c r="D1421" s="40"/>
    </row>
    <row r="1422">
      <c r="D1422" s="40"/>
    </row>
    <row r="1423">
      <c r="D1423" s="40"/>
    </row>
    <row r="1424">
      <c r="D1424" s="40"/>
    </row>
    <row r="1425">
      <c r="D1425" s="40"/>
    </row>
    <row r="1426">
      <c r="D1426" s="40"/>
    </row>
    <row r="1427">
      <c r="D1427" s="40"/>
    </row>
    <row r="1428">
      <c r="D1428" s="40"/>
    </row>
    <row r="1429">
      <c r="D1429" s="40"/>
    </row>
    <row r="1430">
      <c r="D1430" s="40"/>
    </row>
    <row r="1431">
      <c r="D1431" s="40"/>
    </row>
    <row r="1432">
      <c r="D1432" s="40"/>
    </row>
    <row r="1433">
      <c r="D1433" s="40"/>
    </row>
    <row r="1434">
      <c r="D1434" s="40"/>
    </row>
    <row r="1435">
      <c r="D1435" s="40"/>
    </row>
    <row r="1436">
      <c r="D1436" s="40"/>
    </row>
    <row r="1437">
      <c r="D1437" s="40"/>
    </row>
    <row r="1438">
      <c r="D1438" s="40"/>
    </row>
    <row r="1439">
      <c r="D1439" s="40"/>
    </row>
    <row r="1440">
      <c r="D1440" s="40"/>
    </row>
    <row r="1441">
      <c r="D1441" s="40"/>
    </row>
    <row r="1442">
      <c r="D1442" s="40"/>
    </row>
    <row r="1443">
      <c r="D1443" s="40"/>
    </row>
    <row r="1444">
      <c r="D1444" s="40"/>
    </row>
    <row r="1445">
      <c r="D1445" s="40"/>
    </row>
    <row r="1446">
      <c r="D1446" s="40"/>
    </row>
    <row r="1447">
      <c r="D1447" s="40"/>
    </row>
    <row r="1448">
      <c r="D1448" s="40"/>
    </row>
    <row r="1449">
      <c r="D1449" s="40"/>
    </row>
    <row r="1450">
      <c r="D1450" s="40"/>
    </row>
    <row r="1451">
      <c r="D1451" s="40"/>
    </row>
    <row r="1452">
      <c r="D1452" s="40"/>
    </row>
    <row r="1453">
      <c r="D1453" s="40"/>
    </row>
    <row r="1454">
      <c r="D1454" s="40"/>
    </row>
    <row r="1455">
      <c r="D1455" s="40"/>
    </row>
    <row r="1456">
      <c r="D1456" s="40"/>
    </row>
    <row r="1457">
      <c r="D1457" s="40"/>
    </row>
    <row r="1458">
      <c r="D1458" s="40"/>
    </row>
    <row r="1459">
      <c r="D1459" s="40"/>
    </row>
    <row r="1460">
      <c r="D1460" s="40"/>
    </row>
    <row r="1461">
      <c r="D1461" s="40"/>
    </row>
    <row r="1462">
      <c r="D1462" s="40"/>
    </row>
    <row r="1463">
      <c r="D1463" s="40"/>
    </row>
    <row r="1464">
      <c r="D1464" s="40"/>
    </row>
    <row r="1465">
      <c r="D1465" s="40"/>
    </row>
    <row r="1466">
      <c r="D1466" s="40"/>
    </row>
    <row r="1467">
      <c r="D1467" s="40"/>
    </row>
    <row r="1468">
      <c r="D1468" s="40"/>
    </row>
    <row r="1469">
      <c r="D1469" s="40"/>
    </row>
    <row r="1470">
      <c r="D1470" s="40"/>
    </row>
    <row r="1471">
      <c r="D1471" s="40"/>
    </row>
    <row r="1472">
      <c r="D1472" s="40"/>
    </row>
    <row r="1473">
      <c r="D1473" s="40"/>
    </row>
    <row r="1474">
      <c r="D1474" s="40"/>
    </row>
    <row r="1475">
      <c r="D1475" s="40"/>
    </row>
    <row r="1476">
      <c r="D1476" s="40"/>
    </row>
    <row r="1477">
      <c r="D1477" s="40"/>
    </row>
    <row r="1478">
      <c r="D1478" s="40"/>
    </row>
    <row r="1479">
      <c r="D1479" s="40"/>
    </row>
    <row r="1480">
      <c r="D1480" s="40"/>
    </row>
    <row r="1481">
      <c r="D1481" s="40"/>
    </row>
    <row r="1482">
      <c r="D1482" s="40"/>
    </row>
    <row r="1483">
      <c r="D1483" s="40"/>
    </row>
    <row r="1484">
      <c r="D1484" s="40"/>
    </row>
    <row r="1485">
      <c r="D1485" s="40"/>
    </row>
    <row r="1486">
      <c r="D1486" s="40"/>
    </row>
    <row r="1487">
      <c r="D1487" s="40"/>
    </row>
    <row r="1488">
      <c r="D1488" s="40"/>
    </row>
    <row r="1489">
      <c r="D1489" s="40"/>
    </row>
    <row r="1490">
      <c r="D1490" s="40"/>
    </row>
    <row r="1491">
      <c r="D1491" s="40"/>
    </row>
    <row r="1492">
      <c r="D1492" s="40"/>
    </row>
    <row r="1493">
      <c r="D1493" s="40"/>
    </row>
    <row r="1494">
      <c r="D1494" s="40"/>
    </row>
    <row r="1495">
      <c r="D1495" s="40"/>
    </row>
    <row r="1496">
      <c r="D1496" s="40"/>
    </row>
    <row r="1497">
      <c r="D1497" s="40"/>
    </row>
    <row r="1498">
      <c r="D1498" s="40"/>
    </row>
    <row r="1499">
      <c r="D1499" s="40"/>
    </row>
    <row r="1500">
      <c r="D1500" s="40"/>
    </row>
    <row r="1501">
      <c r="D1501" s="4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63"/>
    <col customWidth="1" min="3" max="3" width="17.13"/>
    <col customWidth="1" min="4" max="4" width="15.88"/>
    <col customWidth="1" min="5" max="5" width="15.25"/>
  </cols>
  <sheetData>
    <row r="1"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/>
    <row r="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  <col customWidth="1" min="3" max="3" width="18.0"/>
    <col customWidth="1" min="4" max="4" width="17.38"/>
    <col customWidth="1" min="5" max="5" width="15.25"/>
  </cols>
  <sheetData>
    <row r="1"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/>
    <row r="3"/>
    <row r="4"/>
    <row r="5"/>
    <row r="6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63"/>
    <col customWidth="1" min="3" max="3" width="17.75"/>
    <col customWidth="1" min="4" max="4" width="19.25"/>
    <col customWidth="1" min="5" max="5" width="15.25"/>
  </cols>
  <sheetData>
    <row r="1"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/>
    <row r="3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5"/>
    <col customWidth="1" min="3" max="3" width="14.38"/>
    <col customWidth="1" min="4" max="4" width="16.88"/>
    <col customWidth="1" min="8" max="8" width="21.75"/>
    <col customWidth="1" min="9" max="9" width="22.5"/>
    <col customWidth="1" min="10" max="10" width="16.25"/>
  </cols>
  <sheetData>
    <row r="1">
      <c r="A1" s="15" t="s">
        <v>40</v>
      </c>
      <c r="B1" s="40" t="s">
        <v>855</v>
      </c>
      <c r="C1" s="15" t="s">
        <v>804</v>
      </c>
      <c r="D1" s="15" t="s">
        <v>35</v>
      </c>
      <c r="G1" s="15" t="s">
        <v>6</v>
      </c>
      <c r="H1" s="40" t="s">
        <v>34</v>
      </c>
      <c r="I1" s="40" t="s">
        <v>855</v>
      </c>
      <c r="J1" s="15" t="s">
        <v>804</v>
      </c>
      <c r="K1" s="15" t="s">
        <v>35</v>
      </c>
    </row>
    <row r="2">
      <c r="A2" s="57" t="s">
        <v>13</v>
      </c>
      <c r="B2" s="58">
        <v>29.0</v>
      </c>
      <c r="C2" s="57">
        <v>103.0</v>
      </c>
      <c r="D2" s="59">
        <v>4.125503414999999E7</v>
      </c>
      <c r="G2" s="60" t="s">
        <v>16</v>
      </c>
      <c r="H2" s="61" t="s">
        <v>317</v>
      </c>
      <c r="I2" s="61">
        <v>32.0</v>
      </c>
      <c r="J2" s="60">
        <v>23.0</v>
      </c>
      <c r="K2" s="62">
        <v>5697679.21</v>
      </c>
    </row>
    <row r="3">
      <c r="A3" s="57" t="s">
        <v>37</v>
      </c>
      <c r="B3" s="58">
        <v>28.5</v>
      </c>
      <c r="C3" s="57">
        <v>112.0</v>
      </c>
      <c r="D3" s="59">
        <v>5.3940997160000026E7</v>
      </c>
      <c r="G3" s="60"/>
      <c r="H3" s="61" t="s">
        <v>91</v>
      </c>
      <c r="I3" s="61">
        <v>24.0</v>
      </c>
      <c r="J3" s="60">
        <v>29.0</v>
      </c>
      <c r="K3" s="62">
        <v>9422353.180000002</v>
      </c>
    </row>
    <row r="4">
      <c r="A4" s="57" t="s">
        <v>42</v>
      </c>
      <c r="B4" s="58">
        <v>28.0</v>
      </c>
      <c r="C4" s="57">
        <v>114.0</v>
      </c>
      <c r="D4" s="59">
        <v>9.272330617E7</v>
      </c>
      <c r="G4" s="60"/>
      <c r="H4" s="61" t="s">
        <v>241</v>
      </c>
      <c r="I4" s="61">
        <v>23.5</v>
      </c>
      <c r="J4" s="60">
        <v>30.0</v>
      </c>
      <c r="K4" s="62">
        <v>1.0032220559999997E7</v>
      </c>
    </row>
    <row r="5">
      <c r="A5" s="15" t="s">
        <v>31</v>
      </c>
      <c r="B5" s="40">
        <v>27.0</v>
      </c>
      <c r="C5" s="15">
        <v>123.0</v>
      </c>
      <c r="D5" s="19">
        <v>7.797717625E7</v>
      </c>
      <c r="G5" s="63" t="s">
        <v>28</v>
      </c>
      <c r="H5" s="64" t="s">
        <v>379</v>
      </c>
      <c r="I5" s="64">
        <v>36.0</v>
      </c>
      <c r="J5" s="63">
        <v>25.0</v>
      </c>
      <c r="K5" s="65">
        <v>1.3786231030000001E7</v>
      </c>
    </row>
    <row r="6">
      <c r="A6" s="15" t="s">
        <v>46</v>
      </c>
      <c r="B6" s="40">
        <v>25.0</v>
      </c>
      <c r="C6" s="15">
        <v>103.0</v>
      </c>
      <c r="D6" s="19">
        <v>2.7027422400000002E7</v>
      </c>
      <c r="G6" s="63"/>
      <c r="H6" s="64" t="s">
        <v>627</v>
      </c>
      <c r="I6" s="64">
        <v>34.0</v>
      </c>
      <c r="J6" s="63">
        <v>32.0</v>
      </c>
      <c r="K6" s="65">
        <v>1.3267682639999999E7</v>
      </c>
    </row>
    <row r="7">
      <c r="A7" s="15" t="s">
        <v>39</v>
      </c>
      <c r="B7" s="40">
        <v>25.0</v>
      </c>
      <c r="C7" s="15">
        <v>111.0</v>
      </c>
      <c r="D7" s="19">
        <v>3.033773599999999E7</v>
      </c>
      <c r="G7" s="63"/>
      <c r="H7" s="64" t="s">
        <v>518</v>
      </c>
      <c r="I7" s="64">
        <v>33.0</v>
      </c>
      <c r="J7" s="63">
        <v>13.0</v>
      </c>
      <c r="K7" s="65">
        <v>4797048.77</v>
      </c>
    </row>
    <row r="8">
      <c r="A8" s="15" t="s">
        <v>18</v>
      </c>
      <c r="B8" s="40">
        <v>24.0</v>
      </c>
      <c r="C8" s="15">
        <v>97.0</v>
      </c>
      <c r="D8" s="19">
        <v>7.296246676999995E7</v>
      </c>
      <c r="G8" s="15"/>
      <c r="H8" s="40" t="s">
        <v>683</v>
      </c>
      <c r="I8" s="40">
        <v>32.0</v>
      </c>
      <c r="J8" s="15">
        <v>30.0</v>
      </c>
      <c r="K8" s="19">
        <v>1.2052790029999996E7</v>
      </c>
    </row>
    <row r="9">
      <c r="A9" s="15" t="s">
        <v>33</v>
      </c>
      <c r="B9" s="40">
        <v>23.0</v>
      </c>
      <c r="C9" s="15">
        <v>112.0</v>
      </c>
      <c r="D9" s="19">
        <v>1425929.5200000003</v>
      </c>
      <c r="G9" s="15"/>
      <c r="H9" s="40" t="s">
        <v>294</v>
      </c>
      <c r="I9" s="40">
        <v>31.0</v>
      </c>
      <c r="J9" s="15">
        <v>23.0</v>
      </c>
      <c r="K9" s="19">
        <v>7525362.829999998</v>
      </c>
    </row>
    <row r="10">
      <c r="A10" s="15" t="s">
        <v>27</v>
      </c>
      <c r="B10" s="40">
        <v>23.0</v>
      </c>
      <c r="C10" s="15">
        <v>121.0</v>
      </c>
      <c r="D10" s="19">
        <v>9601662.780000001</v>
      </c>
      <c r="G10" s="15"/>
      <c r="H10" s="40" t="s">
        <v>469</v>
      </c>
      <c r="I10" s="40">
        <v>30.5</v>
      </c>
      <c r="J10" s="15">
        <v>28.0</v>
      </c>
      <c r="K10" s="19">
        <v>9870766.110000001</v>
      </c>
    </row>
    <row r="11">
      <c r="A11" s="15" t="s">
        <v>36</v>
      </c>
      <c r="B11" s="40">
        <v>21.0</v>
      </c>
      <c r="C11" s="15">
        <v>114.0</v>
      </c>
      <c r="D11" s="19">
        <v>3.677600272E7</v>
      </c>
      <c r="G11" s="15"/>
      <c r="H11" s="40" t="s">
        <v>466</v>
      </c>
      <c r="I11" s="40">
        <v>30.0</v>
      </c>
      <c r="J11" s="15">
        <v>25.0</v>
      </c>
      <c r="K11" s="19">
        <v>7997297.83</v>
      </c>
    </row>
    <row r="12">
      <c r="A12" s="15" t="s">
        <v>22</v>
      </c>
      <c r="B12" s="40">
        <v>21.0</v>
      </c>
      <c r="C12" s="15">
        <v>105.0</v>
      </c>
      <c r="D12" s="19">
        <v>4.343131440000002E7</v>
      </c>
      <c r="G12" s="15"/>
      <c r="H12" s="40" t="s">
        <v>147</v>
      </c>
      <c r="I12" s="40">
        <v>30.0</v>
      </c>
      <c r="J12" s="15">
        <v>33.0</v>
      </c>
      <c r="K12" s="19">
        <v>1.3257602770000001E7</v>
      </c>
    </row>
    <row r="13">
      <c r="A13" s="15" t="s">
        <v>50</v>
      </c>
      <c r="B13" s="40">
        <v>20.0</v>
      </c>
      <c r="C13" s="15">
        <v>115.0</v>
      </c>
      <c r="D13" s="19">
        <v>1.3975410680000003E7</v>
      </c>
      <c r="G13" s="15"/>
      <c r="H13" s="40" t="s">
        <v>772</v>
      </c>
      <c r="I13" s="40">
        <v>29.0</v>
      </c>
      <c r="J13" s="15">
        <v>33.0</v>
      </c>
      <c r="K13" s="19">
        <v>1.4804925739999998E7</v>
      </c>
    </row>
    <row r="14">
      <c r="B14" s="40"/>
      <c r="G14" s="15"/>
      <c r="H14" s="40" t="s">
        <v>523</v>
      </c>
      <c r="I14" s="40">
        <v>29.0</v>
      </c>
      <c r="J14" s="15">
        <v>28.0</v>
      </c>
      <c r="K14" s="19">
        <v>1.1169660559999999E7</v>
      </c>
    </row>
    <row r="15">
      <c r="B15" s="40"/>
      <c r="G15" s="15"/>
      <c r="H15" s="40" t="s">
        <v>102</v>
      </c>
      <c r="I15" s="40">
        <v>29.0</v>
      </c>
      <c r="J15" s="15">
        <v>28.0</v>
      </c>
      <c r="K15" s="19">
        <v>1.002750964E7</v>
      </c>
    </row>
    <row r="16">
      <c r="B16" s="40"/>
      <c r="G16" s="15"/>
      <c r="H16" s="40" t="s">
        <v>125</v>
      </c>
      <c r="I16" s="40">
        <v>28.5</v>
      </c>
      <c r="J16" s="15">
        <v>26.0</v>
      </c>
      <c r="K16" s="19">
        <v>7476060.14</v>
      </c>
    </row>
    <row r="17">
      <c r="B17" s="40"/>
      <c r="G17" s="15"/>
      <c r="H17" s="40" t="s">
        <v>718</v>
      </c>
      <c r="I17" s="40">
        <v>28.0</v>
      </c>
      <c r="J17" s="15">
        <v>29.0</v>
      </c>
      <c r="K17" s="19">
        <v>1.1155328590000002E7</v>
      </c>
    </row>
    <row r="18">
      <c r="B18" s="40"/>
      <c r="G18" s="15"/>
      <c r="H18" s="40" t="s">
        <v>244</v>
      </c>
      <c r="I18" s="40">
        <v>28.0</v>
      </c>
      <c r="J18" s="15">
        <v>31.0</v>
      </c>
      <c r="K18" s="19">
        <v>1.363559378E7</v>
      </c>
    </row>
    <row r="19">
      <c r="B19" s="40"/>
      <c r="G19" s="15"/>
      <c r="H19" s="40" t="s">
        <v>721</v>
      </c>
      <c r="I19" s="40">
        <v>27.5</v>
      </c>
      <c r="J19" s="15">
        <v>28.0</v>
      </c>
      <c r="K19" s="19">
        <v>1.1037297599999998E7</v>
      </c>
    </row>
    <row r="20">
      <c r="B20" s="40"/>
      <c r="G20" s="15"/>
      <c r="H20" s="40" t="s">
        <v>609</v>
      </c>
      <c r="I20" s="40">
        <v>27.0</v>
      </c>
      <c r="J20" s="15">
        <v>28.0</v>
      </c>
      <c r="K20" s="19">
        <v>1.0671100990000002E7</v>
      </c>
    </row>
    <row r="21">
      <c r="B21" s="40"/>
      <c r="G21" s="15"/>
      <c r="H21" s="40" t="s">
        <v>547</v>
      </c>
      <c r="I21" s="40">
        <v>27.0</v>
      </c>
      <c r="J21" s="15">
        <v>24.0</v>
      </c>
      <c r="K21" s="19">
        <v>5762490.7</v>
      </c>
    </row>
    <row r="22">
      <c r="B22" s="40"/>
      <c r="G22" s="15"/>
      <c r="H22" s="40" t="s">
        <v>43</v>
      </c>
      <c r="I22" s="40">
        <v>27.0</v>
      </c>
      <c r="J22" s="15">
        <v>21.0</v>
      </c>
      <c r="K22" s="19">
        <v>1.0490706019999998E7</v>
      </c>
    </row>
    <row r="23">
      <c r="B23" s="40"/>
      <c r="G23" s="15"/>
      <c r="H23" s="40" t="s">
        <v>121</v>
      </c>
      <c r="I23" s="40">
        <v>26.5</v>
      </c>
      <c r="J23" s="15">
        <v>28.0</v>
      </c>
      <c r="K23" s="19">
        <v>1.1852421049999997E7</v>
      </c>
    </row>
    <row r="24">
      <c r="B24" s="40"/>
      <c r="G24" s="15"/>
      <c r="H24" s="40" t="s">
        <v>166</v>
      </c>
      <c r="I24" s="40">
        <v>26.0</v>
      </c>
      <c r="J24" s="15">
        <v>30.0</v>
      </c>
      <c r="K24" s="19">
        <v>1.0408342610000001E7</v>
      </c>
    </row>
    <row r="25">
      <c r="B25" s="40"/>
      <c r="G25" s="15"/>
      <c r="H25" s="40" t="s">
        <v>68</v>
      </c>
      <c r="I25" s="40">
        <v>26.0</v>
      </c>
      <c r="J25" s="15">
        <v>40.0</v>
      </c>
      <c r="K25" s="19">
        <v>1.5410036629999997E7</v>
      </c>
    </row>
    <row r="26">
      <c r="B26" s="40"/>
      <c r="G26" s="15"/>
      <c r="H26" s="40" t="s">
        <v>297</v>
      </c>
      <c r="I26" s="40">
        <v>25.5</v>
      </c>
      <c r="J26" s="15">
        <v>26.0</v>
      </c>
      <c r="K26" s="19">
        <v>1.0842345660000002E7</v>
      </c>
    </row>
    <row r="27">
      <c r="B27" s="40"/>
      <c r="G27" s="15"/>
      <c r="H27" s="40" t="s">
        <v>686</v>
      </c>
      <c r="I27" s="40">
        <v>25.0</v>
      </c>
      <c r="J27" s="15">
        <v>27.0</v>
      </c>
      <c r="K27" s="19">
        <v>1.2123524519999998E7</v>
      </c>
    </row>
    <row r="28">
      <c r="B28" s="40"/>
      <c r="G28" s="15"/>
      <c r="H28" s="40" t="s">
        <v>703</v>
      </c>
      <c r="I28" s="40">
        <v>24.5</v>
      </c>
      <c r="J28" s="15">
        <v>26.0</v>
      </c>
      <c r="K28" s="19">
        <v>8002174.019999998</v>
      </c>
    </row>
    <row r="29">
      <c r="B29" s="40"/>
      <c r="G29" s="15"/>
      <c r="H29" s="40" t="s">
        <v>624</v>
      </c>
      <c r="I29" s="40">
        <v>24.0</v>
      </c>
      <c r="J29" s="15">
        <v>34.0</v>
      </c>
      <c r="K29" s="19">
        <v>1.079354869E7</v>
      </c>
    </row>
    <row r="30">
      <c r="B30" s="40"/>
      <c r="G30" s="15"/>
      <c r="H30" s="40" t="s">
        <v>320</v>
      </c>
      <c r="I30" s="40">
        <v>24.0</v>
      </c>
      <c r="J30" s="15">
        <v>26.0</v>
      </c>
      <c r="K30" s="19">
        <v>1.15829191E7</v>
      </c>
    </row>
    <row r="31">
      <c r="B31" s="40"/>
      <c r="G31" s="15"/>
      <c r="H31" s="40" t="s">
        <v>576</v>
      </c>
      <c r="I31" s="40">
        <v>23.5</v>
      </c>
      <c r="J31" s="15">
        <v>30.0</v>
      </c>
      <c r="K31" s="19">
        <v>9875771.809999999</v>
      </c>
    </row>
    <row r="32">
      <c r="B32" s="40"/>
      <c r="G32" s="15"/>
      <c r="H32" s="40" t="s">
        <v>407</v>
      </c>
      <c r="I32" s="40">
        <v>23.5</v>
      </c>
      <c r="J32" s="15">
        <v>30.0</v>
      </c>
      <c r="K32" s="19">
        <v>1.0913921969999999E7</v>
      </c>
    </row>
    <row r="33">
      <c r="B33" s="40"/>
      <c r="G33" s="15"/>
      <c r="H33" s="40" t="s">
        <v>329</v>
      </c>
      <c r="I33" s="40">
        <v>23.5</v>
      </c>
      <c r="J33" s="15">
        <v>32.0</v>
      </c>
      <c r="K33" s="19">
        <v>1.2324450129999999E7</v>
      </c>
    </row>
    <row r="34">
      <c r="B34" s="40"/>
      <c r="G34" s="15"/>
      <c r="H34" s="40" t="s">
        <v>490</v>
      </c>
      <c r="I34" s="40">
        <v>23.0</v>
      </c>
      <c r="J34" s="15">
        <v>32.0</v>
      </c>
      <c r="K34" s="19">
        <v>1.4610127880000005E7</v>
      </c>
    </row>
    <row r="35">
      <c r="B35" s="40"/>
      <c r="G35" s="15"/>
      <c r="H35" s="40" t="s">
        <v>397</v>
      </c>
      <c r="I35" s="40">
        <v>22.5</v>
      </c>
      <c r="J35" s="15">
        <v>30.0</v>
      </c>
      <c r="K35" s="19">
        <v>9830365.71</v>
      </c>
    </row>
    <row r="36">
      <c r="B36" s="40"/>
      <c r="G36" s="15"/>
      <c r="H36" s="40" t="s">
        <v>448</v>
      </c>
      <c r="I36" s="40">
        <v>21.0</v>
      </c>
      <c r="J36" s="15">
        <v>27.0</v>
      </c>
      <c r="K36" s="19">
        <v>1.075928529E7</v>
      </c>
    </row>
    <row r="37">
      <c r="B37" s="40"/>
      <c r="G37" s="15"/>
      <c r="H37" s="40" t="s">
        <v>382</v>
      </c>
      <c r="I37" s="40">
        <v>21.0</v>
      </c>
      <c r="J37" s="15">
        <v>23.0</v>
      </c>
      <c r="K37" s="19">
        <v>7278112.149999999</v>
      </c>
    </row>
    <row r="38">
      <c r="B38" s="40"/>
      <c r="G38" s="15"/>
      <c r="H38" s="40" t="s">
        <v>247</v>
      </c>
      <c r="I38" s="40">
        <v>21.0</v>
      </c>
      <c r="J38" s="15">
        <v>26.0</v>
      </c>
      <c r="K38" s="19">
        <v>9617418.06</v>
      </c>
    </row>
    <row r="39">
      <c r="B39" s="40"/>
      <c r="G39" s="15"/>
      <c r="H39" s="40" t="s">
        <v>657</v>
      </c>
      <c r="I39" s="40">
        <v>20.5</v>
      </c>
      <c r="J39" s="15">
        <v>40.0</v>
      </c>
      <c r="K39" s="19">
        <v>1.3792992809999999E7</v>
      </c>
    </row>
    <row r="40">
      <c r="B40" s="40"/>
      <c r="G40" s="15"/>
      <c r="H40" s="40" t="s">
        <v>571</v>
      </c>
      <c r="I40" s="40">
        <v>19.5</v>
      </c>
      <c r="J40" s="15">
        <v>32.0</v>
      </c>
      <c r="K40" s="19">
        <v>1.3684099949999996E7</v>
      </c>
    </row>
    <row r="41">
      <c r="B41" s="40"/>
      <c r="G41" s="15"/>
      <c r="H41" s="40" t="s">
        <v>777</v>
      </c>
      <c r="I41" s="40">
        <v>19.0</v>
      </c>
      <c r="J41" s="15">
        <v>23.0</v>
      </c>
      <c r="K41" s="19">
        <v>9326312.209999999</v>
      </c>
    </row>
    <row r="42">
      <c r="B42" s="40"/>
      <c r="G42" s="15"/>
      <c r="H42" s="40" t="s">
        <v>612</v>
      </c>
      <c r="I42" s="40">
        <v>19.0</v>
      </c>
      <c r="J42" s="15">
        <v>25.0</v>
      </c>
      <c r="K42" s="19">
        <v>1.1345407589999998E7</v>
      </c>
    </row>
    <row r="43">
      <c r="B43" s="40"/>
      <c r="G43" s="15"/>
      <c r="H43" s="40" t="s">
        <v>463</v>
      </c>
      <c r="I43" s="40">
        <v>18.5</v>
      </c>
      <c r="J43" s="15">
        <v>24.0</v>
      </c>
      <c r="K43" s="19">
        <v>8397411.110000001</v>
      </c>
    </row>
    <row r="44">
      <c r="B44" s="40"/>
      <c r="G44" s="15"/>
      <c r="H44" s="40" t="s">
        <v>668</v>
      </c>
      <c r="I44" s="40">
        <v>18.0</v>
      </c>
      <c r="J44" s="15">
        <v>29.0</v>
      </c>
      <c r="K44" s="19">
        <v>1.185351438E7</v>
      </c>
    </row>
    <row r="45">
      <c r="B45" s="40"/>
      <c r="G45" s="15"/>
      <c r="H45" s="40" t="s">
        <v>275</v>
      </c>
      <c r="I45" s="40">
        <v>17.0</v>
      </c>
      <c r="J45" s="15">
        <v>23.0</v>
      </c>
      <c r="K45" s="19">
        <v>7828593.5600000005</v>
      </c>
    </row>
    <row r="46">
      <c r="B46" s="40"/>
      <c r="G46" s="15"/>
      <c r="H46" s="40" t="s">
        <v>230</v>
      </c>
      <c r="I46" s="40">
        <v>12.5</v>
      </c>
      <c r="J46" s="15">
        <v>18.0</v>
      </c>
      <c r="K46" s="19">
        <v>7318229.449999998</v>
      </c>
    </row>
    <row r="47">
      <c r="B47" s="40"/>
      <c r="H47" s="40"/>
      <c r="I47" s="40"/>
    </row>
    <row r="48">
      <c r="B48" s="40"/>
      <c r="H48" s="40"/>
      <c r="I48" s="40"/>
    </row>
    <row r="49">
      <c r="B49" s="40"/>
      <c r="H49" s="40"/>
      <c r="I49" s="40"/>
    </row>
    <row r="50">
      <c r="B50" s="40"/>
      <c r="H50" s="40"/>
      <c r="I50" s="40"/>
    </row>
    <row r="51">
      <c r="B51" s="40"/>
      <c r="H51" s="40"/>
      <c r="I51" s="40"/>
    </row>
    <row r="52">
      <c r="B52" s="40"/>
      <c r="H52" s="40"/>
      <c r="I52" s="40"/>
    </row>
    <row r="53">
      <c r="A53" s="66" t="s">
        <v>863</v>
      </c>
      <c r="B53" s="40"/>
      <c r="H53" s="40"/>
      <c r="I53" s="40"/>
    </row>
    <row r="54">
      <c r="A54" s="7" t="s">
        <v>864</v>
      </c>
      <c r="B54" s="40"/>
      <c r="H54" s="40"/>
      <c r="I54" s="40"/>
    </row>
    <row r="55">
      <c r="A55" s="7" t="s">
        <v>865</v>
      </c>
      <c r="B55" s="40"/>
      <c r="H55" s="40"/>
      <c r="I55" s="40"/>
    </row>
    <row r="56">
      <c r="A56" s="7" t="s">
        <v>866</v>
      </c>
      <c r="B56" s="40"/>
      <c r="H56" s="40"/>
      <c r="I56" s="40"/>
    </row>
    <row r="57">
      <c r="B57" s="40"/>
      <c r="H57" s="40"/>
      <c r="I57" s="40"/>
    </row>
    <row r="58">
      <c r="B58" s="40"/>
      <c r="H58" s="40"/>
      <c r="I58" s="40"/>
    </row>
    <row r="59">
      <c r="B59" s="40"/>
      <c r="H59" s="40"/>
      <c r="I59" s="40"/>
    </row>
    <row r="60">
      <c r="B60" s="40"/>
      <c r="H60" s="40"/>
      <c r="I60" s="40"/>
    </row>
    <row r="61">
      <c r="B61" s="40"/>
      <c r="H61" s="40"/>
      <c r="I61" s="40"/>
    </row>
    <row r="62">
      <c r="B62" s="40"/>
      <c r="H62" s="40"/>
      <c r="I62" s="40"/>
    </row>
    <row r="63">
      <c r="B63" s="40"/>
      <c r="H63" s="40"/>
      <c r="I63" s="40"/>
    </row>
    <row r="64">
      <c r="B64" s="40"/>
      <c r="H64" s="40"/>
      <c r="I64" s="40"/>
    </row>
    <row r="65">
      <c r="B65" s="40"/>
      <c r="H65" s="40"/>
      <c r="I65" s="40"/>
    </row>
    <row r="66">
      <c r="B66" s="40"/>
      <c r="H66" s="40"/>
      <c r="I66" s="40"/>
    </row>
    <row r="67">
      <c r="B67" s="40"/>
      <c r="H67" s="40"/>
      <c r="I67" s="40"/>
    </row>
    <row r="68">
      <c r="B68" s="40"/>
      <c r="H68" s="40"/>
      <c r="I68" s="40"/>
    </row>
    <row r="69">
      <c r="B69" s="40"/>
      <c r="H69" s="40"/>
      <c r="I69" s="40"/>
    </row>
    <row r="70">
      <c r="B70" s="40"/>
      <c r="H70" s="40"/>
      <c r="I70" s="40"/>
    </row>
    <row r="71">
      <c r="B71" s="40"/>
      <c r="H71" s="40"/>
      <c r="I71" s="40"/>
    </row>
    <row r="72">
      <c r="B72" s="40"/>
      <c r="H72" s="40"/>
      <c r="I72" s="40"/>
    </row>
    <row r="73">
      <c r="B73" s="40"/>
      <c r="H73" s="40"/>
      <c r="I73" s="40"/>
    </row>
    <row r="74">
      <c r="B74" s="40"/>
      <c r="H74" s="40"/>
      <c r="I74" s="40"/>
    </row>
    <row r="75">
      <c r="B75" s="40"/>
      <c r="H75" s="40"/>
      <c r="I75" s="40"/>
    </row>
    <row r="76">
      <c r="B76" s="40"/>
      <c r="H76" s="40"/>
      <c r="I76" s="40"/>
    </row>
    <row r="77">
      <c r="B77" s="40"/>
      <c r="H77" s="40"/>
      <c r="I77" s="40"/>
    </row>
    <row r="78">
      <c r="B78" s="40"/>
      <c r="H78" s="40"/>
      <c r="I78" s="40"/>
    </row>
    <row r="79">
      <c r="B79" s="40"/>
      <c r="H79" s="40"/>
      <c r="I79" s="40"/>
    </row>
    <row r="80">
      <c r="B80" s="40"/>
      <c r="H80" s="40"/>
      <c r="I80" s="40"/>
    </row>
    <row r="81">
      <c r="B81" s="40"/>
      <c r="H81" s="40"/>
      <c r="I81" s="40"/>
    </row>
    <row r="82">
      <c r="B82" s="40"/>
      <c r="H82" s="40"/>
      <c r="I82" s="40"/>
    </row>
    <row r="83">
      <c r="B83" s="40"/>
      <c r="H83" s="40"/>
      <c r="I83" s="40"/>
    </row>
    <row r="84">
      <c r="B84" s="40"/>
      <c r="H84" s="40"/>
      <c r="I84" s="40"/>
    </row>
    <row r="85">
      <c r="B85" s="40"/>
      <c r="H85" s="40"/>
      <c r="I85" s="40"/>
    </row>
    <row r="86">
      <c r="B86" s="40"/>
      <c r="H86" s="40"/>
      <c r="I86" s="40"/>
    </row>
    <row r="87">
      <c r="B87" s="40"/>
      <c r="H87" s="40"/>
      <c r="I87" s="40"/>
    </row>
    <row r="88">
      <c r="B88" s="40"/>
      <c r="H88" s="40"/>
      <c r="I88" s="40"/>
    </row>
    <row r="89">
      <c r="B89" s="40"/>
      <c r="H89" s="40"/>
      <c r="I89" s="40"/>
    </row>
    <row r="90">
      <c r="B90" s="40"/>
      <c r="H90" s="40"/>
      <c r="I90" s="40"/>
    </row>
    <row r="91">
      <c r="B91" s="40"/>
      <c r="H91" s="40"/>
      <c r="I91" s="40"/>
    </row>
    <row r="92">
      <c r="B92" s="40"/>
      <c r="H92" s="40"/>
      <c r="I92" s="40"/>
    </row>
    <row r="93">
      <c r="B93" s="40"/>
      <c r="H93" s="40"/>
      <c r="I93" s="40"/>
    </row>
    <row r="94">
      <c r="B94" s="40"/>
      <c r="H94" s="40"/>
      <c r="I94" s="40"/>
    </row>
    <row r="95">
      <c r="B95" s="40"/>
      <c r="H95" s="40"/>
      <c r="I95" s="40"/>
    </row>
    <row r="96">
      <c r="B96" s="40"/>
      <c r="H96" s="40"/>
      <c r="I96" s="40"/>
    </row>
    <row r="97">
      <c r="B97" s="40"/>
      <c r="H97" s="40"/>
      <c r="I97" s="40"/>
    </row>
    <row r="98">
      <c r="B98" s="40"/>
      <c r="H98" s="40"/>
      <c r="I98" s="40"/>
    </row>
    <row r="99">
      <c r="B99" s="40"/>
      <c r="H99" s="40"/>
      <c r="I99" s="40"/>
    </row>
    <row r="100">
      <c r="B100" s="40"/>
      <c r="H100" s="40"/>
      <c r="I100" s="40"/>
    </row>
    <row r="101">
      <c r="B101" s="40"/>
      <c r="H101" s="40"/>
      <c r="I101" s="40"/>
    </row>
    <row r="102">
      <c r="B102" s="40"/>
      <c r="H102" s="40"/>
      <c r="I102" s="40"/>
    </row>
    <row r="103">
      <c r="B103" s="40"/>
      <c r="H103" s="40"/>
      <c r="I103" s="40"/>
    </row>
    <row r="104">
      <c r="B104" s="40"/>
      <c r="H104" s="40"/>
      <c r="I104" s="40"/>
    </row>
    <row r="105">
      <c r="B105" s="40"/>
      <c r="H105" s="40"/>
      <c r="I105" s="40"/>
    </row>
    <row r="106">
      <c r="B106" s="40"/>
      <c r="H106" s="40"/>
      <c r="I106" s="40"/>
    </row>
    <row r="107">
      <c r="B107" s="40"/>
      <c r="H107" s="40"/>
      <c r="I107" s="40"/>
    </row>
    <row r="108">
      <c r="B108" s="40"/>
      <c r="H108" s="40"/>
      <c r="I108" s="40"/>
    </row>
    <row r="109">
      <c r="B109" s="40"/>
      <c r="H109" s="40"/>
      <c r="I109" s="40"/>
    </row>
    <row r="110">
      <c r="B110" s="40"/>
      <c r="H110" s="40"/>
      <c r="I110" s="40"/>
    </row>
    <row r="111">
      <c r="B111" s="40"/>
      <c r="H111" s="40"/>
      <c r="I111" s="40"/>
    </row>
    <row r="112">
      <c r="B112" s="40"/>
      <c r="H112" s="40"/>
      <c r="I112" s="40"/>
    </row>
    <row r="113">
      <c r="B113" s="40"/>
      <c r="H113" s="40"/>
      <c r="I113" s="40"/>
    </row>
    <row r="114">
      <c r="B114" s="40"/>
      <c r="H114" s="40"/>
      <c r="I114" s="40"/>
    </row>
    <row r="115">
      <c r="B115" s="40"/>
      <c r="H115" s="40"/>
      <c r="I115" s="40"/>
    </row>
    <row r="116">
      <c r="B116" s="40"/>
      <c r="H116" s="40"/>
      <c r="I116" s="40"/>
    </row>
    <row r="117">
      <c r="B117" s="40"/>
      <c r="H117" s="40"/>
      <c r="I117" s="40"/>
    </row>
    <row r="118">
      <c r="B118" s="40"/>
      <c r="H118" s="40"/>
      <c r="I118" s="40"/>
    </row>
    <row r="119">
      <c r="B119" s="40"/>
      <c r="H119" s="40"/>
      <c r="I119" s="40"/>
    </row>
    <row r="120">
      <c r="B120" s="40"/>
      <c r="H120" s="40"/>
      <c r="I120" s="40"/>
    </row>
    <row r="121">
      <c r="B121" s="40"/>
      <c r="H121" s="40"/>
      <c r="I121" s="40"/>
    </row>
    <row r="122">
      <c r="B122" s="40"/>
      <c r="H122" s="40"/>
      <c r="I122" s="40"/>
    </row>
    <row r="123">
      <c r="B123" s="40"/>
      <c r="H123" s="40"/>
      <c r="I123" s="40"/>
    </row>
    <row r="124">
      <c r="B124" s="40"/>
      <c r="H124" s="40"/>
      <c r="I124" s="40"/>
    </row>
    <row r="125">
      <c r="B125" s="40"/>
      <c r="H125" s="40"/>
      <c r="I125" s="40"/>
    </row>
    <row r="126">
      <c r="B126" s="40"/>
      <c r="H126" s="40"/>
      <c r="I126" s="40"/>
    </row>
    <row r="127">
      <c r="B127" s="40"/>
      <c r="H127" s="40"/>
      <c r="I127" s="40"/>
    </row>
    <row r="128">
      <c r="B128" s="40"/>
      <c r="H128" s="40"/>
      <c r="I128" s="40"/>
    </row>
    <row r="129">
      <c r="B129" s="40"/>
      <c r="H129" s="40"/>
      <c r="I129" s="40"/>
    </row>
    <row r="130">
      <c r="B130" s="40"/>
      <c r="H130" s="40"/>
      <c r="I130" s="40"/>
    </row>
    <row r="131">
      <c r="B131" s="40"/>
      <c r="H131" s="40"/>
      <c r="I131" s="40"/>
    </row>
    <row r="132">
      <c r="B132" s="40"/>
      <c r="H132" s="40"/>
      <c r="I132" s="40"/>
    </row>
    <row r="133">
      <c r="B133" s="40"/>
      <c r="H133" s="40"/>
      <c r="I133" s="40"/>
    </row>
    <row r="134">
      <c r="B134" s="40"/>
      <c r="H134" s="40"/>
      <c r="I134" s="40"/>
    </row>
    <row r="135">
      <c r="B135" s="40"/>
      <c r="H135" s="40"/>
      <c r="I135" s="40"/>
    </row>
    <row r="136">
      <c r="B136" s="40"/>
      <c r="H136" s="40"/>
      <c r="I136" s="40"/>
    </row>
    <row r="137">
      <c r="B137" s="40"/>
      <c r="H137" s="40"/>
      <c r="I137" s="40"/>
    </row>
    <row r="138">
      <c r="B138" s="40"/>
      <c r="H138" s="40"/>
      <c r="I138" s="40"/>
    </row>
    <row r="139">
      <c r="B139" s="40"/>
      <c r="H139" s="40"/>
      <c r="I139" s="40"/>
    </row>
    <row r="140">
      <c r="B140" s="40"/>
      <c r="H140" s="40"/>
      <c r="I140" s="40"/>
    </row>
    <row r="141">
      <c r="B141" s="40"/>
      <c r="H141" s="40"/>
      <c r="I141" s="40"/>
    </row>
    <row r="142">
      <c r="B142" s="40"/>
      <c r="H142" s="40"/>
      <c r="I142" s="40"/>
    </row>
    <row r="143">
      <c r="B143" s="40"/>
      <c r="H143" s="40"/>
      <c r="I143" s="40"/>
    </row>
    <row r="144">
      <c r="B144" s="40"/>
      <c r="H144" s="40"/>
      <c r="I144" s="40"/>
    </row>
    <row r="145">
      <c r="B145" s="40"/>
      <c r="H145" s="40"/>
      <c r="I145" s="40"/>
    </row>
    <row r="146">
      <c r="B146" s="40"/>
      <c r="H146" s="40"/>
      <c r="I146" s="40"/>
    </row>
    <row r="147">
      <c r="B147" s="40"/>
      <c r="H147" s="40"/>
      <c r="I147" s="40"/>
    </row>
    <row r="148">
      <c r="B148" s="40"/>
      <c r="H148" s="40"/>
      <c r="I148" s="40"/>
    </row>
    <row r="149">
      <c r="B149" s="40"/>
      <c r="H149" s="40"/>
      <c r="I149" s="40"/>
    </row>
    <row r="150">
      <c r="B150" s="40"/>
      <c r="H150" s="40"/>
      <c r="I150" s="40"/>
    </row>
    <row r="151">
      <c r="B151" s="40"/>
      <c r="H151" s="40"/>
      <c r="I151" s="40"/>
    </row>
    <row r="152">
      <c r="B152" s="40"/>
      <c r="H152" s="40"/>
      <c r="I152" s="40"/>
    </row>
    <row r="153">
      <c r="B153" s="40"/>
      <c r="H153" s="40"/>
      <c r="I153" s="40"/>
    </row>
    <row r="154">
      <c r="B154" s="40"/>
      <c r="H154" s="40"/>
      <c r="I154" s="40"/>
    </row>
    <row r="155">
      <c r="B155" s="40"/>
      <c r="H155" s="40"/>
      <c r="I155" s="40"/>
    </row>
    <row r="156">
      <c r="B156" s="40"/>
      <c r="H156" s="40"/>
      <c r="I156" s="40"/>
    </row>
    <row r="157">
      <c r="B157" s="40"/>
      <c r="H157" s="40"/>
      <c r="I157" s="40"/>
    </row>
    <row r="158">
      <c r="B158" s="40"/>
      <c r="H158" s="40"/>
      <c r="I158" s="40"/>
    </row>
    <row r="159">
      <c r="B159" s="40"/>
      <c r="H159" s="40"/>
      <c r="I159" s="40"/>
    </row>
    <row r="160">
      <c r="B160" s="40"/>
      <c r="H160" s="40"/>
      <c r="I160" s="40"/>
    </row>
    <row r="161">
      <c r="B161" s="40"/>
      <c r="H161" s="40"/>
      <c r="I161" s="40"/>
    </row>
    <row r="162">
      <c r="B162" s="40"/>
      <c r="H162" s="40"/>
      <c r="I162" s="40"/>
    </row>
    <row r="163">
      <c r="B163" s="40"/>
      <c r="H163" s="40"/>
      <c r="I163" s="40"/>
    </row>
    <row r="164">
      <c r="B164" s="40"/>
      <c r="H164" s="40"/>
      <c r="I164" s="40"/>
    </row>
    <row r="165">
      <c r="B165" s="40"/>
      <c r="H165" s="40"/>
      <c r="I165" s="40"/>
    </row>
    <row r="166">
      <c r="B166" s="40"/>
      <c r="H166" s="40"/>
      <c r="I166" s="40"/>
    </row>
    <row r="167">
      <c r="B167" s="40"/>
      <c r="H167" s="40"/>
      <c r="I167" s="40"/>
    </row>
    <row r="168">
      <c r="B168" s="40"/>
      <c r="H168" s="40"/>
      <c r="I168" s="40"/>
    </row>
    <row r="169">
      <c r="B169" s="40"/>
      <c r="H169" s="40"/>
      <c r="I169" s="40"/>
    </row>
    <row r="170">
      <c r="B170" s="40"/>
      <c r="H170" s="40"/>
      <c r="I170" s="40"/>
    </row>
    <row r="171">
      <c r="B171" s="40"/>
      <c r="H171" s="40"/>
      <c r="I171" s="40"/>
    </row>
    <row r="172">
      <c r="B172" s="40"/>
      <c r="H172" s="40"/>
      <c r="I172" s="40"/>
    </row>
    <row r="173">
      <c r="B173" s="40"/>
      <c r="H173" s="40"/>
      <c r="I173" s="40"/>
    </row>
    <row r="174">
      <c r="B174" s="40"/>
      <c r="H174" s="40"/>
      <c r="I174" s="40"/>
    </row>
    <row r="175">
      <c r="B175" s="40"/>
      <c r="H175" s="40"/>
      <c r="I175" s="40"/>
    </row>
    <row r="176">
      <c r="B176" s="40"/>
      <c r="H176" s="40"/>
      <c r="I176" s="40"/>
    </row>
    <row r="177">
      <c r="B177" s="40"/>
      <c r="H177" s="40"/>
      <c r="I177" s="40"/>
    </row>
    <row r="178">
      <c r="B178" s="40"/>
      <c r="H178" s="40"/>
      <c r="I178" s="40"/>
    </row>
    <row r="179">
      <c r="B179" s="40"/>
      <c r="H179" s="40"/>
      <c r="I179" s="40"/>
    </row>
    <row r="180">
      <c r="B180" s="40"/>
      <c r="H180" s="40"/>
      <c r="I180" s="40"/>
    </row>
    <row r="181">
      <c r="B181" s="40"/>
      <c r="H181" s="40"/>
      <c r="I181" s="40"/>
    </row>
    <row r="182">
      <c r="B182" s="40"/>
      <c r="H182" s="40"/>
      <c r="I182" s="40"/>
    </row>
    <row r="183">
      <c r="B183" s="40"/>
      <c r="H183" s="40"/>
      <c r="I183" s="40"/>
    </row>
    <row r="184">
      <c r="B184" s="40"/>
      <c r="H184" s="40"/>
      <c r="I184" s="40"/>
    </row>
    <row r="185">
      <c r="B185" s="40"/>
      <c r="H185" s="40"/>
      <c r="I185" s="40"/>
    </row>
    <row r="186">
      <c r="B186" s="40"/>
      <c r="H186" s="40"/>
      <c r="I186" s="40"/>
    </row>
    <row r="187">
      <c r="B187" s="40"/>
      <c r="H187" s="40"/>
      <c r="I187" s="40"/>
    </row>
    <row r="188">
      <c r="B188" s="40"/>
      <c r="H188" s="40"/>
      <c r="I188" s="40"/>
    </row>
    <row r="189">
      <c r="B189" s="40"/>
      <c r="H189" s="40"/>
      <c r="I189" s="40"/>
    </row>
    <row r="190">
      <c r="B190" s="40"/>
      <c r="H190" s="40"/>
      <c r="I190" s="40"/>
    </row>
    <row r="191">
      <c r="B191" s="40"/>
      <c r="H191" s="40"/>
      <c r="I191" s="40"/>
    </row>
    <row r="192">
      <c r="B192" s="40"/>
      <c r="H192" s="40"/>
      <c r="I192" s="40"/>
    </row>
    <row r="193">
      <c r="B193" s="40"/>
      <c r="H193" s="40"/>
      <c r="I193" s="40"/>
    </row>
    <row r="194">
      <c r="B194" s="40"/>
      <c r="H194" s="40"/>
      <c r="I194" s="40"/>
    </row>
    <row r="195">
      <c r="B195" s="40"/>
      <c r="H195" s="40"/>
      <c r="I195" s="40"/>
    </row>
    <row r="196">
      <c r="B196" s="40"/>
      <c r="H196" s="40"/>
      <c r="I196" s="40"/>
    </row>
    <row r="197">
      <c r="B197" s="40"/>
      <c r="H197" s="40"/>
      <c r="I197" s="40"/>
    </row>
    <row r="198">
      <c r="B198" s="40"/>
      <c r="H198" s="40"/>
      <c r="I198" s="40"/>
    </row>
    <row r="199">
      <c r="B199" s="40"/>
      <c r="H199" s="40"/>
      <c r="I199" s="40"/>
    </row>
    <row r="200">
      <c r="B200" s="40"/>
      <c r="H200" s="40"/>
      <c r="I200" s="40"/>
    </row>
    <row r="201">
      <c r="B201" s="40"/>
      <c r="H201" s="40"/>
      <c r="I201" s="40"/>
    </row>
    <row r="202">
      <c r="B202" s="40"/>
      <c r="H202" s="40"/>
      <c r="I202" s="40"/>
    </row>
    <row r="203">
      <c r="B203" s="40"/>
      <c r="H203" s="40"/>
      <c r="I203" s="40"/>
    </row>
    <row r="204">
      <c r="B204" s="40"/>
      <c r="H204" s="40"/>
      <c r="I204" s="40"/>
    </row>
    <row r="205">
      <c r="B205" s="40"/>
      <c r="H205" s="40"/>
      <c r="I205" s="40"/>
    </row>
    <row r="206">
      <c r="B206" s="40"/>
      <c r="H206" s="40"/>
      <c r="I206" s="40"/>
    </row>
    <row r="207">
      <c r="B207" s="40"/>
      <c r="H207" s="40"/>
      <c r="I207" s="40"/>
    </row>
    <row r="208">
      <c r="B208" s="40"/>
      <c r="H208" s="40"/>
      <c r="I208" s="40"/>
    </row>
    <row r="209">
      <c r="B209" s="40"/>
      <c r="H209" s="40"/>
      <c r="I209" s="40"/>
    </row>
    <row r="210">
      <c r="B210" s="40"/>
      <c r="H210" s="40"/>
      <c r="I210" s="40"/>
    </row>
    <row r="211">
      <c r="B211" s="40"/>
      <c r="H211" s="40"/>
      <c r="I211" s="40"/>
    </row>
    <row r="212">
      <c r="B212" s="40"/>
      <c r="H212" s="40"/>
      <c r="I212" s="40"/>
    </row>
    <row r="213">
      <c r="B213" s="40"/>
      <c r="H213" s="40"/>
      <c r="I213" s="40"/>
    </row>
    <row r="214">
      <c r="B214" s="40"/>
      <c r="H214" s="40"/>
      <c r="I214" s="40"/>
    </row>
    <row r="215">
      <c r="B215" s="40"/>
      <c r="H215" s="40"/>
      <c r="I215" s="40"/>
    </row>
    <row r="216">
      <c r="B216" s="40"/>
      <c r="H216" s="40"/>
      <c r="I216" s="40"/>
    </row>
    <row r="217">
      <c r="B217" s="40"/>
      <c r="H217" s="40"/>
      <c r="I217" s="40"/>
    </row>
    <row r="218">
      <c r="B218" s="40"/>
      <c r="H218" s="40"/>
      <c r="I218" s="40"/>
    </row>
    <row r="219">
      <c r="B219" s="40"/>
      <c r="H219" s="40"/>
      <c r="I219" s="40"/>
    </row>
    <row r="220">
      <c r="B220" s="40"/>
      <c r="H220" s="40"/>
      <c r="I220" s="40"/>
    </row>
    <row r="221">
      <c r="B221" s="40"/>
      <c r="H221" s="40"/>
      <c r="I221" s="40"/>
    </row>
    <row r="222">
      <c r="B222" s="40"/>
      <c r="H222" s="40"/>
      <c r="I222" s="40"/>
    </row>
    <row r="223">
      <c r="B223" s="40"/>
      <c r="H223" s="40"/>
      <c r="I223" s="40"/>
    </row>
    <row r="224">
      <c r="B224" s="40"/>
      <c r="H224" s="40"/>
      <c r="I224" s="40"/>
    </row>
    <row r="225">
      <c r="B225" s="40"/>
      <c r="H225" s="40"/>
      <c r="I225" s="40"/>
    </row>
    <row r="226">
      <c r="B226" s="40"/>
      <c r="H226" s="40"/>
      <c r="I226" s="40"/>
    </row>
    <row r="227">
      <c r="B227" s="40"/>
      <c r="H227" s="40"/>
      <c r="I227" s="40"/>
    </row>
    <row r="228">
      <c r="B228" s="40"/>
      <c r="H228" s="40"/>
      <c r="I228" s="40"/>
    </row>
    <row r="229">
      <c r="B229" s="40"/>
      <c r="H229" s="40"/>
      <c r="I229" s="40"/>
    </row>
    <row r="230">
      <c r="B230" s="40"/>
      <c r="H230" s="40"/>
      <c r="I230" s="40"/>
    </row>
    <row r="231">
      <c r="B231" s="40"/>
      <c r="H231" s="40"/>
      <c r="I231" s="40"/>
    </row>
    <row r="232">
      <c r="B232" s="40"/>
      <c r="H232" s="40"/>
      <c r="I232" s="40"/>
    </row>
    <row r="233">
      <c r="B233" s="40"/>
      <c r="H233" s="40"/>
      <c r="I233" s="40"/>
    </row>
    <row r="234">
      <c r="B234" s="40"/>
      <c r="H234" s="40"/>
      <c r="I234" s="40"/>
    </row>
    <row r="235">
      <c r="B235" s="40"/>
      <c r="H235" s="40"/>
      <c r="I235" s="40"/>
    </row>
    <row r="236">
      <c r="B236" s="40"/>
      <c r="H236" s="40"/>
      <c r="I236" s="40"/>
    </row>
    <row r="237">
      <c r="B237" s="40"/>
      <c r="H237" s="40"/>
      <c r="I237" s="40"/>
    </row>
    <row r="238">
      <c r="B238" s="40"/>
      <c r="H238" s="40"/>
      <c r="I238" s="40"/>
    </row>
    <row r="239">
      <c r="B239" s="40"/>
      <c r="H239" s="40"/>
      <c r="I239" s="40"/>
    </row>
    <row r="240">
      <c r="B240" s="40"/>
      <c r="H240" s="40"/>
      <c r="I240" s="40"/>
    </row>
    <row r="241">
      <c r="B241" s="40"/>
      <c r="H241" s="40"/>
      <c r="I241" s="40"/>
    </row>
    <row r="242">
      <c r="B242" s="40"/>
      <c r="H242" s="40"/>
      <c r="I242" s="40"/>
    </row>
    <row r="243">
      <c r="B243" s="40"/>
      <c r="H243" s="40"/>
      <c r="I243" s="40"/>
    </row>
    <row r="244">
      <c r="B244" s="40"/>
      <c r="H244" s="40"/>
      <c r="I244" s="40"/>
    </row>
    <row r="245">
      <c r="B245" s="40"/>
      <c r="H245" s="40"/>
      <c r="I245" s="40"/>
    </row>
    <row r="246">
      <c r="B246" s="40"/>
      <c r="H246" s="40"/>
      <c r="I246" s="40"/>
    </row>
    <row r="247">
      <c r="B247" s="40"/>
      <c r="H247" s="40"/>
      <c r="I247" s="40"/>
    </row>
    <row r="248">
      <c r="B248" s="40"/>
      <c r="H248" s="40"/>
      <c r="I248" s="40"/>
    </row>
    <row r="249">
      <c r="B249" s="40"/>
      <c r="H249" s="40"/>
      <c r="I249" s="40"/>
    </row>
    <row r="250">
      <c r="B250" s="40"/>
      <c r="H250" s="40"/>
      <c r="I250" s="40"/>
    </row>
    <row r="251">
      <c r="B251" s="40"/>
      <c r="H251" s="40"/>
      <c r="I251" s="40"/>
    </row>
    <row r="252">
      <c r="B252" s="40"/>
      <c r="H252" s="40"/>
      <c r="I252" s="40"/>
    </row>
    <row r="253">
      <c r="B253" s="40"/>
      <c r="H253" s="40"/>
      <c r="I253" s="40"/>
    </row>
    <row r="254">
      <c r="B254" s="40"/>
      <c r="H254" s="40"/>
      <c r="I254" s="40"/>
    </row>
    <row r="255">
      <c r="B255" s="40"/>
      <c r="H255" s="40"/>
      <c r="I255" s="40"/>
    </row>
    <row r="256">
      <c r="B256" s="40"/>
      <c r="H256" s="40"/>
      <c r="I256" s="40"/>
    </row>
    <row r="257">
      <c r="B257" s="40"/>
      <c r="H257" s="40"/>
      <c r="I257" s="40"/>
    </row>
    <row r="258">
      <c r="B258" s="40"/>
      <c r="H258" s="40"/>
      <c r="I258" s="40"/>
    </row>
    <row r="259">
      <c r="B259" s="40"/>
      <c r="H259" s="40"/>
      <c r="I259" s="40"/>
    </row>
    <row r="260">
      <c r="B260" s="40"/>
      <c r="H260" s="40"/>
      <c r="I260" s="40"/>
    </row>
    <row r="261">
      <c r="B261" s="40"/>
      <c r="H261" s="40"/>
      <c r="I261" s="40"/>
    </row>
    <row r="262">
      <c r="B262" s="40"/>
      <c r="H262" s="40"/>
      <c r="I262" s="40"/>
    </row>
    <row r="263">
      <c r="B263" s="40"/>
      <c r="H263" s="40"/>
      <c r="I263" s="40"/>
    </row>
    <row r="264">
      <c r="B264" s="40"/>
      <c r="H264" s="40"/>
      <c r="I264" s="40"/>
    </row>
    <row r="265">
      <c r="B265" s="40"/>
      <c r="H265" s="40"/>
      <c r="I265" s="40"/>
    </row>
    <row r="266">
      <c r="B266" s="40"/>
      <c r="H266" s="40"/>
      <c r="I266" s="40"/>
    </row>
    <row r="267">
      <c r="B267" s="40"/>
      <c r="H267" s="40"/>
      <c r="I267" s="40"/>
    </row>
    <row r="268">
      <c r="B268" s="40"/>
      <c r="H268" s="40"/>
      <c r="I268" s="40"/>
    </row>
    <row r="269">
      <c r="B269" s="40"/>
      <c r="H269" s="40"/>
      <c r="I269" s="40"/>
    </row>
    <row r="270">
      <c r="B270" s="40"/>
      <c r="H270" s="40"/>
      <c r="I270" s="40"/>
    </row>
    <row r="271">
      <c r="B271" s="40"/>
      <c r="H271" s="40"/>
      <c r="I271" s="40"/>
    </row>
    <row r="272">
      <c r="B272" s="40"/>
      <c r="H272" s="40"/>
      <c r="I272" s="40"/>
    </row>
    <row r="273">
      <c r="B273" s="40"/>
      <c r="H273" s="40"/>
      <c r="I273" s="40"/>
    </row>
    <row r="274">
      <c r="B274" s="40"/>
      <c r="H274" s="40"/>
      <c r="I274" s="40"/>
    </row>
    <row r="275">
      <c r="B275" s="40"/>
      <c r="H275" s="40"/>
      <c r="I275" s="40"/>
    </row>
    <row r="276">
      <c r="B276" s="40"/>
      <c r="H276" s="40"/>
      <c r="I276" s="40"/>
    </row>
    <row r="277">
      <c r="B277" s="40"/>
      <c r="H277" s="40"/>
      <c r="I277" s="40"/>
    </row>
    <row r="278">
      <c r="B278" s="40"/>
      <c r="H278" s="40"/>
      <c r="I278" s="40"/>
    </row>
    <row r="279">
      <c r="B279" s="40"/>
      <c r="H279" s="40"/>
      <c r="I279" s="40"/>
    </row>
    <row r="280">
      <c r="B280" s="40"/>
      <c r="H280" s="40"/>
      <c r="I280" s="40"/>
    </row>
    <row r="281">
      <c r="B281" s="40"/>
      <c r="H281" s="40"/>
      <c r="I281" s="40"/>
    </row>
    <row r="282">
      <c r="B282" s="40"/>
      <c r="H282" s="40"/>
      <c r="I282" s="40"/>
    </row>
    <row r="283">
      <c r="B283" s="40"/>
      <c r="H283" s="40"/>
      <c r="I283" s="40"/>
    </row>
    <row r="284">
      <c r="B284" s="40"/>
      <c r="H284" s="40"/>
      <c r="I284" s="40"/>
    </row>
    <row r="285">
      <c r="B285" s="40"/>
      <c r="H285" s="40"/>
      <c r="I285" s="40"/>
    </row>
    <row r="286">
      <c r="B286" s="40"/>
      <c r="H286" s="40"/>
      <c r="I286" s="40"/>
    </row>
    <row r="287">
      <c r="B287" s="40"/>
      <c r="H287" s="40"/>
      <c r="I287" s="40"/>
    </row>
    <row r="288">
      <c r="B288" s="40"/>
      <c r="H288" s="40"/>
      <c r="I288" s="40"/>
    </row>
    <row r="289">
      <c r="B289" s="40"/>
      <c r="H289" s="40"/>
      <c r="I289" s="40"/>
    </row>
    <row r="290">
      <c r="B290" s="40"/>
      <c r="H290" s="40"/>
      <c r="I290" s="40"/>
    </row>
    <row r="291">
      <c r="B291" s="40"/>
      <c r="H291" s="40"/>
      <c r="I291" s="40"/>
    </row>
    <row r="292">
      <c r="B292" s="40"/>
      <c r="H292" s="40"/>
      <c r="I292" s="40"/>
    </row>
    <row r="293">
      <c r="B293" s="40"/>
      <c r="H293" s="40"/>
      <c r="I293" s="40"/>
    </row>
    <row r="294">
      <c r="B294" s="40"/>
      <c r="H294" s="40"/>
      <c r="I294" s="40"/>
    </row>
    <row r="295">
      <c r="B295" s="40"/>
      <c r="H295" s="40"/>
      <c r="I295" s="40"/>
    </row>
    <row r="296">
      <c r="B296" s="40"/>
      <c r="H296" s="40"/>
      <c r="I296" s="40"/>
    </row>
    <row r="297">
      <c r="B297" s="40"/>
      <c r="H297" s="40"/>
      <c r="I297" s="40"/>
    </row>
    <row r="298">
      <c r="B298" s="40"/>
      <c r="H298" s="40"/>
      <c r="I298" s="40"/>
    </row>
    <row r="299">
      <c r="B299" s="40"/>
      <c r="H299" s="40"/>
      <c r="I299" s="40"/>
    </row>
    <row r="300">
      <c r="B300" s="40"/>
      <c r="H300" s="40"/>
      <c r="I300" s="40"/>
    </row>
    <row r="301">
      <c r="B301" s="40"/>
      <c r="H301" s="40"/>
      <c r="I301" s="40"/>
    </row>
    <row r="302">
      <c r="B302" s="40"/>
      <c r="H302" s="40"/>
      <c r="I302" s="40"/>
    </row>
    <row r="303">
      <c r="B303" s="40"/>
      <c r="H303" s="40"/>
      <c r="I303" s="40"/>
    </row>
    <row r="304">
      <c r="B304" s="40"/>
      <c r="H304" s="40"/>
      <c r="I304" s="40"/>
    </row>
    <row r="305">
      <c r="B305" s="40"/>
      <c r="H305" s="40"/>
      <c r="I305" s="40"/>
    </row>
    <row r="306">
      <c r="B306" s="40"/>
      <c r="H306" s="40"/>
      <c r="I306" s="40"/>
    </row>
    <row r="307">
      <c r="B307" s="40"/>
      <c r="H307" s="40"/>
      <c r="I307" s="40"/>
    </row>
    <row r="308">
      <c r="B308" s="40"/>
      <c r="H308" s="40"/>
      <c r="I308" s="40"/>
    </row>
    <row r="309">
      <c r="B309" s="40"/>
      <c r="H309" s="40"/>
      <c r="I309" s="40"/>
    </row>
    <row r="310">
      <c r="B310" s="40"/>
      <c r="H310" s="40"/>
      <c r="I310" s="40"/>
    </row>
    <row r="311">
      <c r="B311" s="40"/>
      <c r="H311" s="40"/>
      <c r="I311" s="40"/>
    </row>
    <row r="312">
      <c r="B312" s="40"/>
      <c r="H312" s="40"/>
      <c r="I312" s="40"/>
    </row>
    <row r="313">
      <c r="B313" s="40"/>
      <c r="H313" s="40"/>
      <c r="I313" s="40"/>
    </row>
    <row r="314">
      <c r="B314" s="40"/>
      <c r="H314" s="40"/>
      <c r="I314" s="40"/>
    </row>
    <row r="315">
      <c r="B315" s="40"/>
      <c r="H315" s="40"/>
      <c r="I315" s="40"/>
    </row>
    <row r="316">
      <c r="B316" s="40"/>
      <c r="H316" s="40"/>
      <c r="I316" s="40"/>
    </row>
    <row r="317">
      <c r="B317" s="40"/>
      <c r="H317" s="40"/>
      <c r="I317" s="40"/>
    </row>
    <row r="318">
      <c r="B318" s="40"/>
      <c r="H318" s="40"/>
      <c r="I318" s="40"/>
    </row>
    <row r="319">
      <c r="B319" s="40"/>
      <c r="H319" s="40"/>
      <c r="I319" s="40"/>
    </row>
    <row r="320">
      <c r="B320" s="40"/>
      <c r="H320" s="40"/>
      <c r="I320" s="40"/>
    </row>
    <row r="321">
      <c r="B321" s="40"/>
      <c r="H321" s="40"/>
      <c r="I321" s="40"/>
    </row>
    <row r="322">
      <c r="B322" s="40"/>
      <c r="H322" s="40"/>
      <c r="I322" s="40"/>
    </row>
    <row r="323">
      <c r="B323" s="40"/>
      <c r="H323" s="40"/>
      <c r="I323" s="40"/>
    </row>
    <row r="324">
      <c r="B324" s="40"/>
      <c r="H324" s="40"/>
      <c r="I324" s="40"/>
    </row>
    <row r="325">
      <c r="B325" s="40"/>
      <c r="H325" s="40"/>
      <c r="I325" s="40"/>
    </row>
    <row r="326">
      <c r="B326" s="40"/>
      <c r="H326" s="40"/>
      <c r="I326" s="40"/>
    </row>
    <row r="327">
      <c r="B327" s="40"/>
      <c r="H327" s="40"/>
      <c r="I327" s="40"/>
    </row>
    <row r="328">
      <c r="B328" s="40"/>
      <c r="H328" s="40"/>
      <c r="I328" s="40"/>
    </row>
    <row r="329">
      <c r="B329" s="40"/>
      <c r="H329" s="40"/>
      <c r="I329" s="40"/>
    </row>
    <row r="330">
      <c r="B330" s="40"/>
      <c r="H330" s="40"/>
      <c r="I330" s="40"/>
    </row>
    <row r="331">
      <c r="B331" s="40"/>
      <c r="H331" s="40"/>
      <c r="I331" s="40"/>
    </row>
    <row r="332">
      <c r="B332" s="40"/>
      <c r="H332" s="40"/>
      <c r="I332" s="40"/>
    </row>
    <row r="333">
      <c r="B333" s="40"/>
      <c r="H333" s="40"/>
      <c r="I333" s="40"/>
    </row>
    <row r="334">
      <c r="B334" s="40"/>
      <c r="H334" s="40"/>
      <c r="I334" s="40"/>
    </row>
    <row r="335">
      <c r="B335" s="40"/>
      <c r="H335" s="40"/>
      <c r="I335" s="40"/>
    </row>
    <row r="336">
      <c r="B336" s="40"/>
      <c r="H336" s="40"/>
      <c r="I336" s="40"/>
    </row>
    <row r="337">
      <c r="B337" s="40"/>
      <c r="H337" s="40"/>
      <c r="I337" s="40"/>
    </row>
    <row r="338">
      <c r="B338" s="40"/>
      <c r="H338" s="40"/>
      <c r="I338" s="40"/>
    </row>
    <row r="339">
      <c r="B339" s="40"/>
      <c r="H339" s="40"/>
      <c r="I339" s="40"/>
    </row>
    <row r="340">
      <c r="B340" s="40"/>
      <c r="H340" s="40"/>
      <c r="I340" s="40"/>
    </row>
    <row r="341">
      <c r="B341" s="40"/>
      <c r="H341" s="40"/>
      <c r="I341" s="40"/>
    </row>
    <row r="342">
      <c r="B342" s="40"/>
      <c r="H342" s="40"/>
      <c r="I342" s="40"/>
    </row>
    <row r="343">
      <c r="B343" s="40"/>
      <c r="H343" s="40"/>
      <c r="I343" s="40"/>
    </row>
    <row r="344">
      <c r="B344" s="40"/>
      <c r="H344" s="40"/>
      <c r="I344" s="40"/>
    </row>
    <row r="345">
      <c r="B345" s="40"/>
      <c r="H345" s="40"/>
      <c r="I345" s="40"/>
    </row>
    <row r="346">
      <c r="B346" s="40"/>
      <c r="H346" s="40"/>
      <c r="I346" s="40"/>
    </row>
    <row r="347">
      <c r="B347" s="40"/>
      <c r="H347" s="40"/>
      <c r="I347" s="40"/>
    </row>
    <row r="348">
      <c r="B348" s="40"/>
      <c r="H348" s="40"/>
      <c r="I348" s="40"/>
    </row>
    <row r="349">
      <c r="B349" s="40"/>
      <c r="H349" s="40"/>
      <c r="I349" s="40"/>
    </row>
    <row r="350">
      <c r="B350" s="40"/>
      <c r="H350" s="40"/>
      <c r="I350" s="40"/>
    </row>
    <row r="351">
      <c r="B351" s="40"/>
      <c r="H351" s="40"/>
      <c r="I351" s="40"/>
    </row>
    <row r="352">
      <c r="B352" s="40"/>
      <c r="H352" s="40"/>
      <c r="I352" s="40"/>
    </row>
    <row r="353">
      <c r="B353" s="40"/>
      <c r="H353" s="40"/>
      <c r="I353" s="40"/>
    </row>
    <row r="354">
      <c r="B354" s="40"/>
      <c r="H354" s="40"/>
      <c r="I354" s="40"/>
    </row>
    <row r="355">
      <c r="B355" s="40"/>
      <c r="H355" s="40"/>
      <c r="I355" s="40"/>
    </row>
    <row r="356">
      <c r="B356" s="40"/>
      <c r="H356" s="40"/>
      <c r="I356" s="40"/>
    </row>
    <row r="357">
      <c r="B357" s="40"/>
      <c r="H357" s="40"/>
      <c r="I357" s="40"/>
    </row>
    <row r="358">
      <c r="B358" s="40"/>
      <c r="H358" s="40"/>
      <c r="I358" s="40"/>
    </row>
    <row r="359">
      <c r="B359" s="40"/>
      <c r="H359" s="40"/>
      <c r="I359" s="40"/>
    </row>
    <row r="360">
      <c r="B360" s="40"/>
      <c r="H360" s="40"/>
      <c r="I360" s="40"/>
    </row>
    <row r="361">
      <c r="B361" s="40"/>
      <c r="H361" s="40"/>
      <c r="I361" s="40"/>
    </row>
    <row r="362">
      <c r="B362" s="40"/>
      <c r="H362" s="40"/>
      <c r="I362" s="40"/>
    </row>
    <row r="363">
      <c r="B363" s="40"/>
      <c r="H363" s="40"/>
      <c r="I363" s="40"/>
    </row>
    <row r="364">
      <c r="B364" s="40"/>
      <c r="H364" s="40"/>
      <c r="I364" s="40"/>
    </row>
    <row r="365">
      <c r="B365" s="40"/>
      <c r="H365" s="40"/>
      <c r="I365" s="40"/>
    </row>
    <row r="366">
      <c r="B366" s="40"/>
      <c r="H366" s="40"/>
      <c r="I366" s="40"/>
    </row>
    <row r="367">
      <c r="B367" s="40"/>
      <c r="H367" s="40"/>
      <c r="I367" s="40"/>
    </row>
    <row r="368">
      <c r="B368" s="40"/>
      <c r="H368" s="40"/>
      <c r="I368" s="40"/>
    </row>
    <row r="369">
      <c r="B369" s="40"/>
      <c r="H369" s="40"/>
      <c r="I369" s="40"/>
    </row>
    <row r="370">
      <c r="B370" s="40"/>
      <c r="H370" s="40"/>
      <c r="I370" s="40"/>
    </row>
    <row r="371">
      <c r="B371" s="40"/>
      <c r="H371" s="40"/>
      <c r="I371" s="40"/>
    </row>
    <row r="372">
      <c r="B372" s="40"/>
      <c r="H372" s="40"/>
      <c r="I372" s="40"/>
    </row>
    <row r="373">
      <c r="B373" s="40"/>
      <c r="H373" s="40"/>
      <c r="I373" s="40"/>
    </row>
    <row r="374">
      <c r="B374" s="40"/>
      <c r="H374" s="40"/>
      <c r="I374" s="40"/>
    </row>
    <row r="375">
      <c r="B375" s="40"/>
      <c r="H375" s="40"/>
      <c r="I375" s="40"/>
    </row>
    <row r="376">
      <c r="B376" s="40"/>
      <c r="H376" s="40"/>
      <c r="I376" s="40"/>
    </row>
    <row r="377">
      <c r="B377" s="40"/>
      <c r="H377" s="40"/>
      <c r="I377" s="40"/>
    </row>
    <row r="378">
      <c r="B378" s="40"/>
      <c r="H378" s="40"/>
      <c r="I378" s="40"/>
    </row>
    <row r="379">
      <c r="B379" s="40"/>
      <c r="H379" s="40"/>
      <c r="I379" s="40"/>
    </row>
    <row r="380">
      <c r="B380" s="40"/>
      <c r="H380" s="40"/>
      <c r="I380" s="40"/>
    </row>
    <row r="381">
      <c r="B381" s="40"/>
      <c r="H381" s="40"/>
      <c r="I381" s="40"/>
    </row>
    <row r="382">
      <c r="B382" s="40"/>
      <c r="H382" s="40"/>
      <c r="I382" s="40"/>
    </row>
    <row r="383">
      <c r="B383" s="40"/>
      <c r="H383" s="40"/>
      <c r="I383" s="40"/>
    </row>
    <row r="384">
      <c r="B384" s="40"/>
      <c r="H384" s="40"/>
      <c r="I384" s="40"/>
    </row>
    <row r="385">
      <c r="B385" s="40"/>
      <c r="H385" s="40"/>
      <c r="I385" s="40"/>
    </row>
    <row r="386">
      <c r="B386" s="40"/>
      <c r="H386" s="40"/>
      <c r="I386" s="40"/>
    </row>
    <row r="387">
      <c r="B387" s="40"/>
      <c r="H387" s="40"/>
      <c r="I387" s="40"/>
    </row>
    <row r="388">
      <c r="B388" s="40"/>
      <c r="H388" s="40"/>
      <c r="I388" s="40"/>
    </row>
    <row r="389">
      <c r="B389" s="40"/>
      <c r="H389" s="40"/>
      <c r="I389" s="40"/>
    </row>
    <row r="390">
      <c r="B390" s="40"/>
      <c r="H390" s="40"/>
      <c r="I390" s="40"/>
    </row>
    <row r="391">
      <c r="B391" s="40"/>
      <c r="H391" s="40"/>
      <c r="I391" s="40"/>
    </row>
    <row r="392">
      <c r="B392" s="40"/>
      <c r="H392" s="40"/>
      <c r="I392" s="40"/>
    </row>
    <row r="393">
      <c r="B393" s="40"/>
      <c r="H393" s="40"/>
      <c r="I393" s="40"/>
    </row>
    <row r="394">
      <c r="B394" s="40"/>
      <c r="H394" s="40"/>
      <c r="I394" s="40"/>
    </row>
    <row r="395">
      <c r="B395" s="40"/>
      <c r="H395" s="40"/>
      <c r="I395" s="40"/>
    </row>
    <row r="396">
      <c r="B396" s="40"/>
      <c r="H396" s="40"/>
      <c r="I396" s="40"/>
    </row>
    <row r="397">
      <c r="B397" s="40"/>
      <c r="H397" s="40"/>
      <c r="I397" s="40"/>
    </row>
    <row r="398">
      <c r="B398" s="40"/>
      <c r="H398" s="40"/>
      <c r="I398" s="40"/>
    </row>
    <row r="399">
      <c r="B399" s="40"/>
      <c r="H399" s="40"/>
      <c r="I399" s="40"/>
    </row>
    <row r="400">
      <c r="B400" s="40"/>
      <c r="H400" s="40"/>
      <c r="I400" s="40"/>
    </row>
    <row r="401">
      <c r="B401" s="40"/>
      <c r="H401" s="40"/>
      <c r="I401" s="40"/>
    </row>
    <row r="402">
      <c r="B402" s="40"/>
      <c r="H402" s="40"/>
      <c r="I402" s="40"/>
    </row>
    <row r="403">
      <c r="B403" s="40"/>
      <c r="H403" s="40"/>
      <c r="I403" s="40"/>
    </row>
    <row r="404">
      <c r="B404" s="40"/>
      <c r="H404" s="40"/>
      <c r="I404" s="40"/>
    </row>
    <row r="405">
      <c r="B405" s="40"/>
      <c r="H405" s="40"/>
      <c r="I405" s="40"/>
    </row>
    <row r="406">
      <c r="B406" s="40"/>
      <c r="H406" s="40"/>
      <c r="I406" s="40"/>
    </row>
    <row r="407">
      <c r="B407" s="40"/>
      <c r="H407" s="40"/>
      <c r="I407" s="40"/>
    </row>
    <row r="408">
      <c r="B408" s="40"/>
      <c r="H408" s="40"/>
      <c r="I408" s="40"/>
    </row>
    <row r="409">
      <c r="B409" s="40"/>
      <c r="H409" s="40"/>
      <c r="I409" s="40"/>
    </row>
    <row r="410">
      <c r="B410" s="40"/>
      <c r="H410" s="40"/>
      <c r="I410" s="40"/>
    </row>
    <row r="411">
      <c r="B411" s="40"/>
      <c r="H411" s="40"/>
      <c r="I411" s="40"/>
    </row>
    <row r="412">
      <c r="B412" s="40"/>
      <c r="H412" s="40"/>
      <c r="I412" s="40"/>
    </row>
    <row r="413">
      <c r="B413" s="40"/>
      <c r="H413" s="40"/>
      <c r="I413" s="40"/>
    </row>
    <row r="414">
      <c r="B414" s="40"/>
      <c r="H414" s="40"/>
      <c r="I414" s="40"/>
    </row>
    <row r="415">
      <c r="B415" s="40"/>
      <c r="H415" s="40"/>
      <c r="I415" s="40"/>
    </row>
    <row r="416">
      <c r="B416" s="40"/>
      <c r="H416" s="40"/>
      <c r="I416" s="40"/>
    </row>
    <row r="417">
      <c r="B417" s="40"/>
      <c r="H417" s="40"/>
      <c r="I417" s="40"/>
    </row>
    <row r="418">
      <c r="B418" s="40"/>
      <c r="H418" s="40"/>
      <c r="I418" s="40"/>
    </row>
    <row r="419">
      <c r="B419" s="40"/>
      <c r="H419" s="40"/>
      <c r="I419" s="40"/>
    </row>
    <row r="420">
      <c r="B420" s="40"/>
      <c r="H420" s="40"/>
      <c r="I420" s="40"/>
    </row>
    <row r="421">
      <c r="B421" s="40"/>
      <c r="H421" s="40"/>
      <c r="I421" s="40"/>
    </row>
    <row r="422">
      <c r="B422" s="40"/>
      <c r="H422" s="40"/>
      <c r="I422" s="40"/>
    </row>
    <row r="423">
      <c r="B423" s="40"/>
      <c r="H423" s="40"/>
      <c r="I423" s="40"/>
    </row>
    <row r="424">
      <c r="B424" s="40"/>
      <c r="H424" s="40"/>
      <c r="I424" s="40"/>
    </row>
    <row r="425">
      <c r="B425" s="40"/>
      <c r="H425" s="40"/>
      <c r="I425" s="40"/>
    </row>
    <row r="426">
      <c r="B426" s="40"/>
      <c r="H426" s="40"/>
      <c r="I426" s="40"/>
    </row>
    <row r="427">
      <c r="B427" s="40"/>
      <c r="H427" s="40"/>
      <c r="I427" s="40"/>
    </row>
    <row r="428">
      <c r="B428" s="40"/>
      <c r="H428" s="40"/>
      <c r="I428" s="40"/>
    </row>
    <row r="429">
      <c r="B429" s="40"/>
      <c r="H429" s="40"/>
      <c r="I429" s="40"/>
    </row>
    <row r="430">
      <c r="B430" s="40"/>
      <c r="H430" s="40"/>
      <c r="I430" s="40"/>
    </row>
    <row r="431">
      <c r="B431" s="40"/>
      <c r="H431" s="40"/>
      <c r="I431" s="40"/>
    </row>
    <row r="432">
      <c r="B432" s="40"/>
      <c r="H432" s="40"/>
      <c r="I432" s="40"/>
    </row>
    <row r="433">
      <c r="B433" s="40"/>
      <c r="H433" s="40"/>
      <c r="I433" s="40"/>
    </row>
    <row r="434">
      <c r="B434" s="40"/>
      <c r="H434" s="40"/>
      <c r="I434" s="40"/>
    </row>
    <row r="435">
      <c r="B435" s="40"/>
      <c r="H435" s="40"/>
      <c r="I435" s="40"/>
    </row>
    <row r="436">
      <c r="B436" s="40"/>
      <c r="H436" s="40"/>
      <c r="I436" s="40"/>
    </row>
    <row r="437">
      <c r="B437" s="40"/>
      <c r="H437" s="40"/>
      <c r="I437" s="40"/>
    </row>
    <row r="438">
      <c r="B438" s="40"/>
      <c r="H438" s="40"/>
      <c r="I438" s="40"/>
    </row>
    <row r="439">
      <c r="B439" s="40"/>
      <c r="H439" s="40"/>
      <c r="I439" s="40"/>
    </row>
    <row r="440">
      <c r="B440" s="40"/>
      <c r="H440" s="40"/>
      <c r="I440" s="40"/>
    </row>
    <row r="441">
      <c r="B441" s="40"/>
      <c r="H441" s="40"/>
      <c r="I441" s="40"/>
    </row>
    <row r="442">
      <c r="B442" s="40"/>
      <c r="H442" s="40"/>
      <c r="I442" s="40"/>
    </row>
    <row r="443">
      <c r="B443" s="40"/>
      <c r="H443" s="40"/>
      <c r="I443" s="40"/>
    </row>
    <row r="444">
      <c r="B444" s="40"/>
      <c r="H444" s="40"/>
      <c r="I444" s="40"/>
    </row>
    <row r="445">
      <c r="B445" s="40"/>
      <c r="H445" s="40"/>
      <c r="I445" s="40"/>
    </row>
    <row r="446">
      <c r="B446" s="40"/>
      <c r="H446" s="40"/>
      <c r="I446" s="40"/>
    </row>
    <row r="447">
      <c r="B447" s="40"/>
      <c r="H447" s="40"/>
      <c r="I447" s="40"/>
    </row>
    <row r="448">
      <c r="B448" s="40"/>
      <c r="H448" s="40"/>
      <c r="I448" s="40"/>
    </row>
    <row r="449">
      <c r="B449" s="40"/>
      <c r="H449" s="40"/>
      <c r="I449" s="40"/>
    </row>
    <row r="450">
      <c r="B450" s="40"/>
      <c r="H450" s="40"/>
      <c r="I450" s="40"/>
    </row>
    <row r="451">
      <c r="B451" s="40"/>
      <c r="H451" s="40"/>
      <c r="I451" s="40"/>
    </row>
    <row r="452">
      <c r="B452" s="40"/>
      <c r="H452" s="40"/>
      <c r="I452" s="40"/>
    </row>
    <row r="453">
      <c r="B453" s="40"/>
      <c r="H453" s="40"/>
      <c r="I453" s="40"/>
    </row>
    <row r="454">
      <c r="B454" s="40"/>
      <c r="H454" s="40"/>
      <c r="I454" s="40"/>
    </row>
    <row r="455">
      <c r="B455" s="40"/>
      <c r="H455" s="40"/>
      <c r="I455" s="40"/>
    </row>
    <row r="456">
      <c r="B456" s="40"/>
      <c r="H456" s="40"/>
      <c r="I456" s="40"/>
    </row>
    <row r="457">
      <c r="B457" s="40"/>
      <c r="H457" s="40"/>
      <c r="I457" s="40"/>
    </row>
    <row r="458">
      <c r="B458" s="40"/>
      <c r="H458" s="40"/>
      <c r="I458" s="40"/>
    </row>
    <row r="459">
      <c r="B459" s="40"/>
      <c r="H459" s="40"/>
      <c r="I459" s="40"/>
    </row>
    <row r="460">
      <c r="B460" s="40"/>
      <c r="H460" s="40"/>
      <c r="I460" s="40"/>
    </row>
    <row r="461">
      <c r="B461" s="40"/>
      <c r="H461" s="40"/>
      <c r="I461" s="40"/>
    </row>
    <row r="462">
      <c r="B462" s="40"/>
      <c r="H462" s="40"/>
      <c r="I462" s="40"/>
    </row>
    <row r="463">
      <c r="B463" s="40"/>
      <c r="H463" s="40"/>
      <c r="I463" s="40"/>
    </row>
    <row r="464">
      <c r="B464" s="40"/>
      <c r="H464" s="40"/>
      <c r="I464" s="40"/>
    </row>
    <row r="465">
      <c r="B465" s="40"/>
      <c r="H465" s="40"/>
      <c r="I465" s="40"/>
    </row>
    <row r="466">
      <c r="B466" s="40"/>
      <c r="H466" s="40"/>
      <c r="I466" s="40"/>
    </row>
    <row r="467">
      <c r="B467" s="40"/>
      <c r="H467" s="40"/>
      <c r="I467" s="40"/>
    </row>
    <row r="468">
      <c r="B468" s="40"/>
      <c r="H468" s="40"/>
      <c r="I468" s="40"/>
    </row>
    <row r="469">
      <c r="B469" s="40"/>
      <c r="H469" s="40"/>
      <c r="I469" s="40"/>
    </row>
    <row r="470">
      <c r="B470" s="40"/>
      <c r="H470" s="40"/>
      <c r="I470" s="40"/>
    </row>
    <row r="471">
      <c r="B471" s="40"/>
      <c r="H471" s="40"/>
      <c r="I471" s="40"/>
    </row>
    <row r="472">
      <c r="B472" s="40"/>
      <c r="H472" s="40"/>
      <c r="I472" s="40"/>
    </row>
    <row r="473">
      <c r="B473" s="40"/>
      <c r="H473" s="40"/>
      <c r="I473" s="40"/>
    </row>
    <row r="474">
      <c r="B474" s="40"/>
      <c r="H474" s="40"/>
      <c r="I474" s="40"/>
    </row>
    <row r="475">
      <c r="B475" s="40"/>
      <c r="H475" s="40"/>
      <c r="I475" s="40"/>
    </row>
    <row r="476">
      <c r="B476" s="40"/>
      <c r="H476" s="40"/>
      <c r="I476" s="40"/>
    </row>
    <row r="477">
      <c r="B477" s="40"/>
      <c r="H477" s="40"/>
      <c r="I477" s="40"/>
    </row>
    <row r="478">
      <c r="B478" s="40"/>
      <c r="H478" s="40"/>
      <c r="I478" s="40"/>
    </row>
    <row r="479">
      <c r="B479" s="40"/>
      <c r="H479" s="40"/>
      <c r="I479" s="40"/>
    </row>
    <row r="480">
      <c r="B480" s="40"/>
      <c r="H480" s="40"/>
      <c r="I480" s="40"/>
    </row>
    <row r="481">
      <c r="B481" s="40"/>
      <c r="H481" s="40"/>
      <c r="I481" s="40"/>
    </row>
    <row r="482">
      <c r="B482" s="40"/>
      <c r="H482" s="40"/>
      <c r="I482" s="40"/>
    </row>
    <row r="483">
      <c r="B483" s="40"/>
      <c r="H483" s="40"/>
      <c r="I483" s="40"/>
    </row>
    <row r="484">
      <c r="B484" s="40"/>
      <c r="H484" s="40"/>
      <c r="I484" s="40"/>
    </row>
    <row r="485">
      <c r="B485" s="40"/>
      <c r="H485" s="40"/>
      <c r="I485" s="40"/>
    </row>
    <row r="486">
      <c r="B486" s="40"/>
      <c r="H486" s="40"/>
      <c r="I486" s="40"/>
    </row>
    <row r="487">
      <c r="B487" s="40"/>
      <c r="H487" s="40"/>
      <c r="I487" s="40"/>
    </row>
    <row r="488">
      <c r="B488" s="40"/>
      <c r="H488" s="40"/>
      <c r="I488" s="40"/>
    </row>
    <row r="489">
      <c r="B489" s="40"/>
      <c r="H489" s="40"/>
      <c r="I489" s="40"/>
    </row>
    <row r="490">
      <c r="B490" s="40"/>
      <c r="H490" s="40"/>
      <c r="I490" s="40"/>
    </row>
    <row r="491">
      <c r="B491" s="40"/>
      <c r="H491" s="40"/>
      <c r="I491" s="40"/>
    </row>
    <row r="492">
      <c r="B492" s="40"/>
      <c r="H492" s="40"/>
      <c r="I492" s="40"/>
    </row>
    <row r="493">
      <c r="B493" s="40"/>
      <c r="H493" s="40"/>
      <c r="I493" s="40"/>
    </row>
    <row r="494">
      <c r="B494" s="40"/>
      <c r="H494" s="40"/>
      <c r="I494" s="40"/>
    </row>
    <row r="495">
      <c r="B495" s="40"/>
      <c r="H495" s="40"/>
      <c r="I495" s="40"/>
    </row>
    <row r="496">
      <c r="B496" s="40"/>
      <c r="H496" s="40"/>
      <c r="I496" s="40"/>
    </row>
    <row r="497">
      <c r="B497" s="40"/>
      <c r="H497" s="40"/>
      <c r="I497" s="40"/>
    </row>
    <row r="498">
      <c r="B498" s="40"/>
      <c r="H498" s="40"/>
      <c r="I498" s="40"/>
    </row>
    <row r="499">
      <c r="B499" s="40"/>
      <c r="H499" s="40"/>
      <c r="I499" s="40"/>
    </row>
    <row r="500">
      <c r="B500" s="40"/>
      <c r="H500" s="40"/>
      <c r="I500" s="40"/>
    </row>
    <row r="501">
      <c r="B501" s="40"/>
      <c r="H501" s="40"/>
      <c r="I501" s="40"/>
    </row>
    <row r="502">
      <c r="B502" s="40"/>
      <c r="H502" s="40"/>
      <c r="I502" s="40"/>
    </row>
    <row r="503">
      <c r="B503" s="40"/>
      <c r="H503" s="40"/>
      <c r="I503" s="40"/>
    </row>
    <row r="504">
      <c r="B504" s="40"/>
      <c r="H504" s="40"/>
      <c r="I504" s="40"/>
    </row>
    <row r="505">
      <c r="B505" s="40"/>
      <c r="H505" s="40"/>
      <c r="I505" s="40"/>
    </row>
    <row r="506">
      <c r="B506" s="40"/>
      <c r="H506" s="40"/>
      <c r="I506" s="40"/>
    </row>
    <row r="507">
      <c r="B507" s="40"/>
      <c r="H507" s="40"/>
      <c r="I507" s="40"/>
    </row>
    <row r="508">
      <c r="B508" s="40"/>
      <c r="H508" s="40"/>
      <c r="I508" s="40"/>
    </row>
    <row r="509">
      <c r="B509" s="40"/>
      <c r="H509" s="40"/>
      <c r="I509" s="40"/>
    </row>
    <row r="510">
      <c r="B510" s="40"/>
      <c r="H510" s="40"/>
      <c r="I510" s="40"/>
    </row>
    <row r="511">
      <c r="B511" s="40"/>
      <c r="H511" s="40"/>
      <c r="I511" s="40"/>
    </row>
    <row r="512">
      <c r="B512" s="40"/>
      <c r="H512" s="40"/>
      <c r="I512" s="40"/>
    </row>
    <row r="513">
      <c r="B513" s="40"/>
      <c r="H513" s="40"/>
      <c r="I513" s="40"/>
    </row>
    <row r="514">
      <c r="B514" s="40"/>
      <c r="H514" s="40"/>
      <c r="I514" s="40"/>
    </row>
    <row r="515">
      <c r="B515" s="40"/>
      <c r="H515" s="40"/>
      <c r="I515" s="40"/>
    </row>
    <row r="516">
      <c r="B516" s="40"/>
      <c r="H516" s="40"/>
      <c r="I516" s="40"/>
    </row>
    <row r="517">
      <c r="B517" s="40"/>
      <c r="H517" s="40"/>
      <c r="I517" s="40"/>
    </row>
    <row r="518">
      <c r="B518" s="40"/>
      <c r="H518" s="40"/>
      <c r="I518" s="40"/>
    </row>
    <row r="519">
      <c r="B519" s="40"/>
      <c r="H519" s="40"/>
      <c r="I519" s="40"/>
    </row>
    <row r="520">
      <c r="B520" s="40"/>
      <c r="H520" s="40"/>
      <c r="I520" s="40"/>
    </row>
    <row r="521">
      <c r="B521" s="40"/>
      <c r="H521" s="40"/>
      <c r="I521" s="40"/>
    </row>
    <row r="522">
      <c r="B522" s="40"/>
      <c r="H522" s="40"/>
      <c r="I522" s="40"/>
    </row>
    <row r="523">
      <c r="B523" s="40"/>
      <c r="H523" s="40"/>
      <c r="I523" s="40"/>
    </row>
    <row r="524">
      <c r="B524" s="40"/>
      <c r="H524" s="40"/>
      <c r="I524" s="40"/>
    </row>
    <row r="525">
      <c r="B525" s="40"/>
      <c r="H525" s="40"/>
      <c r="I525" s="40"/>
    </row>
    <row r="526">
      <c r="B526" s="40"/>
      <c r="H526" s="40"/>
      <c r="I526" s="40"/>
    </row>
    <row r="527">
      <c r="B527" s="40"/>
      <c r="H527" s="40"/>
      <c r="I527" s="40"/>
    </row>
    <row r="528">
      <c r="B528" s="40"/>
      <c r="H528" s="40"/>
      <c r="I528" s="40"/>
    </row>
    <row r="529">
      <c r="B529" s="40"/>
      <c r="H529" s="40"/>
      <c r="I529" s="40"/>
    </row>
    <row r="530">
      <c r="B530" s="40"/>
      <c r="H530" s="40"/>
      <c r="I530" s="40"/>
    </row>
    <row r="531">
      <c r="B531" s="40"/>
      <c r="H531" s="40"/>
      <c r="I531" s="40"/>
    </row>
    <row r="532">
      <c r="B532" s="40"/>
      <c r="H532" s="40"/>
      <c r="I532" s="40"/>
    </row>
    <row r="533">
      <c r="B533" s="40"/>
      <c r="H533" s="40"/>
      <c r="I533" s="40"/>
    </row>
    <row r="534">
      <c r="B534" s="40"/>
      <c r="H534" s="40"/>
      <c r="I534" s="40"/>
    </row>
    <row r="535">
      <c r="B535" s="40"/>
      <c r="H535" s="40"/>
      <c r="I535" s="40"/>
    </row>
    <row r="536">
      <c r="B536" s="40"/>
      <c r="H536" s="40"/>
      <c r="I536" s="40"/>
    </row>
    <row r="537">
      <c r="B537" s="40"/>
      <c r="H537" s="40"/>
      <c r="I537" s="40"/>
    </row>
    <row r="538">
      <c r="B538" s="40"/>
      <c r="H538" s="40"/>
      <c r="I538" s="40"/>
    </row>
    <row r="539">
      <c r="B539" s="40"/>
      <c r="H539" s="40"/>
      <c r="I539" s="40"/>
    </row>
    <row r="540">
      <c r="B540" s="40"/>
      <c r="H540" s="40"/>
      <c r="I540" s="40"/>
    </row>
    <row r="541">
      <c r="B541" s="40"/>
      <c r="H541" s="40"/>
      <c r="I541" s="40"/>
    </row>
    <row r="542">
      <c r="B542" s="40"/>
      <c r="H542" s="40"/>
      <c r="I542" s="40"/>
    </row>
    <row r="543">
      <c r="B543" s="40"/>
      <c r="H543" s="40"/>
      <c r="I543" s="40"/>
    </row>
    <row r="544">
      <c r="B544" s="40"/>
      <c r="H544" s="40"/>
      <c r="I544" s="40"/>
    </row>
    <row r="545">
      <c r="B545" s="40"/>
      <c r="H545" s="40"/>
      <c r="I545" s="40"/>
    </row>
    <row r="546">
      <c r="B546" s="40"/>
      <c r="H546" s="40"/>
      <c r="I546" s="40"/>
    </row>
    <row r="547">
      <c r="B547" s="40"/>
      <c r="H547" s="40"/>
      <c r="I547" s="40"/>
    </row>
    <row r="548">
      <c r="B548" s="40"/>
      <c r="H548" s="40"/>
      <c r="I548" s="40"/>
    </row>
    <row r="549">
      <c r="B549" s="40"/>
      <c r="H549" s="40"/>
      <c r="I549" s="40"/>
    </row>
    <row r="550">
      <c r="B550" s="40"/>
      <c r="H550" s="40"/>
      <c r="I550" s="40"/>
    </row>
    <row r="551">
      <c r="B551" s="40"/>
      <c r="H551" s="40"/>
      <c r="I551" s="40"/>
    </row>
    <row r="552">
      <c r="B552" s="40"/>
      <c r="H552" s="40"/>
      <c r="I552" s="40"/>
    </row>
    <row r="553">
      <c r="B553" s="40"/>
      <c r="H553" s="40"/>
      <c r="I553" s="40"/>
    </row>
    <row r="554">
      <c r="B554" s="40"/>
      <c r="H554" s="40"/>
      <c r="I554" s="40"/>
    </row>
    <row r="555">
      <c r="B555" s="40"/>
      <c r="H555" s="40"/>
      <c r="I555" s="40"/>
    </row>
    <row r="556">
      <c r="B556" s="40"/>
      <c r="H556" s="40"/>
      <c r="I556" s="40"/>
    </row>
    <row r="557">
      <c r="B557" s="40"/>
      <c r="H557" s="40"/>
      <c r="I557" s="40"/>
    </row>
    <row r="558">
      <c r="B558" s="40"/>
      <c r="H558" s="40"/>
      <c r="I558" s="40"/>
    </row>
    <row r="559">
      <c r="B559" s="40"/>
      <c r="H559" s="40"/>
      <c r="I559" s="40"/>
    </row>
    <row r="560">
      <c r="B560" s="40"/>
      <c r="H560" s="40"/>
      <c r="I560" s="40"/>
    </row>
    <row r="561">
      <c r="B561" s="40"/>
      <c r="H561" s="40"/>
      <c r="I561" s="40"/>
    </row>
    <row r="562">
      <c r="B562" s="40"/>
      <c r="H562" s="40"/>
      <c r="I562" s="40"/>
    </row>
    <row r="563">
      <c r="B563" s="40"/>
      <c r="H563" s="40"/>
      <c r="I563" s="40"/>
    </row>
    <row r="564">
      <c r="B564" s="40"/>
      <c r="H564" s="40"/>
      <c r="I564" s="40"/>
    </row>
    <row r="565">
      <c r="B565" s="40"/>
      <c r="H565" s="40"/>
      <c r="I565" s="40"/>
    </row>
    <row r="566">
      <c r="B566" s="40"/>
      <c r="H566" s="40"/>
      <c r="I566" s="40"/>
    </row>
    <row r="567">
      <c r="B567" s="40"/>
      <c r="H567" s="40"/>
      <c r="I567" s="40"/>
    </row>
    <row r="568">
      <c r="B568" s="40"/>
      <c r="H568" s="40"/>
      <c r="I568" s="40"/>
    </row>
    <row r="569">
      <c r="B569" s="40"/>
      <c r="H569" s="40"/>
      <c r="I569" s="40"/>
    </row>
    <row r="570">
      <c r="B570" s="40"/>
      <c r="H570" s="40"/>
      <c r="I570" s="40"/>
    </row>
    <row r="571">
      <c r="B571" s="40"/>
      <c r="H571" s="40"/>
      <c r="I571" s="40"/>
    </row>
    <row r="572">
      <c r="B572" s="40"/>
      <c r="H572" s="40"/>
      <c r="I572" s="40"/>
    </row>
    <row r="573">
      <c r="B573" s="40"/>
      <c r="H573" s="40"/>
      <c r="I573" s="40"/>
    </row>
    <row r="574">
      <c r="B574" s="40"/>
      <c r="H574" s="40"/>
      <c r="I574" s="40"/>
    </row>
    <row r="575">
      <c r="B575" s="40"/>
      <c r="H575" s="40"/>
      <c r="I575" s="40"/>
    </row>
    <row r="576">
      <c r="B576" s="40"/>
      <c r="H576" s="40"/>
      <c r="I576" s="40"/>
    </row>
    <row r="577">
      <c r="B577" s="40"/>
      <c r="H577" s="40"/>
      <c r="I577" s="40"/>
    </row>
    <row r="578">
      <c r="B578" s="40"/>
      <c r="H578" s="40"/>
      <c r="I578" s="40"/>
    </row>
    <row r="579">
      <c r="B579" s="40"/>
      <c r="H579" s="40"/>
      <c r="I579" s="40"/>
    </row>
    <row r="580">
      <c r="B580" s="40"/>
      <c r="H580" s="40"/>
      <c r="I580" s="40"/>
    </row>
    <row r="581">
      <c r="B581" s="40"/>
      <c r="H581" s="40"/>
      <c r="I581" s="40"/>
    </row>
    <row r="582">
      <c r="B582" s="40"/>
      <c r="H582" s="40"/>
      <c r="I582" s="40"/>
    </row>
    <row r="583">
      <c r="B583" s="40"/>
      <c r="H583" s="40"/>
      <c r="I583" s="40"/>
    </row>
    <row r="584">
      <c r="B584" s="40"/>
      <c r="H584" s="40"/>
      <c r="I584" s="40"/>
    </row>
    <row r="585">
      <c r="B585" s="40"/>
      <c r="H585" s="40"/>
      <c r="I585" s="40"/>
    </row>
    <row r="586">
      <c r="B586" s="40"/>
      <c r="H586" s="40"/>
      <c r="I586" s="40"/>
    </row>
    <row r="587">
      <c r="B587" s="40"/>
      <c r="H587" s="40"/>
      <c r="I587" s="40"/>
    </row>
    <row r="588">
      <c r="B588" s="40"/>
      <c r="H588" s="40"/>
      <c r="I588" s="40"/>
    </row>
    <row r="589">
      <c r="B589" s="40"/>
      <c r="H589" s="40"/>
      <c r="I589" s="40"/>
    </row>
    <row r="590">
      <c r="B590" s="40"/>
      <c r="H590" s="40"/>
      <c r="I590" s="40"/>
    </row>
    <row r="591">
      <c r="B591" s="40"/>
      <c r="H591" s="40"/>
      <c r="I591" s="40"/>
    </row>
    <row r="592">
      <c r="B592" s="40"/>
      <c r="H592" s="40"/>
      <c r="I592" s="40"/>
    </row>
    <row r="593">
      <c r="B593" s="40"/>
      <c r="H593" s="40"/>
      <c r="I593" s="40"/>
    </row>
    <row r="594">
      <c r="B594" s="40"/>
      <c r="H594" s="40"/>
      <c r="I594" s="40"/>
    </row>
    <row r="595">
      <c r="B595" s="40"/>
      <c r="H595" s="40"/>
      <c r="I595" s="40"/>
    </row>
    <row r="596">
      <c r="B596" s="40"/>
      <c r="H596" s="40"/>
      <c r="I596" s="40"/>
    </row>
    <row r="597">
      <c r="B597" s="40"/>
      <c r="H597" s="40"/>
      <c r="I597" s="40"/>
    </row>
    <row r="598">
      <c r="B598" s="40"/>
      <c r="H598" s="40"/>
      <c r="I598" s="40"/>
    </row>
    <row r="599">
      <c r="B599" s="40"/>
      <c r="H599" s="40"/>
      <c r="I599" s="40"/>
    </row>
    <row r="600">
      <c r="B600" s="40"/>
      <c r="H600" s="40"/>
      <c r="I600" s="40"/>
    </row>
    <row r="601">
      <c r="B601" s="40"/>
      <c r="H601" s="40"/>
      <c r="I601" s="40"/>
    </row>
    <row r="602">
      <c r="B602" s="40"/>
      <c r="H602" s="40"/>
      <c r="I602" s="40"/>
    </row>
    <row r="603">
      <c r="B603" s="40"/>
      <c r="H603" s="40"/>
      <c r="I603" s="40"/>
    </row>
    <row r="604">
      <c r="B604" s="40"/>
      <c r="H604" s="40"/>
      <c r="I604" s="40"/>
    </row>
    <row r="605">
      <c r="B605" s="40"/>
      <c r="H605" s="40"/>
      <c r="I605" s="40"/>
    </row>
    <row r="606">
      <c r="B606" s="40"/>
      <c r="H606" s="40"/>
      <c r="I606" s="40"/>
    </row>
    <row r="607">
      <c r="B607" s="40"/>
      <c r="H607" s="40"/>
      <c r="I607" s="40"/>
    </row>
    <row r="608">
      <c r="B608" s="40"/>
      <c r="H608" s="40"/>
      <c r="I608" s="40"/>
    </row>
    <row r="609">
      <c r="B609" s="40"/>
      <c r="H609" s="40"/>
      <c r="I609" s="40"/>
    </row>
    <row r="610">
      <c r="B610" s="40"/>
      <c r="H610" s="40"/>
      <c r="I610" s="40"/>
    </row>
    <row r="611">
      <c r="B611" s="40"/>
      <c r="H611" s="40"/>
      <c r="I611" s="40"/>
    </row>
    <row r="612">
      <c r="B612" s="40"/>
      <c r="H612" s="40"/>
      <c r="I612" s="40"/>
    </row>
    <row r="613">
      <c r="B613" s="40"/>
      <c r="H613" s="40"/>
      <c r="I613" s="40"/>
    </row>
    <row r="614">
      <c r="B614" s="40"/>
      <c r="H614" s="40"/>
      <c r="I614" s="40"/>
    </row>
    <row r="615">
      <c r="B615" s="40"/>
      <c r="H615" s="40"/>
      <c r="I615" s="40"/>
    </row>
    <row r="616">
      <c r="B616" s="40"/>
      <c r="H616" s="40"/>
      <c r="I616" s="40"/>
    </row>
    <row r="617">
      <c r="B617" s="40"/>
      <c r="H617" s="40"/>
      <c r="I617" s="40"/>
    </row>
    <row r="618">
      <c r="B618" s="40"/>
      <c r="H618" s="40"/>
      <c r="I618" s="40"/>
    </row>
    <row r="619">
      <c r="B619" s="40"/>
      <c r="H619" s="40"/>
      <c r="I619" s="40"/>
    </row>
    <row r="620">
      <c r="B620" s="40"/>
      <c r="H620" s="40"/>
      <c r="I620" s="40"/>
    </row>
    <row r="621">
      <c r="B621" s="40"/>
      <c r="H621" s="40"/>
      <c r="I621" s="40"/>
    </row>
    <row r="622">
      <c r="B622" s="40"/>
      <c r="H622" s="40"/>
      <c r="I622" s="40"/>
    </row>
    <row r="623">
      <c r="B623" s="40"/>
      <c r="H623" s="40"/>
      <c r="I623" s="40"/>
    </row>
    <row r="624">
      <c r="B624" s="40"/>
      <c r="H624" s="40"/>
      <c r="I624" s="40"/>
    </row>
    <row r="625">
      <c r="B625" s="40"/>
      <c r="H625" s="40"/>
      <c r="I625" s="40"/>
    </row>
    <row r="626">
      <c r="B626" s="40"/>
      <c r="H626" s="40"/>
      <c r="I626" s="40"/>
    </row>
    <row r="627">
      <c r="B627" s="40"/>
      <c r="H627" s="40"/>
      <c r="I627" s="40"/>
    </row>
    <row r="628">
      <c r="B628" s="40"/>
      <c r="H628" s="40"/>
      <c r="I628" s="40"/>
    </row>
    <row r="629">
      <c r="B629" s="40"/>
      <c r="H629" s="40"/>
      <c r="I629" s="40"/>
    </row>
    <row r="630">
      <c r="B630" s="40"/>
      <c r="H630" s="40"/>
      <c r="I630" s="40"/>
    </row>
    <row r="631">
      <c r="B631" s="40"/>
      <c r="H631" s="40"/>
      <c r="I631" s="40"/>
    </row>
    <row r="632">
      <c r="B632" s="40"/>
      <c r="H632" s="40"/>
      <c r="I632" s="40"/>
    </row>
    <row r="633">
      <c r="B633" s="40"/>
      <c r="H633" s="40"/>
      <c r="I633" s="40"/>
    </row>
    <row r="634">
      <c r="B634" s="40"/>
      <c r="H634" s="40"/>
      <c r="I634" s="40"/>
    </row>
    <row r="635">
      <c r="B635" s="40"/>
      <c r="H635" s="40"/>
      <c r="I635" s="40"/>
    </row>
    <row r="636">
      <c r="B636" s="40"/>
      <c r="H636" s="40"/>
      <c r="I636" s="40"/>
    </row>
    <row r="637">
      <c r="B637" s="40"/>
      <c r="H637" s="40"/>
      <c r="I637" s="40"/>
    </row>
    <row r="638">
      <c r="B638" s="40"/>
      <c r="H638" s="40"/>
      <c r="I638" s="40"/>
    </row>
    <row r="639">
      <c r="B639" s="40"/>
      <c r="H639" s="40"/>
      <c r="I639" s="40"/>
    </row>
    <row r="640">
      <c r="B640" s="40"/>
      <c r="H640" s="40"/>
      <c r="I640" s="40"/>
    </row>
    <row r="641">
      <c r="B641" s="40"/>
      <c r="H641" s="40"/>
      <c r="I641" s="40"/>
    </row>
    <row r="642">
      <c r="B642" s="40"/>
      <c r="H642" s="40"/>
      <c r="I642" s="40"/>
    </row>
    <row r="643">
      <c r="B643" s="40"/>
      <c r="H643" s="40"/>
      <c r="I643" s="40"/>
    </row>
    <row r="644">
      <c r="B644" s="40"/>
      <c r="H644" s="40"/>
      <c r="I644" s="40"/>
    </row>
    <row r="645">
      <c r="B645" s="40"/>
      <c r="H645" s="40"/>
      <c r="I645" s="40"/>
    </row>
    <row r="646">
      <c r="B646" s="40"/>
      <c r="H646" s="40"/>
      <c r="I646" s="40"/>
    </row>
    <row r="647">
      <c r="B647" s="40"/>
      <c r="H647" s="40"/>
      <c r="I647" s="40"/>
    </row>
    <row r="648">
      <c r="B648" s="40"/>
      <c r="H648" s="40"/>
      <c r="I648" s="40"/>
    </row>
    <row r="649">
      <c r="B649" s="40"/>
      <c r="H649" s="40"/>
      <c r="I649" s="40"/>
    </row>
    <row r="650">
      <c r="B650" s="40"/>
      <c r="H650" s="40"/>
      <c r="I650" s="40"/>
    </row>
    <row r="651">
      <c r="B651" s="40"/>
      <c r="H651" s="40"/>
      <c r="I651" s="40"/>
    </row>
    <row r="652">
      <c r="B652" s="40"/>
      <c r="H652" s="40"/>
      <c r="I652" s="40"/>
    </row>
    <row r="653">
      <c r="B653" s="40"/>
      <c r="H653" s="40"/>
      <c r="I653" s="40"/>
    </row>
    <row r="654">
      <c r="B654" s="40"/>
      <c r="H654" s="40"/>
      <c r="I654" s="40"/>
    </row>
    <row r="655">
      <c r="B655" s="40"/>
      <c r="H655" s="40"/>
      <c r="I655" s="40"/>
    </row>
    <row r="656">
      <c r="B656" s="40"/>
      <c r="H656" s="40"/>
      <c r="I656" s="40"/>
    </row>
    <row r="657">
      <c r="B657" s="40"/>
      <c r="H657" s="40"/>
      <c r="I657" s="40"/>
    </row>
    <row r="658">
      <c r="B658" s="40"/>
      <c r="H658" s="40"/>
      <c r="I658" s="40"/>
    </row>
    <row r="659">
      <c r="B659" s="40"/>
      <c r="H659" s="40"/>
      <c r="I659" s="40"/>
    </row>
    <row r="660">
      <c r="B660" s="40"/>
      <c r="H660" s="40"/>
      <c r="I660" s="40"/>
    </row>
    <row r="661">
      <c r="B661" s="40"/>
      <c r="H661" s="40"/>
      <c r="I661" s="40"/>
    </row>
    <row r="662">
      <c r="B662" s="40"/>
      <c r="H662" s="40"/>
      <c r="I662" s="40"/>
    </row>
    <row r="663">
      <c r="B663" s="40"/>
      <c r="H663" s="40"/>
      <c r="I663" s="40"/>
    </row>
    <row r="664">
      <c r="B664" s="40"/>
      <c r="H664" s="40"/>
      <c r="I664" s="40"/>
    </row>
    <row r="665">
      <c r="B665" s="40"/>
      <c r="H665" s="40"/>
      <c r="I665" s="40"/>
    </row>
    <row r="666">
      <c r="B666" s="40"/>
      <c r="H666" s="40"/>
      <c r="I666" s="40"/>
    </row>
    <row r="667">
      <c r="B667" s="40"/>
      <c r="H667" s="40"/>
      <c r="I667" s="40"/>
    </row>
    <row r="668">
      <c r="B668" s="40"/>
      <c r="H668" s="40"/>
      <c r="I668" s="40"/>
    </row>
    <row r="669">
      <c r="B669" s="40"/>
      <c r="H669" s="40"/>
      <c r="I669" s="40"/>
    </row>
    <row r="670">
      <c r="B670" s="40"/>
      <c r="H670" s="40"/>
      <c r="I670" s="40"/>
    </row>
    <row r="671">
      <c r="B671" s="40"/>
      <c r="H671" s="40"/>
      <c r="I671" s="40"/>
    </row>
    <row r="672">
      <c r="B672" s="40"/>
      <c r="H672" s="40"/>
      <c r="I672" s="40"/>
    </row>
    <row r="673">
      <c r="B673" s="40"/>
      <c r="H673" s="40"/>
      <c r="I673" s="40"/>
    </row>
    <row r="674">
      <c r="B674" s="40"/>
      <c r="H674" s="40"/>
      <c r="I674" s="40"/>
    </row>
    <row r="675">
      <c r="B675" s="40"/>
      <c r="H675" s="40"/>
      <c r="I675" s="40"/>
    </row>
    <row r="676">
      <c r="B676" s="40"/>
      <c r="H676" s="40"/>
      <c r="I676" s="40"/>
    </row>
    <row r="677">
      <c r="B677" s="40"/>
      <c r="H677" s="40"/>
      <c r="I677" s="40"/>
    </row>
    <row r="678">
      <c r="B678" s="40"/>
      <c r="H678" s="40"/>
      <c r="I678" s="40"/>
    </row>
    <row r="679">
      <c r="B679" s="40"/>
      <c r="H679" s="40"/>
      <c r="I679" s="40"/>
    </row>
    <row r="680">
      <c r="B680" s="40"/>
      <c r="H680" s="40"/>
      <c r="I680" s="40"/>
    </row>
    <row r="681">
      <c r="B681" s="40"/>
      <c r="H681" s="40"/>
      <c r="I681" s="40"/>
    </row>
    <row r="682">
      <c r="B682" s="40"/>
      <c r="H682" s="40"/>
      <c r="I682" s="40"/>
    </row>
    <row r="683">
      <c r="B683" s="40"/>
      <c r="H683" s="40"/>
      <c r="I683" s="40"/>
    </row>
    <row r="684">
      <c r="B684" s="40"/>
      <c r="H684" s="40"/>
      <c r="I684" s="40"/>
    </row>
    <row r="685">
      <c r="B685" s="40"/>
      <c r="H685" s="40"/>
      <c r="I685" s="40"/>
    </row>
    <row r="686">
      <c r="B686" s="40"/>
      <c r="H686" s="40"/>
      <c r="I686" s="40"/>
    </row>
    <row r="687">
      <c r="B687" s="40"/>
      <c r="H687" s="40"/>
      <c r="I687" s="40"/>
    </row>
    <row r="688">
      <c r="B688" s="40"/>
      <c r="H688" s="40"/>
      <c r="I688" s="40"/>
    </row>
    <row r="689">
      <c r="B689" s="40"/>
      <c r="H689" s="40"/>
      <c r="I689" s="40"/>
    </row>
    <row r="690">
      <c r="B690" s="40"/>
      <c r="H690" s="40"/>
      <c r="I690" s="40"/>
    </row>
    <row r="691">
      <c r="B691" s="40"/>
      <c r="H691" s="40"/>
      <c r="I691" s="40"/>
    </row>
    <row r="692">
      <c r="B692" s="40"/>
      <c r="H692" s="40"/>
      <c r="I692" s="40"/>
    </row>
    <row r="693">
      <c r="B693" s="40"/>
      <c r="H693" s="40"/>
      <c r="I693" s="40"/>
    </row>
    <row r="694">
      <c r="B694" s="40"/>
      <c r="H694" s="40"/>
      <c r="I694" s="40"/>
    </row>
    <row r="695">
      <c r="B695" s="40"/>
      <c r="H695" s="40"/>
      <c r="I695" s="40"/>
    </row>
    <row r="696">
      <c r="B696" s="40"/>
      <c r="H696" s="40"/>
      <c r="I696" s="40"/>
    </row>
    <row r="697">
      <c r="B697" s="40"/>
      <c r="H697" s="40"/>
      <c r="I697" s="40"/>
    </row>
    <row r="698">
      <c r="B698" s="40"/>
      <c r="H698" s="40"/>
      <c r="I698" s="40"/>
    </row>
    <row r="699">
      <c r="B699" s="40"/>
      <c r="H699" s="40"/>
      <c r="I699" s="40"/>
    </row>
    <row r="700">
      <c r="B700" s="40"/>
      <c r="H700" s="40"/>
      <c r="I700" s="40"/>
    </row>
    <row r="701">
      <c r="B701" s="40"/>
      <c r="H701" s="40"/>
      <c r="I701" s="40"/>
    </row>
    <row r="702">
      <c r="B702" s="40"/>
      <c r="H702" s="40"/>
      <c r="I702" s="40"/>
    </row>
    <row r="703">
      <c r="B703" s="40"/>
      <c r="H703" s="40"/>
      <c r="I703" s="40"/>
    </row>
    <row r="704">
      <c r="B704" s="40"/>
      <c r="H704" s="40"/>
      <c r="I704" s="40"/>
    </row>
    <row r="705">
      <c r="B705" s="40"/>
      <c r="H705" s="40"/>
      <c r="I705" s="40"/>
    </row>
    <row r="706">
      <c r="B706" s="40"/>
      <c r="H706" s="40"/>
      <c r="I706" s="40"/>
    </row>
    <row r="707">
      <c r="B707" s="40"/>
      <c r="H707" s="40"/>
      <c r="I707" s="40"/>
    </row>
    <row r="708">
      <c r="B708" s="40"/>
      <c r="H708" s="40"/>
      <c r="I708" s="40"/>
    </row>
    <row r="709">
      <c r="B709" s="40"/>
      <c r="H709" s="40"/>
      <c r="I709" s="40"/>
    </row>
    <row r="710">
      <c r="B710" s="40"/>
      <c r="H710" s="40"/>
      <c r="I710" s="40"/>
    </row>
    <row r="711">
      <c r="B711" s="40"/>
      <c r="H711" s="40"/>
      <c r="I711" s="40"/>
    </row>
    <row r="712">
      <c r="B712" s="40"/>
      <c r="H712" s="40"/>
      <c r="I712" s="40"/>
    </row>
    <row r="713">
      <c r="B713" s="40"/>
      <c r="H713" s="40"/>
      <c r="I713" s="40"/>
    </row>
    <row r="714">
      <c r="B714" s="40"/>
      <c r="H714" s="40"/>
      <c r="I714" s="40"/>
    </row>
    <row r="715">
      <c r="B715" s="40"/>
      <c r="H715" s="40"/>
      <c r="I715" s="40"/>
    </row>
    <row r="716">
      <c r="B716" s="40"/>
      <c r="H716" s="40"/>
      <c r="I716" s="40"/>
    </row>
    <row r="717">
      <c r="B717" s="40"/>
      <c r="H717" s="40"/>
      <c r="I717" s="40"/>
    </row>
    <row r="718">
      <c r="B718" s="40"/>
      <c r="H718" s="40"/>
      <c r="I718" s="40"/>
    </row>
    <row r="719">
      <c r="B719" s="40"/>
      <c r="H719" s="40"/>
      <c r="I719" s="40"/>
    </row>
    <row r="720">
      <c r="B720" s="40"/>
      <c r="H720" s="40"/>
      <c r="I720" s="40"/>
    </row>
    <row r="721">
      <c r="B721" s="40"/>
      <c r="H721" s="40"/>
      <c r="I721" s="40"/>
    </row>
    <row r="722">
      <c r="B722" s="40"/>
      <c r="H722" s="40"/>
      <c r="I722" s="40"/>
    </row>
    <row r="723">
      <c r="B723" s="40"/>
      <c r="H723" s="40"/>
      <c r="I723" s="40"/>
    </row>
    <row r="724">
      <c r="B724" s="40"/>
      <c r="H724" s="40"/>
      <c r="I724" s="40"/>
    </row>
    <row r="725">
      <c r="B725" s="40"/>
      <c r="H725" s="40"/>
      <c r="I725" s="40"/>
    </row>
    <row r="726">
      <c r="B726" s="40"/>
      <c r="H726" s="40"/>
      <c r="I726" s="40"/>
    </row>
    <row r="727">
      <c r="B727" s="40"/>
      <c r="H727" s="40"/>
      <c r="I727" s="40"/>
    </row>
    <row r="728">
      <c r="B728" s="40"/>
      <c r="H728" s="40"/>
      <c r="I728" s="40"/>
    </row>
    <row r="729">
      <c r="B729" s="40"/>
      <c r="H729" s="40"/>
      <c r="I729" s="40"/>
    </row>
    <row r="730">
      <c r="B730" s="40"/>
      <c r="H730" s="40"/>
      <c r="I730" s="40"/>
    </row>
    <row r="731">
      <c r="B731" s="40"/>
      <c r="H731" s="40"/>
      <c r="I731" s="40"/>
    </row>
    <row r="732">
      <c r="B732" s="40"/>
      <c r="H732" s="40"/>
      <c r="I732" s="40"/>
    </row>
    <row r="733">
      <c r="B733" s="40"/>
      <c r="H733" s="40"/>
      <c r="I733" s="40"/>
    </row>
    <row r="734">
      <c r="B734" s="40"/>
      <c r="H734" s="40"/>
      <c r="I734" s="40"/>
    </row>
    <row r="735">
      <c r="B735" s="40"/>
      <c r="H735" s="40"/>
      <c r="I735" s="40"/>
    </row>
    <row r="736">
      <c r="B736" s="40"/>
      <c r="H736" s="40"/>
      <c r="I736" s="40"/>
    </row>
    <row r="737">
      <c r="B737" s="40"/>
      <c r="H737" s="40"/>
      <c r="I737" s="40"/>
    </row>
    <row r="738">
      <c r="B738" s="40"/>
      <c r="H738" s="40"/>
      <c r="I738" s="40"/>
    </row>
    <row r="739">
      <c r="B739" s="40"/>
      <c r="H739" s="40"/>
      <c r="I739" s="40"/>
    </row>
    <row r="740">
      <c r="B740" s="40"/>
      <c r="H740" s="40"/>
      <c r="I740" s="40"/>
    </row>
    <row r="741">
      <c r="B741" s="40"/>
      <c r="H741" s="40"/>
      <c r="I741" s="40"/>
    </row>
    <row r="742">
      <c r="B742" s="40"/>
      <c r="H742" s="40"/>
      <c r="I742" s="40"/>
    </row>
    <row r="743">
      <c r="B743" s="40"/>
      <c r="H743" s="40"/>
      <c r="I743" s="40"/>
    </row>
    <row r="744">
      <c r="B744" s="40"/>
      <c r="H744" s="40"/>
      <c r="I744" s="40"/>
    </row>
    <row r="745">
      <c r="B745" s="40"/>
      <c r="H745" s="40"/>
      <c r="I745" s="40"/>
    </row>
    <row r="746">
      <c r="B746" s="40"/>
      <c r="H746" s="40"/>
      <c r="I746" s="40"/>
    </row>
    <row r="747">
      <c r="B747" s="40"/>
      <c r="H747" s="40"/>
      <c r="I747" s="40"/>
    </row>
    <row r="748">
      <c r="B748" s="40"/>
      <c r="H748" s="40"/>
      <c r="I748" s="40"/>
    </row>
    <row r="749">
      <c r="B749" s="40"/>
      <c r="H749" s="40"/>
      <c r="I749" s="40"/>
    </row>
    <row r="750">
      <c r="B750" s="40"/>
      <c r="H750" s="40"/>
      <c r="I750" s="40"/>
    </row>
    <row r="751">
      <c r="B751" s="40"/>
      <c r="H751" s="40"/>
      <c r="I751" s="40"/>
    </row>
    <row r="752">
      <c r="B752" s="40"/>
      <c r="H752" s="40"/>
      <c r="I752" s="40"/>
    </row>
    <row r="753">
      <c r="B753" s="40"/>
      <c r="H753" s="40"/>
      <c r="I753" s="40"/>
    </row>
    <row r="754">
      <c r="B754" s="40"/>
      <c r="H754" s="40"/>
      <c r="I754" s="40"/>
    </row>
    <row r="755">
      <c r="B755" s="40"/>
      <c r="H755" s="40"/>
      <c r="I755" s="40"/>
    </row>
    <row r="756">
      <c r="B756" s="40"/>
      <c r="H756" s="40"/>
      <c r="I756" s="40"/>
    </row>
    <row r="757">
      <c r="B757" s="40"/>
      <c r="H757" s="40"/>
      <c r="I757" s="40"/>
    </row>
    <row r="758">
      <c r="B758" s="40"/>
      <c r="H758" s="40"/>
      <c r="I758" s="40"/>
    </row>
    <row r="759">
      <c r="B759" s="40"/>
      <c r="H759" s="40"/>
      <c r="I759" s="40"/>
    </row>
    <row r="760">
      <c r="B760" s="40"/>
      <c r="H760" s="40"/>
      <c r="I760" s="40"/>
    </row>
    <row r="761">
      <c r="B761" s="40"/>
      <c r="H761" s="40"/>
      <c r="I761" s="40"/>
    </row>
    <row r="762">
      <c r="B762" s="40"/>
      <c r="H762" s="40"/>
      <c r="I762" s="40"/>
    </row>
    <row r="763">
      <c r="B763" s="40"/>
      <c r="H763" s="40"/>
      <c r="I763" s="40"/>
    </row>
    <row r="764">
      <c r="B764" s="40"/>
      <c r="H764" s="40"/>
      <c r="I764" s="40"/>
    </row>
    <row r="765">
      <c r="B765" s="40"/>
      <c r="H765" s="40"/>
      <c r="I765" s="40"/>
    </row>
    <row r="766">
      <c r="B766" s="40"/>
      <c r="H766" s="40"/>
      <c r="I766" s="40"/>
    </row>
    <row r="767">
      <c r="B767" s="40"/>
      <c r="H767" s="40"/>
      <c r="I767" s="40"/>
    </row>
    <row r="768">
      <c r="B768" s="40"/>
      <c r="H768" s="40"/>
      <c r="I768" s="40"/>
    </row>
    <row r="769">
      <c r="B769" s="40"/>
      <c r="H769" s="40"/>
      <c r="I769" s="40"/>
    </row>
    <row r="770">
      <c r="B770" s="40"/>
      <c r="H770" s="40"/>
      <c r="I770" s="40"/>
    </row>
    <row r="771">
      <c r="B771" s="40"/>
      <c r="H771" s="40"/>
      <c r="I771" s="40"/>
    </row>
    <row r="772">
      <c r="B772" s="40"/>
      <c r="H772" s="40"/>
      <c r="I772" s="40"/>
    </row>
    <row r="773">
      <c r="B773" s="40"/>
      <c r="H773" s="40"/>
      <c r="I773" s="40"/>
    </row>
    <row r="774">
      <c r="B774" s="40"/>
      <c r="H774" s="40"/>
      <c r="I774" s="40"/>
    </row>
    <row r="775">
      <c r="B775" s="40"/>
      <c r="H775" s="40"/>
      <c r="I775" s="40"/>
    </row>
    <row r="776">
      <c r="B776" s="40"/>
      <c r="H776" s="40"/>
      <c r="I776" s="40"/>
    </row>
    <row r="777">
      <c r="B777" s="40"/>
      <c r="H777" s="40"/>
      <c r="I777" s="40"/>
    </row>
    <row r="778">
      <c r="B778" s="40"/>
      <c r="H778" s="40"/>
      <c r="I778" s="40"/>
    </row>
    <row r="779">
      <c r="B779" s="40"/>
      <c r="H779" s="40"/>
      <c r="I779" s="40"/>
    </row>
    <row r="780">
      <c r="B780" s="40"/>
      <c r="H780" s="40"/>
      <c r="I780" s="40"/>
    </row>
    <row r="781">
      <c r="B781" s="40"/>
      <c r="H781" s="40"/>
      <c r="I781" s="40"/>
    </row>
    <row r="782">
      <c r="B782" s="40"/>
      <c r="H782" s="40"/>
      <c r="I782" s="40"/>
    </row>
    <row r="783">
      <c r="B783" s="40"/>
      <c r="H783" s="40"/>
      <c r="I783" s="40"/>
    </row>
    <row r="784">
      <c r="B784" s="40"/>
      <c r="H784" s="40"/>
      <c r="I784" s="40"/>
    </row>
    <row r="785">
      <c r="B785" s="40"/>
      <c r="H785" s="40"/>
      <c r="I785" s="40"/>
    </row>
    <row r="786">
      <c r="B786" s="40"/>
      <c r="H786" s="40"/>
      <c r="I786" s="40"/>
    </row>
    <row r="787">
      <c r="B787" s="40"/>
      <c r="H787" s="40"/>
      <c r="I787" s="40"/>
    </row>
    <row r="788">
      <c r="B788" s="40"/>
      <c r="H788" s="40"/>
      <c r="I788" s="40"/>
    </row>
    <row r="789">
      <c r="B789" s="40"/>
      <c r="H789" s="40"/>
      <c r="I789" s="40"/>
    </row>
    <row r="790">
      <c r="B790" s="40"/>
      <c r="H790" s="40"/>
      <c r="I790" s="40"/>
    </row>
    <row r="791">
      <c r="B791" s="40"/>
      <c r="H791" s="40"/>
      <c r="I791" s="40"/>
    </row>
    <row r="792">
      <c r="B792" s="40"/>
      <c r="H792" s="40"/>
      <c r="I792" s="40"/>
    </row>
    <row r="793">
      <c r="B793" s="40"/>
      <c r="H793" s="40"/>
      <c r="I793" s="40"/>
    </row>
    <row r="794">
      <c r="B794" s="40"/>
      <c r="H794" s="40"/>
      <c r="I794" s="40"/>
    </row>
    <row r="795">
      <c r="B795" s="40"/>
      <c r="H795" s="40"/>
      <c r="I795" s="40"/>
    </row>
    <row r="796">
      <c r="B796" s="40"/>
      <c r="H796" s="40"/>
      <c r="I796" s="40"/>
    </row>
    <row r="797">
      <c r="B797" s="40"/>
      <c r="H797" s="40"/>
      <c r="I797" s="40"/>
    </row>
    <row r="798">
      <c r="B798" s="40"/>
      <c r="H798" s="40"/>
      <c r="I798" s="40"/>
    </row>
    <row r="799">
      <c r="B799" s="40"/>
      <c r="H799" s="40"/>
      <c r="I799" s="40"/>
    </row>
    <row r="800">
      <c r="B800" s="40"/>
      <c r="H800" s="40"/>
      <c r="I800" s="40"/>
    </row>
    <row r="801">
      <c r="B801" s="40"/>
      <c r="H801" s="40"/>
      <c r="I801" s="40"/>
    </row>
    <row r="802">
      <c r="B802" s="40"/>
      <c r="H802" s="40"/>
      <c r="I802" s="40"/>
    </row>
    <row r="803">
      <c r="B803" s="40"/>
      <c r="H803" s="40"/>
      <c r="I803" s="40"/>
    </row>
    <row r="804">
      <c r="B804" s="40"/>
      <c r="H804" s="40"/>
      <c r="I804" s="40"/>
    </row>
    <row r="805">
      <c r="B805" s="40"/>
      <c r="H805" s="40"/>
      <c r="I805" s="40"/>
    </row>
    <row r="806">
      <c r="B806" s="40"/>
      <c r="H806" s="40"/>
      <c r="I806" s="40"/>
    </row>
    <row r="807">
      <c r="B807" s="40"/>
      <c r="H807" s="40"/>
      <c r="I807" s="40"/>
    </row>
    <row r="808">
      <c r="B808" s="40"/>
      <c r="H808" s="40"/>
      <c r="I808" s="40"/>
    </row>
    <row r="809">
      <c r="B809" s="40"/>
      <c r="H809" s="40"/>
      <c r="I809" s="40"/>
    </row>
    <row r="810">
      <c r="B810" s="40"/>
      <c r="H810" s="40"/>
      <c r="I810" s="40"/>
    </row>
    <row r="811">
      <c r="B811" s="40"/>
      <c r="H811" s="40"/>
      <c r="I811" s="40"/>
    </row>
    <row r="812">
      <c r="B812" s="40"/>
      <c r="H812" s="40"/>
      <c r="I812" s="40"/>
    </row>
    <row r="813">
      <c r="B813" s="40"/>
      <c r="H813" s="40"/>
      <c r="I813" s="40"/>
    </row>
    <row r="814">
      <c r="B814" s="40"/>
      <c r="H814" s="40"/>
      <c r="I814" s="40"/>
    </row>
    <row r="815">
      <c r="B815" s="40"/>
      <c r="H815" s="40"/>
      <c r="I815" s="40"/>
    </row>
    <row r="816">
      <c r="B816" s="40"/>
      <c r="H816" s="40"/>
      <c r="I816" s="40"/>
    </row>
    <row r="817">
      <c r="B817" s="40"/>
      <c r="H817" s="40"/>
      <c r="I817" s="40"/>
    </row>
    <row r="818">
      <c r="B818" s="40"/>
      <c r="H818" s="40"/>
      <c r="I818" s="40"/>
    </row>
    <row r="819">
      <c r="B819" s="40"/>
      <c r="H819" s="40"/>
      <c r="I819" s="40"/>
    </row>
    <row r="820">
      <c r="B820" s="40"/>
      <c r="H820" s="40"/>
      <c r="I820" s="40"/>
    </row>
    <row r="821">
      <c r="B821" s="40"/>
      <c r="H821" s="40"/>
      <c r="I821" s="40"/>
    </row>
    <row r="822">
      <c r="B822" s="40"/>
      <c r="H822" s="40"/>
      <c r="I822" s="40"/>
    </row>
    <row r="823">
      <c r="B823" s="40"/>
      <c r="H823" s="40"/>
      <c r="I823" s="40"/>
    </row>
    <row r="824">
      <c r="B824" s="40"/>
      <c r="H824" s="40"/>
      <c r="I824" s="40"/>
    </row>
    <row r="825">
      <c r="B825" s="40"/>
      <c r="H825" s="40"/>
      <c r="I825" s="40"/>
    </row>
    <row r="826">
      <c r="B826" s="40"/>
      <c r="H826" s="40"/>
      <c r="I826" s="40"/>
    </row>
    <row r="827">
      <c r="B827" s="40"/>
      <c r="H827" s="40"/>
      <c r="I827" s="40"/>
    </row>
    <row r="828">
      <c r="B828" s="40"/>
      <c r="H828" s="40"/>
      <c r="I828" s="40"/>
    </row>
    <row r="829">
      <c r="B829" s="40"/>
      <c r="H829" s="40"/>
      <c r="I829" s="40"/>
    </row>
    <row r="830">
      <c r="B830" s="40"/>
      <c r="H830" s="40"/>
      <c r="I830" s="40"/>
    </row>
    <row r="831">
      <c r="B831" s="40"/>
      <c r="H831" s="40"/>
      <c r="I831" s="40"/>
    </row>
    <row r="832">
      <c r="B832" s="40"/>
      <c r="H832" s="40"/>
      <c r="I832" s="40"/>
    </row>
    <row r="833">
      <c r="B833" s="40"/>
      <c r="H833" s="40"/>
      <c r="I833" s="40"/>
    </row>
    <row r="834">
      <c r="B834" s="40"/>
      <c r="H834" s="40"/>
      <c r="I834" s="40"/>
    </row>
    <row r="835">
      <c r="B835" s="40"/>
      <c r="H835" s="40"/>
      <c r="I835" s="40"/>
    </row>
    <row r="836">
      <c r="B836" s="40"/>
      <c r="H836" s="40"/>
      <c r="I836" s="40"/>
    </row>
    <row r="837">
      <c r="B837" s="40"/>
      <c r="H837" s="40"/>
      <c r="I837" s="40"/>
    </row>
    <row r="838">
      <c r="B838" s="40"/>
      <c r="H838" s="40"/>
      <c r="I838" s="40"/>
    </row>
    <row r="839">
      <c r="B839" s="40"/>
      <c r="H839" s="40"/>
      <c r="I839" s="40"/>
    </row>
    <row r="840">
      <c r="B840" s="40"/>
      <c r="H840" s="40"/>
      <c r="I840" s="40"/>
    </row>
    <row r="841">
      <c r="B841" s="40"/>
      <c r="H841" s="40"/>
      <c r="I841" s="40"/>
    </row>
    <row r="842">
      <c r="B842" s="40"/>
      <c r="H842" s="40"/>
      <c r="I842" s="40"/>
    </row>
    <row r="843">
      <c r="B843" s="40"/>
      <c r="H843" s="40"/>
      <c r="I843" s="40"/>
    </row>
    <row r="844">
      <c r="B844" s="40"/>
      <c r="H844" s="40"/>
      <c r="I844" s="40"/>
    </row>
    <row r="845">
      <c r="B845" s="40"/>
      <c r="H845" s="40"/>
      <c r="I845" s="40"/>
    </row>
    <row r="846">
      <c r="B846" s="40"/>
      <c r="H846" s="40"/>
      <c r="I846" s="40"/>
    </row>
    <row r="847">
      <c r="B847" s="40"/>
      <c r="H847" s="40"/>
      <c r="I847" s="40"/>
    </row>
    <row r="848">
      <c r="B848" s="40"/>
      <c r="H848" s="40"/>
      <c r="I848" s="40"/>
    </row>
    <row r="849">
      <c r="B849" s="40"/>
      <c r="H849" s="40"/>
      <c r="I849" s="40"/>
    </row>
    <row r="850">
      <c r="B850" s="40"/>
      <c r="H850" s="40"/>
      <c r="I850" s="40"/>
    </row>
    <row r="851">
      <c r="B851" s="40"/>
      <c r="H851" s="40"/>
      <c r="I851" s="40"/>
    </row>
    <row r="852">
      <c r="B852" s="40"/>
      <c r="H852" s="40"/>
      <c r="I852" s="40"/>
    </row>
    <row r="853">
      <c r="B853" s="40"/>
      <c r="H853" s="40"/>
      <c r="I853" s="40"/>
    </row>
    <row r="854">
      <c r="B854" s="40"/>
      <c r="H854" s="40"/>
      <c r="I854" s="40"/>
    </row>
    <row r="855">
      <c r="B855" s="40"/>
      <c r="H855" s="40"/>
      <c r="I855" s="40"/>
    </row>
    <row r="856">
      <c r="B856" s="40"/>
      <c r="H856" s="40"/>
      <c r="I856" s="40"/>
    </row>
    <row r="857">
      <c r="B857" s="40"/>
      <c r="H857" s="40"/>
      <c r="I857" s="40"/>
    </row>
    <row r="858">
      <c r="B858" s="40"/>
      <c r="H858" s="40"/>
      <c r="I858" s="40"/>
    </row>
    <row r="859">
      <c r="B859" s="40"/>
      <c r="H859" s="40"/>
      <c r="I859" s="40"/>
    </row>
    <row r="860">
      <c r="B860" s="40"/>
      <c r="H860" s="40"/>
      <c r="I860" s="40"/>
    </row>
    <row r="861">
      <c r="B861" s="40"/>
      <c r="H861" s="40"/>
      <c r="I861" s="40"/>
    </row>
    <row r="862">
      <c r="B862" s="40"/>
      <c r="H862" s="40"/>
      <c r="I862" s="40"/>
    </row>
    <row r="863">
      <c r="B863" s="40"/>
      <c r="H863" s="40"/>
      <c r="I863" s="40"/>
    </row>
    <row r="864">
      <c r="B864" s="40"/>
      <c r="H864" s="40"/>
      <c r="I864" s="40"/>
    </row>
    <row r="865">
      <c r="B865" s="40"/>
      <c r="H865" s="40"/>
      <c r="I865" s="40"/>
    </row>
    <row r="866">
      <c r="B866" s="40"/>
      <c r="H866" s="40"/>
      <c r="I866" s="40"/>
    </row>
    <row r="867">
      <c r="B867" s="40"/>
      <c r="H867" s="40"/>
      <c r="I867" s="40"/>
    </row>
    <row r="868">
      <c r="B868" s="40"/>
      <c r="H868" s="40"/>
      <c r="I868" s="40"/>
    </row>
    <row r="869">
      <c r="B869" s="40"/>
      <c r="H869" s="40"/>
      <c r="I869" s="40"/>
    </row>
    <row r="870">
      <c r="B870" s="40"/>
      <c r="H870" s="40"/>
      <c r="I870" s="40"/>
    </row>
    <row r="871">
      <c r="B871" s="40"/>
      <c r="H871" s="40"/>
      <c r="I871" s="40"/>
    </row>
    <row r="872">
      <c r="B872" s="40"/>
      <c r="H872" s="40"/>
      <c r="I872" s="40"/>
    </row>
    <row r="873">
      <c r="B873" s="40"/>
      <c r="H873" s="40"/>
      <c r="I873" s="40"/>
    </row>
    <row r="874">
      <c r="B874" s="40"/>
      <c r="H874" s="40"/>
      <c r="I874" s="40"/>
    </row>
    <row r="875">
      <c r="B875" s="40"/>
      <c r="H875" s="40"/>
      <c r="I875" s="40"/>
    </row>
    <row r="876">
      <c r="B876" s="40"/>
      <c r="H876" s="40"/>
      <c r="I876" s="40"/>
    </row>
    <row r="877">
      <c r="B877" s="40"/>
      <c r="H877" s="40"/>
      <c r="I877" s="40"/>
    </row>
    <row r="878">
      <c r="B878" s="40"/>
      <c r="H878" s="40"/>
      <c r="I878" s="40"/>
    </row>
    <row r="879">
      <c r="B879" s="40"/>
      <c r="H879" s="40"/>
      <c r="I879" s="40"/>
    </row>
    <row r="880">
      <c r="B880" s="40"/>
      <c r="H880" s="40"/>
      <c r="I880" s="40"/>
    </row>
    <row r="881">
      <c r="B881" s="40"/>
      <c r="H881" s="40"/>
      <c r="I881" s="40"/>
    </row>
    <row r="882">
      <c r="B882" s="40"/>
      <c r="H882" s="40"/>
      <c r="I882" s="40"/>
    </row>
    <row r="883">
      <c r="B883" s="40"/>
      <c r="H883" s="40"/>
      <c r="I883" s="40"/>
    </row>
    <row r="884">
      <c r="B884" s="40"/>
      <c r="H884" s="40"/>
      <c r="I884" s="40"/>
    </row>
    <row r="885">
      <c r="B885" s="40"/>
      <c r="H885" s="40"/>
      <c r="I885" s="40"/>
    </row>
    <row r="886">
      <c r="B886" s="40"/>
      <c r="H886" s="40"/>
      <c r="I886" s="40"/>
    </row>
    <row r="887">
      <c r="B887" s="40"/>
      <c r="H887" s="40"/>
      <c r="I887" s="40"/>
    </row>
    <row r="888">
      <c r="B888" s="40"/>
      <c r="H888" s="40"/>
      <c r="I888" s="40"/>
    </row>
    <row r="889">
      <c r="B889" s="40"/>
      <c r="H889" s="40"/>
      <c r="I889" s="40"/>
    </row>
    <row r="890">
      <c r="B890" s="40"/>
      <c r="H890" s="40"/>
      <c r="I890" s="40"/>
    </row>
    <row r="891">
      <c r="B891" s="40"/>
      <c r="H891" s="40"/>
      <c r="I891" s="40"/>
    </row>
    <row r="892">
      <c r="B892" s="40"/>
      <c r="H892" s="40"/>
      <c r="I892" s="40"/>
    </row>
    <row r="893">
      <c r="B893" s="40"/>
      <c r="H893" s="40"/>
      <c r="I893" s="40"/>
    </row>
    <row r="894">
      <c r="B894" s="40"/>
      <c r="H894" s="40"/>
      <c r="I894" s="40"/>
    </row>
    <row r="895">
      <c r="B895" s="40"/>
      <c r="H895" s="40"/>
      <c r="I895" s="40"/>
    </row>
    <row r="896">
      <c r="B896" s="40"/>
      <c r="H896" s="40"/>
      <c r="I896" s="40"/>
    </row>
    <row r="897">
      <c r="B897" s="40"/>
      <c r="H897" s="40"/>
      <c r="I897" s="40"/>
    </row>
    <row r="898">
      <c r="B898" s="40"/>
      <c r="H898" s="40"/>
      <c r="I898" s="40"/>
    </row>
    <row r="899">
      <c r="B899" s="40"/>
      <c r="H899" s="40"/>
      <c r="I899" s="40"/>
    </row>
    <row r="900">
      <c r="B900" s="40"/>
      <c r="H900" s="40"/>
      <c r="I900" s="40"/>
    </row>
    <row r="901">
      <c r="B901" s="40"/>
      <c r="H901" s="40"/>
      <c r="I901" s="40"/>
    </row>
    <row r="902">
      <c r="B902" s="40"/>
      <c r="H902" s="40"/>
      <c r="I902" s="40"/>
    </row>
    <row r="903">
      <c r="B903" s="40"/>
      <c r="H903" s="40"/>
      <c r="I903" s="40"/>
    </row>
    <row r="904">
      <c r="B904" s="40"/>
      <c r="H904" s="40"/>
      <c r="I904" s="40"/>
    </row>
    <row r="905">
      <c r="B905" s="40"/>
      <c r="H905" s="40"/>
      <c r="I905" s="40"/>
    </row>
    <row r="906">
      <c r="B906" s="40"/>
      <c r="H906" s="40"/>
      <c r="I906" s="40"/>
    </row>
    <row r="907">
      <c r="B907" s="40"/>
      <c r="H907" s="40"/>
      <c r="I907" s="40"/>
    </row>
    <row r="908">
      <c r="B908" s="40"/>
      <c r="H908" s="40"/>
      <c r="I908" s="40"/>
    </row>
    <row r="909">
      <c r="B909" s="40"/>
      <c r="H909" s="40"/>
      <c r="I909" s="40"/>
    </row>
    <row r="910">
      <c r="B910" s="40"/>
      <c r="H910" s="40"/>
      <c r="I910" s="40"/>
    </row>
    <row r="911">
      <c r="B911" s="40"/>
      <c r="H911" s="40"/>
      <c r="I911" s="40"/>
    </row>
    <row r="912">
      <c r="B912" s="40"/>
      <c r="H912" s="40"/>
      <c r="I912" s="40"/>
    </row>
    <row r="913">
      <c r="B913" s="40"/>
      <c r="H913" s="40"/>
      <c r="I913" s="40"/>
    </row>
    <row r="914">
      <c r="B914" s="40"/>
      <c r="H914" s="40"/>
      <c r="I914" s="40"/>
    </row>
    <row r="915">
      <c r="B915" s="40"/>
      <c r="H915" s="40"/>
      <c r="I915" s="40"/>
    </row>
    <row r="916">
      <c r="B916" s="40"/>
      <c r="H916" s="40"/>
      <c r="I916" s="40"/>
    </row>
    <row r="917">
      <c r="B917" s="40"/>
      <c r="H917" s="40"/>
      <c r="I917" s="40"/>
    </row>
    <row r="918">
      <c r="B918" s="40"/>
      <c r="H918" s="40"/>
      <c r="I918" s="40"/>
    </row>
    <row r="919">
      <c r="B919" s="40"/>
      <c r="H919" s="40"/>
      <c r="I919" s="40"/>
    </row>
    <row r="920">
      <c r="B920" s="40"/>
      <c r="H920" s="40"/>
      <c r="I920" s="40"/>
    </row>
    <row r="921">
      <c r="B921" s="40"/>
      <c r="H921" s="40"/>
      <c r="I921" s="40"/>
    </row>
    <row r="922">
      <c r="B922" s="40"/>
      <c r="H922" s="40"/>
      <c r="I922" s="40"/>
    </row>
    <row r="923">
      <c r="B923" s="40"/>
      <c r="H923" s="40"/>
      <c r="I923" s="40"/>
    </row>
    <row r="924">
      <c r="B924" s="40"/>
      <c r="H924" s="40"/>
      <c r="I924" s="40"/>
    </row>
    <row r="925">
      <c r="B925" s="40"/>
      <c r="H925" s="40"/>
      <c r="I925" s="40"/>
    </row>
    <row r="926">
      <c r="B926" s="40"/>
      <c r="H926" s="40"/>
      <c r="I926" s="40"/>
    </row>
    <row r="927">
      <c r="B927" s="40"/>
      <c r="H927" s="40"/>
      <c r="I927" s="40"/>
    </row>
    <row r="928">
      <c r="B928" s="40"/>
      <c r="H928" s="40"/>
      <c r="I928" s="40"/>
    </row>
    <row r="929">
      <c r="B929" s="40"/>
      <c r="H929" s="40"/>
      <c r="I929" s="40"/>
    </row>
    <row r="930">
      <c r="B930" s="40"/>
      <c r="H930" s="40"/>
      <c r="I930" s="40"/>
    </row>
    <row r="931">
      <c r="B931" s="40"/>
      <c r="H931" s="40"/>
      <c r="I931" s="40"/>
    </row>
    <row r="932">
      <c r="B932" s="40"/>
      <c r="H932" s="40"/>
      <c r="I932" s="40"/>
    </row>
    <row r="933">
      <c r="B933" s="40"/>
      <c r="H933" s="40"/>
      <c r="I933" s="40"/>
    </row>
    <row r="934">
      <c r="B934" s="40"/>
      <c r="H934" s="40"/>
      <c r="I934" s="40"/>
    </row>
    <row r="935">
      <c r="B935" s="40"/>
      <c r="H935" s="40"/>
      <c r="I935" s="40"/>
    </row>
    <row r="936">
      <c r="B936" s="40"/>
      <c r="H936" s="40"/>
      <c r="I936" s="40"/>
    </row>
    <row r="937">
      <c r="B937" s="40"/>
      <c r="H937" s="40"/>
      <c r="I937" s="40"/>
    </row>
    <row r="938">
      <c r="B938" s="40"/>
      <c r="H938" s="40"/>
      <c r="I938" s="40"/>
    </row>
    <row r="939">
      <c r="B939" s="40"/>
      <c r="H939" s="40"/>
      <c r="I939" s="40"/>
    </row>
    <row r="940">
      <c r="B940" s="40"/>
      <c r="H940" s="40"/>
      <c r="I940" s="40"/>
    </row>
    <row r="941">
      <c r="B941" s="40"/>
      <c r="H941" s="40"/>
      <c r="I941" s="40"/>
    </row>
    <row r="942">
      <c r="B942" s="40"/>
      <c r="H942" s="40"/>
      <c r="I942" s="40"/>
    </row>
    <row r="943">
      <c r="B943" s="40"/>
      <c r="H943" s="40"/>
      <c r="I943" s="40"/>
    </row>
    <row r="944">
      <c r="B944" s="40"/>
      <c r="H944" s="40"/>
      <c r="I944" s="40"/>
    </row>
    <row r="945">
      <c r="B945" s="40"/>
      <c r="H945" s="40"/>
      <c r="I945" s="40"/>
    </row>
    <row r="946">
      <c r="B946" s="40"/>
      <c r="H946" s="40"/>
      <c r="I946" s="40"/>
    </row>
    <row r="947">
      <c r="B947" s="40"/>
      <c r="H947" s="40"/>
      <c r="I947" s="40"/>
    </row>
    <row r="948">
      <c r="B948" s="40"/>
      <c r="H948" s="40"/>
      <c r="I948" s="40"/>
    </row>
    <row r="949">
      <c r="B949" s="40"/>
      <c r="H949" s="40"/>
      <c r="I949" s="40"/>
    </row>
    <row r="950">
      <c r="B950" s="40"/>
      <c r="H950" s="40"/>
      <c r="I950" s="40"/>
    </row>
    <row r="951">
      <c r="B951" s="40"/>
      <c r="H951" s="40"/>
      <c r="I951" s="40"/>
    </row>
    <row r="952">
      <c r="B952" s="40"/>
      <c r="H952" s="40"/>
      <c r="I952" s="40"/>
    </row>
    <row r="953">
      <c r="B953" s="40"/>
      <c r="H953" s="40"/>
      <c r="I953" s="40"/>
    </row>
    <row r="954">
      <c r="B954" s="40"/>
      <c r="H954" s="40"/>
      <c r="I954" s="40"/>
    </row>
    <row r="955">
      <c r="B955" s="40"/>
      <c r="H955" s="40"/>
      <c r="I955" s="40"/>
    </row>
    <row r="956">
      <c r="B956" s="40"/>
      <c r="H956" s="40"/>
      <c r="I956" s="40"/>
    </row>
    <row r="957">
      <c r="B957" s="40"/>
      <c r="H957" s="40"/>
      <c r="I957" s="40"/>
    </row>
    <row r="958">
      <c r="B958" s="40"/>
      <c r="H958" s="40"/>
      <c r="I958" s="40"/>
    </row>
    <row r="959">
      <c r="B959" s="40"/>
      <c r="H959" s="40"/>
      <c r="I959" s="40"/>
    </row>
    <row r="960">
      <c r="B960" s="40"/>
      <c r="H960" s="40"/>
      <c r="I960" s="40"/>
    </row>
    <row r="961">
      <c r="B961" s="40"/>
      <c r="H961" s="40"/>
      <c r="I961" s="40"/>
    </row>
    <row r="962">
      <c r="B962" s="40"/>
      <c r="H962" s="40"/>
      <c r="I962" s="40"/>
    </row>
    <row r="963">
      <c r="B963" s="40"/>
      <c r="H963" s="40"/>
      <c r="I963" s="40"/>
    </row>
    <row r="964">
      <c r="B964" s="40"/>
      <c r="H964" s="40"/>
      <c r="I964" s="40"/>
    </row>
    <row r="965">
      <c r="B965" s="40"/>
      <c r="H965" s="40"/>
      <c r="I965" s="40"/>
    </row>
    <row r="966">
      <c r="B966" s="40"/>
      <c r="H966" s="40"/>
      <c r="I966" s="40"/>
    </row>
    <row r="967">
      <c r="B967" s="40"/>
      <c r="H967" s="40"/>
      <c r="I967" s="40"/>
    </row>
    <row r="968">
      <c r="B968" s="40"/>
      <c r="H968" s="40"/>
      <c r="I968" s="40"/>
    </row>
    <row r="969">
      <c r="B969" s="40"/>
      <c r="H969" s="40"/>
      <c r="I969" s="40"/>
    </row>
    <row r="970">
      <c r="B970" s="40"/>
      <c r="H970" s="40"/>
      <c r="I970" s="40"/>
    </row>
    <row r="971">
      <c r="B971" s="40"/>
      <c r="H971" s="40"/>
      <c r="I971" s="40"/>
    </row>
    <row r="972">
      <c r="B972" s="40"/>
      <c r="H972" s="40"/>
      <c r="I972" s="40"/>
    </row>
    <row r="973">
      <c r="B973" s="40"/>
      <c r="H973" s="40"/>
      <c r="I973" s="40"/>
    </row>
    <row r="974">
      <c r="B974" s="40"/>
      <c r="H974" s="40"/>
      <c r="I974" s="40"/>
    </row>
    <row r="975">
      <c r="B975" s="40"/>
      <c r="H975" s="40"/>
      <c r="I975" s="40"/>
    </row>
    <row r="976">
      <c r="B976" s="40"/>
      <c r="H976" s="40"/>
      <c r="I976" s="40"/>
    </row>
    <row r="977">
      <c r="B977" s="40"/>
      <c r="H977" s="40"/>
      <c r="I977" s="40"/>
    </row>
    <row r="978">
      <c r="B978" s="40"/>
      <c r="H978" s="40"/>
      <c r="I978" s="40"/>
    </row>
    <row r="979">
      <c r="B979" s="40"/>
      <c r="H979" s="40"/>
      <c r="I979" s="40"/>
    </row>
    <row r="980">
      <c r="B980" s="40"/>
      <c r="H980" s="40"/>
      <c r="I980" s="40"/>
    </row>
    <row r="981">
      <c r="B981" s="40"/>
      <c r="H981" s="40"/>
      <c r="I981" s="40"/>
    </row>
    <row r="982">
      <c r="B982" s="40"/>
      <c r="H982" s="40"/>
      <c r="I982" s="40"/>
    </row>
    <row r="983">
      <c r="B983" s="40"/>
      <c r="H983" s="40"/>
      <c r="I983" s="40"/>
    </row>
    <row r="984">
      <c r="B984" s="40"/>
      <c r="H984" s="40"/>
      <c r="I984" s="40"/>
    </row>
    <row r="985">
      <c r="B985" s="40"/>
      <c r="H985" s="40"/>
      <c r="I985" s="40"/>
    </row>
    <row r="986">
      <c r="B986" s="40"/>
      <c r="H986" s="40"/>
      <c r="I986" s="40"/>
    </row>
    <row r="987">
      <c r="B987" s="40"/>
      <c r="H987" s="40"/>
      <c r="I987" s="40"/>
    </row>
    <row r="988">
      <c r="B988" s="40"/>
      <c r="H988" s="40"/>
      <c r="I988" s="40"/>
    </row>
    <row r="989">
      <c r="B989" s="40"/>
      <c r="H989" s="40"/>
      <c r="I989" s="40"/>
    </row>
    <row r="990">
      <c r="B990" s="40"/>
      <c r="H990" s="40"/>
      <c r="I990" s="40"/>
    </row>
    <row r="991">
      <c r="B991" s="40"/>
      <c r="H991" s="40"/>
      <c r="I991" s="40"/>
    </row>
    <row r="992">
      <c r="B992" s="40"/>
      <c r="H992" s="40"/>
      <c r="I992" s="40"/>
    </row>
    <row r="993">
      <c r="B993" s="40"/>
      <c r="H993" s="40"/>
      <c r="I993" s="40"/>
    </row>
    <row r="994">
      <c r="B994" s="40"/>
      <c r="H994" s="40"/>
      <c r="I994" s="40"/>
    </row>
    <row r="995">
      <c r="B995" s="40"/>
      <c r="H995" s="40"/>
      <c r="I995" s="40"/>
    </row>
    <row r="996">
      <c r="B996" s="40"/>
      <c r="H996" s="40"/>
      <c r="I996" s="40"/>
    </row>
    <row r="997">
      <c r="B997" s="40"/>
      <c r="H997" s="40"/>
      <c r="I997" s="40"/>
    </row>
    <row r="998">
      <c r="B998" s="40"/>
      <c r="H998" s="40"/>
      <c r="I998" s="40"/>
    </row>
    <row r="999">
      <c r="B999" s="40"/>
      <c r="H999" s="40"/>
      <c r="I999" s="40"/>
    </row>
    <row r="1000">
      <c r="B1000" s="40"/>
      <c r="H1000" s="40"/>
      <c r="I1000" s="40"/>
    </row>
  </sheetData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P20" s="46" t="s">
        <v>847</v>
      </c>
      <c r="Q20" s="42"/>
      <c r="R20" s="42"/>
      <c r="S20" s="42"/>
      <c r="T20" s="42"/>
      <c r="U20" s="42"/>
      <c r="V20" s="43"/>
    </row>
    <row r="21">
      <c r="P21" s="44"/>
      <c r="V21" s="45"/>
    </row>
    <row r="22">
      <c r="P22" s="47" t="s">
        <v>885</v>
      </c>
      <c r="V22" s="45"/>
    </row>
    <row r="23">
      <c r="P23" s="47" t="s">
        <v>886</v>
      </c>
      <c r="V23" s="45"/>
    </row>
    <row r="24">
      <c r="P24" s="51"/>
      <c r="Q24" s="49"/>
      <c r="R24" s="49"/>
      <c r="S24" s="49"/>
      <c r="T24" s="49"/>
      <c r="U24" s="49"/>
      <c r="V24" s="50"/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</sheetData>
  <autoFilter ref="$B$1:$B$1853"/>
  <drawing r:id="rId6"/>
  <legacy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6">
      <c r="A96" s="41"/>
      <c r="B96" s="42"/>
      <c r="C96" s="42"/>
      <c r="D96" s="42"/>
      <c r="E96" s="42"/>
      <c r="F96" s="42"/>
      <c r="G96" s="42"/>
      <c r="H96" s="42"/>
      <c r="I96" s="42"/>
      <c r="J96" s="43"/>
      <c r="L96" s="41"/>
      <c r="M96" s="42"/>
      <c r="N96" s="42"/>
      <c r="O96" s="42"/>
      <c r="P96" s="42"/>
      <c r="Q96" s="42"/>
      <c r="R96" s="42"/>
      <c r="S96" s="42"/>
      <c r="T96" s="42"/>
      <c r="U96" s="43"/>
    </row>
    <row r="97">
      <c r="J97" s="45"/>
      <c r="U97" s="45"/>
    </row>
    <row r="98">
      <c r="J98" s="45"/>
      <c r="U98" s="45"/>
    </row>
    <row r="99">
      <c r="J99" s="45"/>
      <c r="U99" s="45"/>
    </row>
    <row r="100">
      <c r="J100" s="45"/>
      <c r="U100" s="45"/>
    </row>
    <row r="101">
      <c r="J101" s="45"/>
      <c r="U101" s="45"/>
    </row>
    <row r="102">
      <c r="J102" s="45"/>
      <c r="U102" s="45"/>
    </row>
    <row r="103">
      <c r="J103" s="45"/>
      <c r="U103" s="45"/>
    </row>
    <row r="104">
      <c r="J104" s="45"/>
      <c r="U104" s="45"/>
    </row>
    <row r="105">
      <c r="J105" s="45"/>
      <c r="U105" s="45"/>
    </row>
    <row r="106">
      <c r="J106" s="45"/>
      <c r="U106" s="45"/>
    </row>
    <row r="107">
      <c r="J107" s="45"/>
      <c r="L107" s="44"/>
      <c r="U107" s="45"/>
    </row>
    <row r="108">
      <c r="J108" s="45"/>
      <c r="L108" s="44"/>
      <c r="U108" s="45"/>
    </row>
    <row r="109">
      <c r="J109" s="45"/>
      <c r="L109" s="44"/>
      <c r="U109" s="45"/>
    </row>
    <row r="110">
      <c r="J110" s="45"/>
      <c r="L110" s="44"/>
      <c r="U110" s="45"/>
    </row>
    <row r="111">
      <c r="A111" s="44"/>
      <c r="J111" s="45"/>
      <c r="L111" s="44"/>
      <c r="U111" s="45"/>
    </row>
    <row r="112">
      <c r="A112" s="44"/>
      <c r="J112" s="45"/>
      <c r="L112" s="44"/>
      <c r="U112" s="45"/>
    </row>
    <row r="113">
      <c r="A113" s="44"/>
      <c r="J113" s="45"/>
      <c r="L113" s="44"/>
      <c r="U113" s="45"/>
    </row>
    <row r="114">
      <c r="A114" s="44"/>
      <c r="J114" s="45"/>
      <c r="L114" s="44"/>
      <c r="U114" s="45"/>
    </row>
    <row r="115">
      <c r="A115" s="44"/>
      <c r="J115" s="45"/>
      <c r="L115" s="44"/>
      <c r="U115" s="45"/>
    </row>
    <row r="116">
      <c r="A116" s="44"/>
      <c r="E116" s="46" t="s">
        <v>847</v>
      </c>
      <c r="F116" s="42"/>
      <c r="G116" s="42"/>
      <c r="H116" s="42"/>
      <c r="I116" s="43"/>
      <c r="J116" s="45"/>
      <c r="L116" s="44"/>
      <c r="P116" s="46" t="s">
        <v>847</v>
      </c>
      <c r="Q116" s="42"/>
      <c r="R116" s="42"/>
      <c r="S116" s="43"/>
      <c r="U116" s="45"/>
    </row>
    <row r="117">
      <c r="A117" s="44"/>
      <c r="E117" s="47" t="s">
        <v>848</v>
      </c>
      <c r="I117" s="45"/>
      <c r="J117" s="45"/>
      <c r="L117" s="44"/>
      <c r="P117" s="47" t="s">
        <v>849</v>
      </c>
      <c r="S117" s="45"/>
      <c r="U117" s="45"/>
    </row>
    <row r="118">
      <c r="A118" s="44"/>
      <c r="E118" s="47" t="s">
        <v>850</v>
      </c>
      <c r="I118" s="45"/>
      <c r="J118" s="45"/>
      <c r="L118" s="44"/>
      <c r="P118" s="47" t="s">
        <v>851</v>
      </c>
      <c r="S118" s="45"/>
      <c r="U118" s="45"/>
    </row>
    <row r="119">
      <c r="A119" s="44"/>
      <c r="E119" s="48"/>
      <c r="F119" s="49"/>
      <c r="G119" s="49"/>
      <c r="H119" s="49"/>
      <c r="I119" s="50"/>
      <c r="J119" s="45"/>
      <c r="L119" s="44"/>
      <c r="P119" s="47" t="s">
        <v>852</v>
      </c>
      <c r="S119" s="45"/>
      <c r="U119" s="45"/>
    </row>
    <row r="120">
      <c r="A120" s="44"/>
      <c r="J120" s="45"/>
      <c r="L120" s="44"/>
      <c r="P120" s="51" t="s">
        <v>852</v>
      </c>
      <c r="Q120" s="49"/>
      <c r="R120" s="49"/>
      <c r="S120" s="50"/>
      <c r="U120" s="45"/>
    </row>
    <row r="121">
      <c r="A121" s="48"/>
      <c r="B121" s="49"/>
      <c r="C121" s="49"/>
      <c r="D121" s="49"/>
      <c r="E121" s="49"/>
      <c r="F121" s="49"/>
      <c r="G121" s="49"/>
      <c r="H121" s="49"/>
      <c r="I121" s="49"/>
      <c r="J121" s="50"/>
      <c r="L121" s="48"/>
      <c r="M121" s="49"/>
      <c r="N121" s="49"/>
      <c r="O121" s="49"/>
      <c r="P121" s="49"/>
      <c r="Q121" s="49"/>
      <c r="R121" s="49"/>
      <c r="S121" s="49"/>
      <c r="T121" s="49"/>
      <c r="U121" s="50"/>
    </row>
    <row r="123">
      <c r="A123" s="41"/>
      <c r="B123" s="42"/>
      <c r="C123" s="42"/>
      <c r="D123" s="42"/>
      <c r="E123" s="42"/>
      <c r="F123" s="42"/>
      <c r="G123" s="42"/>
      <c r="H123" s="43"/>
      <c r="J123" s="41"/>
      <c r="K123" s="42"/>
      <c r="L123" s="42"/>
      <c r="M123" s="42"/>
      <c r="N123" s="42"/>
      <c r="O123" s="42"/>
      <c r="P123" s="42"/>
      <c r="Q123" s="43"/>
    </row>
    <row r="124">
      <c r="H124" s="45"/>
      <c r="J124" s="44"/>
      <c r="Q124" s="45"/>
    </row>
    <row r="125">
      <c r="H125" s="45"/>
      <c r="J125" s="44"/>
      <c r="Q125" s="45"/>
    </row>
    <row r="126">
      <c r="H126" s="45"/>
      <c r="J126" s="44"/>
      <c r="Q126" s="45"/>
    </row>
    <row r="127">
      <c r="H127" s="45"/>
      <c r="J127" s="44"/>
      <c r="Q127" s="45"/>
    </row>
    <row r="128">
      <c r="H128" s="45"/>
      <c r="J128" s="44"/>
      <c r="Q128" s="45"/>
    </row>
    <row r="129">
      <c r="H129" s="45"/>
      <c r="J129" s="44"/>
      <c r="Q129" s="45"/>
    </row>
    <row r="130">
      <c r="H130" s="45"/>
      <c r="J130" s="44"/>
      <c r="Q130" s="45"/>
    </row>
    <row r="131">
      <c r="H131" s="45"/>
      <c r="J131" s="44"/>
      <c r="Q131" s="45"/>
    </row>
    <row r="132">
      <c r="H132" s="45"/>
      <c r="J132" s="44"/>
      <c r="Q132" s="45"/>
    </row>
    <row r="133">
      <c r="H133" s="45"/>
      <c r="J133" s="44"/>
      <c r="Q133" s="45"/>
    </row>
    <row r="134">
      <c r="H134" s="45"/>
      <c r="J134" s="44"/>
      <c r="Q134" s="45"/>
    </row>
    <row r="135">
      <c r="H135" s="45"/>
      <c r="J135" s="44"/>
      <c r="Q135" s="45"/>
    </row>
    <row r="136">
      <c r="H136" s="45"/>
      <c r="J136" s="44"/>
      <c r="Q136" s="45"/>
    </row>
    <row r="137">
      <c r="H137" s="45"/>
      <c r="J137" s="44"/>
      <c r="Q137" s="45"/>
    </row>
    <row r="138">
      <c r="A138" s="44"/>
      <c r="H138" s="45"/>
      <c r="J138" s="44"/>
      <c r="Q138" s="45"/>
    </row>
    <row r="139">
      <c r="A139" s="44"/>
      <c r="H139" s="45"/>
      <c r="J139" s="44"/>
      <c r="Q139" s="45"/>
    </row>
    <row r="140">
      <c r="A140" s="44"/>
      <c r="H140" s="45"/>
      <c r="J140" s="44"/>
      <c r="Q140" s="45"/>
    </row>
    <row r="141">
      <c r="A141" s="44"/>
      <c r="H141" s="45"/>
      <c r="J141" s="44"/>
      <c r="Q141" s="45"/>
    </row>
    <row r="142">
      <c r="A142" s="44"/>
      <c r="H142" s="45"/>
      <c r="J142" s="44"/>
      <c r="Q142" s="45"/>
    </row>
    <row r="143">
      <c r="A143" s="44"/>
      <c r="H143" s="45"/>
      <c r="J143" s="44"/>
      <c r="Q143" s="45"/>
    </row>
    <row r="144">
      <c r="A144" s="44"/>
      <c r="H144" s="45"/>
      <c r="J144" s="44"/>
      <c r="Q144" s="45"/>
    </row>
    <row r="145">
      <c r="A145" s="44"/>
      <c r="H145" s="45"/>
      <c r="J145" s="44"/>
      <c r="Q145" s="45"/>
    </row>
    <row r="146">
      <c r="A146" s="44"/>
      <c r="H146" s="45"/>
      <c r="J146" s="44"/>
      <c r="Q146" s="45"/>
    </row>
    <row r="147">
      <c r="A147" s="44"/>
      <c r="H147" s="45"/>
      <c r="J147" s="44"/>
      <c r="Q147" s="45"/>
    </row>
    <row r="148">
      <c r="A148" s="44"/>
      <c r="H148" s="45"/>
      <c r="J148" s="44"/>
      <c r="Q148" s="45"/>
    </row>
    <row r="149">
      <c r="A149" s="44"/>
      <c r="H149" s="45"/>
      <c r="J149" s="44"/>
      <c r="Q149" s="45"/>
    </row>
    <row r="150">
      <c r="A150" s="44"/>
      <c r="H150" s="45"/>
      <c r="J150" s="44"/>
      <c r="Q150" s="45"/>
    </row>
    <row r="151">
      <c r="A151" s="44"/>
      <c r="H151" s="45"/>
      <c r="J151" s="44"/>
      <c r="Q151" s="45"/>
    </row>
    <row r="152">
      <c r="A152" s="44"/>
      <c r="H152" s="45"/>
      <c r="J152" s="44"/>
      <c r="Q152" s="45"/>
    </row>
    <row r="153">
      <c r="A153" s="44"/>
      <c r="H153" s="45"/>
      <c r="J153" s="44"/>
      <c r="Q153" s="45"/>
    </row>
    <row r="154">
      <c r="A154" s="44"/>
      <c r="H154" s="45"/>
      <c r="J154" s="44"/>
      <c r="Q154" s="45"/>
    </row>
    <row r="155">
      <c r="A155" s="44"/>
      <c r="H155" s="45"/>
      <c r="J155" s="44"/>
      <c r="Q155" s="45"/>
    </row>
    <row r="156">
      <c r="A156" s="44"/>
      <c r="H156" s="45"/>
      <c r="J156" s="44"/>
      <c r="Q156" s="45"/>
    </row>
    <row r="157">
      <c r="A157" s="44"/>
      <c r="H157" s="45"/>
      <c r="J157" s="44"/>
      <c r="Q157" s="45"/>
    </row>
    <row r="158">
      <c r="A158" s="44"/>
      <c r="H158" s="45"/>
      <c r="J158" s="44"/>
      <c r="Q158" s="45"/>
    </row>
    <row r="159">
      <c r="H159" s="45"/>
      <c r="J159" s="44"/>
      <c r="K159" s="7"/>
      <c r="Q159" s="45"/>
    </row>
    <row r="160">
      <c r="A160" s="52" t="s">
        <v>853</v>
      </c>
      <c r="B160" s="53"/>
      <c r="C160" s="53"/>
      <c r="D160" s="53"/>
      <c r="E160" s="53"/>
      <c r="F160" s="53"/>
      <c r="G160" s="53"/>
      <c r="H160" s="54"/>
      <c r="J160" s="55"/>
      <c r="K160" s="56" t="s">
        <v>854</v>
      </c>
      <c r="L160" s="53"/>
      <c r="M160" s="53"/>
      <c r="N160" s="53"/>
      <c r="O160" s="53"/>
      <c r="P160" s="53"/>
      <c r="Q160" s="54"/>
    </row>
    <row r="161">
      <c r="H161" s="45"/>
      <c r="J161" s="44"/>
      <c r="K161" s="7"/>
      <c r="Q161" s="45"/>
    </row>
    <row r="162">
      <c r="H162" s="45"/>
      <c r="J162" s="44"/>
      <c r="Q162" s="45"/>
    </row>
    <row r="163">
      <c r="A163" s="44"/>
      <c r="H163" s="45"/>
      <c r="J163" s="44"/>
      <c r="Q163" s="45"/>
    </row>
    <row r="164">
      <c r="A164" s="44"/>
      <c r="H164" s="45"/>
      <c r="J164" s="44"/>
      <c r="Q164" s="45"/>
    </row>
    <row r="165">
      <c r="A165" s="48"/>
      <c r="B165" s="49"/>
      <c r="C165" s="49"/>
      <c r="D165" s="49"/>
      <c r="E165" s="49"/>
      <c r="F165" s="49"/>
      <c r="G165" s="49"/>
      <c r="H165" s="50"/>
      <c r="J165" s="48"/>
      <c r="K165" s="49"/>
      <c r="L165" s="49"/>
      <c r="M165" s="49"/>
      <c r="N165" s="49"/>
      <c r="O165" s="49"/>
      <c r="P165" s="49"/>
      <c r="Q165" s="50"/>
    </row>
  </sheetData>
  <drawing r:id="rId9"/>
  <legacy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38"/>
    <col customWidth="1" min="3" max="3" width="14.0"/>
  </cols>
  <sheetData>
    <row r="1"/>
    <row r="2"/>
    <row r="3"/>
    <row r="4"/>
    <row r="5"/>
    <row r="6"/>
    <row r="7"/>
    <row r="8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8" max="9" width="20.38"/>
    <col customWidth="1" min="10" max="10" width="14.88"/>
  </cols>
  <sheetData>
    <row r="2">
      <c r="I2" s="3" t="s">
        <v>1</v>
      </c>
      <c r="J2" s="8">
        <f>COUNTA(events!A2:A1000)</f>
        <v>1330</v>
      </c>
    </row>
    <row r="3">
      <c r="I3" s="3" t="s">
        <v>35</v>
      </c>
      <c r="J3" s="9">
        <f>SUM(events!W2:W1000)</f>
        <v>501434459</v>
      </c>
    </row>
    <row r="4">
      <c r="I4" s="3" t="s">
        <v>56</v>
      </c>
      <c r="J4" s="11">
        <f>IFERROR(__xludf.DUMMYFUNCTION("COUNTUNIQUE(events!J2:J1000)"),46.0)</f>
        <v>46</v>
      </c>
    </row>
    <row r="5">
      <c r="I5" s="3" t="s">
        <v>74</v>
      </c>
      <c r="J5" s="13">
        <f>SUM(events!U2:U1000)</f>
        <v>1702129408</v>
      </c>
    </row>
    <row r="8">
      <c r="C8" s="67" t="s">
        <v>867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63"/>
    <col customWidth="1" min="4" max="4" width="14.5"/>
    <col customWidth="1" min="7" max="7" width="22.5"/>
    <col customWidth="1" min="8" max="8" width="12.38"/>
  </cols>
  <sheetData>
    <row r="1">
      <c r="G1" s="68" t="s">
        <v>869</v>
      </c>
      <c r="H1" s="42"/>
      <c r="I1" s="42"/>
      <c r="J1" s="69"/>
      <c r="K1" s="43"/>
    </row>
    <row r="2">
      <c r="G2" s="70" t="s">
        <v>40</v>
      </c>
      <c r="H2" s="70" t="s">
        <v>35</v>
      </c>
      <c r="I2" s="71" t="s">
        <v>870</v>
      </c>
      <c r="J2" s="72" t="s">
        <v>871</v>
      </c>
      <c r="K2" s="71" t="s">
        <v>872</v>
      </c>
    </row>
    <row r="3">
      <c r="G3" s="8" t="s">
        <v>42</v>
      </c>
      <c r="H3" s="33">
        <v>1.083331809E7</v>
      </c>
      <c r="I3" s="73">
        <f t="shared" ref="I3:I14" si="1">H3 / SUM($H$3:$H$13)</f>
        <v>0.2784886422</v>
      </c>
      <c r="J3" s="73">
        <f t="shared" ref="J3:J14" si="2">SUM($I$3:I3)</f>
        <v>0.2784886422</v>
      </c>
      <c r="K3" s="8" t="str">
        <f t="shared" ref="K3:K14" si="3">IF(J3&lt;=0.8,"A",IF(J3&lt;=0.95,"B","C"))</f>
        <v>A</v>
      </c>
    </row>
    <row r="4">
      <c r="G4" s="8" t="s">
        <v>31</v>
      </c>
      <c r="H4" s="33">
        <v>6632543.75</v>
      </c>
      <c r="I4" s="73">
        <f t="shared" si="1"/>
        <v>0.1705006802</v>
      </c>
      <c r="J4" s="73">
        <f t="shared" si="2"/>
        <v>0.4489893224</v>
      </c>
      <c r="K4" s="8" t="str">
        <f t="shared" si="3"/>
        <v>A</v>
      </c>
    </row>
    <row r="5">
      <c r="G5" s="8" t="s">
        <v>18</v>
      </c>
      <c r="H5" s="33">
        <v>5500910.159999999</v>
      </c>
      <c r="I5" s="73">
        <f t="shared" si="1"/>
        <v>0.1414101376</v>
      </c>
      <c r="J5" s="73">
        <f t="shared" si="2"/>
        <v>0.59039946</v>
      </c>
      <c r="K5" s="8" t="str">
        <f t="shared" si="3"/>
        <v>A</v>
      </c>
    </row>
    <row r="6">
      <c r="G6" s="8" t="s">
        <v>37</v>
      </c>
      <c r="H6" s="33">
        <v>4088851.5600000005</v>
      </c>
      <c r="I6" s="73">
        <f t="shared" si="1"/>
        <v>0.1051107989</v>
      </c>
      <c r="J6" s="73">
        <f t="shared" si="2"/>
        <v>0.6955102589</v>
      </c>
      <c r="K6" s="8" t="str">
        <f t="shared" si="3"/>
        <v>A</v>
      </c>
    </row>
    <row r="7">
      <c r="G7" s="8" t="s">
        <v>22</v>
      </c>
      <c r="H7" s="33">
        <v>2953663.3099999996</v>
      </c>
      <c r="I7" s="73">
        <f t="shared" si="1"/>
        <v>0.07592887774</v>
      </c>
      <c r="J7" s="73">
        <f t="shared" si="2"/>
        <v>0.7714391366</v>
      </c>
      <c r="K7" s="8" t="str">
        <f t="shared" si="3"/>
        <v>A</v>
      </c>
    </row>
    <row r="8">
      <c r="G8" s="8" t="s">
        <v>13</v>
      </c>
      <c r="H8" s="33">
        <v>2500898.399999999</v>
      </c>
      <c r="I8" s="73">
        <f t="shared" si="1"/>
        <v>0.06428979505</v>
      </c>
      <c r="J8" s="73">
        <f t="shared" si="2"/>
        <v>0.8357289317</v>
      </c>
      <c r="K8" s="8" t="str">
        <f t="shared" si="3"/>
        <v>B</v>
      </c>
    </row>
    <row r="9">
      <c r="G9" s="8" t="s">
        <v>36</v>
      </c>
      <c r="H9" s="33">
        <v>2204971.72</v>
      </c>
      <c r="I9" s="73">
        <f t="shared" si="1"/>
        <v>0.05668250256</v>
      </c>
      <c r="J9" s="73">
        <f t="shared" si="2"/>
        <v>0.8924114342</v>
      </c>
      <c r="K9" s="8" t="str">
        <f t="shared" si="3"/>
        <v>B</v>
      </c>
    </row>
    <row r="10">
      <c r="G10" s="8" t="s">
        <v>39</v>
      </c>
      <c r="H10" s="33">
        <v>1777615.2</v>
      </c>
      <c r="I10" s="73">
        <f t="shared" si="1"/>
        <v>0.04569658523</v>
      </c>
      <c r="J10" s="73">
        <f t="shared" si="2"/>
        <v>0.9381080194</v>
      </c>
      <c r="K10" s="8" t="str">
        <f t="shared" si="3"/>
        <v>B</v>
      </c>
    </row>
    <row r="11">
      <c r="G11" s="8" t="s">
        <v>46</v>
      </c>
      <c r="H11" s="33">
        <v>1267739.6400000004</v>
      </c>
      <c r="I11" s="73">
        <f t="shared" si="1"/>
        <v>0.03258937733</v>
      </c>
      <c r="J11" s="73">
        <f t="shared" si="2"/>
        <v>0.9706973968</v>
      </c>
      <c r="K11" s="8" t="str">
        <f t="shared" si="3"/>
        <v>C</v>
      </c>
    </row>
    <row r="12">
      <c r="G12" s="8" t="s">
        <v>50</v>
      </c>
      <c r="H12" s="33">
        <v>648828.4600000001</v>
      </c>
      <c r="I12" s="73">
        <f t="shared" si="1"/>
        <v>0.01667922564</v>
      </c>
      <c r="J12" s="73">
        <f t="shared" si="2"/>
        <v>0.9873766224</v>
      </c>
      <c r="K12" s="8" t="str">
        <f t="shared" si="3"/>
        <v>C</v>
      </c>
    </row>
    <row r="13">
      <c r="G13" s="8" t="s">
        <v>27</v>
      </c>
      <c r="H13" s="33">
        <v>491054.3699999999</v>
      </c>
      <c r="I13" s="73">
        <f t="shared" si="1"/>
        <v>0.01262337759</v>
      </c>
      <c r="J13" s="73">
        <f t="shared" si="2"/>
        <v>1</v>
      </c>
      <c r="K13" s="8" t="str">
        <f t="shared" si="3"/>
        <v>C</v>
      </c>
    </row>
    <row r="14">
      <c r="G14" s="8" t="s">
        <v>33</v>
      </c>
      <c r="H14" s="33">
        <v>99296.82000000002</v>
      </c>
      <c r="I14" s="73">
        <f t="shared" si="1"/>
        <v>0.002552591583</v>
      </c>
      <c r="J14" s="73">
        <f t="shared" si="2"/>
        <v>1.002552592</v>
      </c>
      <c r="K14" s="8" t="str">
        <f t="shared" si="3"/>
        <v>C</v>
      </c>
    </row>
    <row r="15">
      <c r="J15" s="74"/>
    </row>
    <row r="16">
      <c r="J16" s="74"/>
    </row>
    <row r="17">
      <c r="J17" s="74"/>
    </row>
    <row r="18">
      <c r="J18" s="74"/>
    </row>
    <row r="19">
      <c r="J19" s="74"/>
    </row>
    <row r="20">
      <c r="J20" s="74"/>
    </row>
    <row r="21">
      <c r="J21" s="74"/>
    </row>
    <row r="22">
      <c r="J22" s="74"/>
    </row>
    <row r="23">
      <c r="J23" s="74"/>
    </row>
    <row r="24">
      <c r="J24" s="74"/>
    </row>
    <row r="25">
      <c r="J25" s="74"/>
    </row>
    <row r="26">
      <c r="J26" s="74"/>
    </row>
    <row r="27">
      <c r="J27" s="74"/>
    </row>
    <row r="28">
      <c r="J28" s="74"/>
    </row>
    <row r="29">
      <c r="J29" s="74"/>
    </row>
    <row r="30">
      <c r="J30" s="74"/>
    </row>
    <row r="31">
      <c r="J31" s="74"/>
    </row>
    <row r="32">
      <c r="J32" s="74"/>
    </row>
    <row r="33">
      <c r="J33" s="74"/>
    </row>
    <row r="34">
      <c r="J34" s="74"/>
    </row>
    <row r="35">
      <c r="J35" s="74"/>
    </row>
    <row r="36">
      <c r="J36" s="74"/>
    </row>
    <row r="37">
      <c r="J37" s="74"/>
    </row>
    <row r="38">
      <c r="J38" s="74"/>
    </row>
    <row r="39">
      <c r="J39" s="74"/>
    </row>
    <row r="40">
      <c r="J40" s="74"/>
    </row>
    <row r="41">
      <c r="J41" s="74"/>
    </row>
    <row r="42">
      <c r="J42" s="74"/>
    </row>
    <row r="43">
      <c r="J43" s="74"/>
    </row>
    <row r="44">
      <c r="J44" s="74"/>
    </row>
    <row r="45">
      <c r="J45" s="74"/>
    </row>
    <row r="46">
      <c r="J46" s="74"/>
    </row>
    <row r="47">
      <c r="J47" s="74"/>
    </row>
    <row r="48">
      <c r="J48" s="74"/>
    </row>
    <row r="49">
      <c r="J49" s="74"/>
    </row>
    <row r="50">
      <c r="J50" s="74"/>
    </row>
    <row r="51">
      <c r="J51" s="74"/>
    </row>
    <row r="52">
      <c r="J52" s="74"/>
    </row>
    <row r="53">
      <c r="J53" s="74"/>
    </row>
    <row r="54">
      <c r="J54" s="74"/>
    </row>
    <row r="55">
      <c r="J55" s="74"/>
    </row>
    <row r="56">
      <c r="J56" s="74"/>
    </row>
    <row r="57">
      <c r="J57" s="74"/>
    </row>
    <row r="58">
      <c r="J58" s="74"/>
    </row>
    <row r="59">
      <c r="J59" s="74"/>
    </row>
    <row r="60">
      <c r="J60" s="74"/>
    </row>
    <row r="61">
      <c r="J61" s="74"/>
    </row>
    <row r="62">
      <c r="J62" s="74"/>
    </row>
    <row r="63">
      <c r="J63" s="74"/>
    </row>
    <row r="64">
      <c r="J64" s="74"/>
    </row>
    <row r="65">
      <c r="J65" s="74"/>
    </row>
    <row r="66">
      <c r="J66" s="74"/>
    </row>
    <row r="67">
      <c r="J67" s="74"/>
    </row>
    <row r="68">
      <c r="J68" s="74"/>
    </row>
    <row r="69">
      <c r="J69" s="74"/>
    </row>
    <row r="70">
      <c r="J70" s="74"/>
    </row>
    <row r="71">
      <c r="J71" s="74"/>
    </row>
    <row r="72">
      <c r="J72" s="74"/>
    </row>
    <row r="73">
      <c r="J73" s="74"/>
    </row>
    <row r="74">
      <c r="J74" s="74"/>
    </row>
    <row r="75">
      <c r="J75" s="74"/>
    </row>
    <row r="76">
      <c r="J76" s="74"/>
    </row>
    <row r="77">
      <c r="J77" s="74"/>
    </row>
    <row r="78">
      <c r="J78" s="74"/>
    </row>
    <row r="79">
      <c r="J79" s="74"/>
    </row>
    <row r="80">
      <c r="J80" s="74"/>
    </row>
    <row r="81">
      <c r="J81" s="74"/>
    </row>
    <row r="82">
      <c r="J82" s="74"/>
    </row>
    <row r="83">
      <c r="J83" s="74"/>
    </row>
    <row r="84">
      <c r="J84" s="74"/>
    </row>
    <row r="85">
      <c r="J85" s="74"/>
    </row>
    <row r="86">
      <c r="J86" s="74"/>
    </row>
    <row r="87">
      <c r="J87" s="74"/>
    </row>
    <row r="88">
      <c r="J88" s="74"/>
    </row>
    <row r="89">
      <c r="J89" s="74"/>
    </row>
    <row r="90">
      <c r="J90" s="74"/>
    </row>
    <row r="91">
      <c r="J91" s="74"/>
    </row>
    <row r="92">
      <c r="J92" s="74"/>
    </row>
    <row r="93">
      <c r="J93" s="74"/>
    </row>
    <row r="94">
      <c r="J94" s="74"/>
    </row>
    <row r="95">
      <c r="J95" s="74"/>
    </row>
    <row r="96">
      <c r="J96" s="74"/>
    </row>
    <row r="97">
      <c r="J97" s="74"/>
    </row>
    <row r="98">
      <c r="J98" s="74"/>
    </row>
    <row r="99">
      <c r="J99" s="74"/>
    </row>
    <row r="100">
      <c r="J100" s="74"/>
    </row>
    <row r="101">
      <c r="J101" s="74"/>
    </row>
    <row r="102">
      <c r="J102" s="74"/>
    </row>
    <row r="103">
      <c r="J103" s="74"/>
    </row>
    <row r="104">
      <c r="J104" s="74"/>
    </row>
    <row r="105">
      <c r="J105" s="74"/>
    </row>
    <row r="106">
      <c r="J106" s="74"/>
    </row>
    <row r="107">
      <c r="J107" s="74"/>
    </row>
    <row r="108">
      <c r="J108" s="74"/>
    </row>
    <row r="109">
      <c r="J109" s="74"/>
    </row>
    <row r="110">
      <c r="J110" s="74"/>
    </row>
    <row r="111">
      <c r="J111" s="74"/>
    </row>
    <row r="112">
      <c r="J112" s="74"/>
    </row>
    <row r="113">
      <c r="J113" s="74"/>
    </row>
    <row r="114">
      <c r="J114" s="74"/>
    </row>
    <row r="115">
      <c r="J115" s="74"/>
    </row>
    <row r="116">
      <c r="J116" s="74"/>
    </row>
    <row r="117">
      <c r="J117" s="74"/>
    </row>
    <row r="118">
      <c r="J118" s="74"/>
    </row>
    <row r="119">
      <c r="J119" s="74"/>
    </row>
    <row r="120">
      <c r="J120" s="74"/>
    </row>
    <row r="121">
      <c r="J121" s="74"/>
    </row>
    <row r="122">
      <c r="J122" s="74"/>
    </row>
    <row r="123">
      <c r="J123" s="74"/>
    </row>
    <row r="124">
      <c r="J124" s="74"/>
    </row>
    <row r="125">
      <c r="J125" s="74"/>
    </row>
    <row r="126">
      <c r="J126" s="74"/>
    </row>
    <row r="127">
      <c r="J127" s="74"/>
    </row>
    <row r="128">
      <c r="J128" s="74"/>
    </row>
    <row r="129">
      <c r="J129" s="74"/>
    </row>
    <row r="130">
      <c r="J130" s="74"/>
    </row>
    <row r="131">
      <c r="J131" s="74"/>
    </row>
    <row r="132">
      <c r="J132" s="74"/>
    </row>
    <row r="133">
      <c r="J133" s="74"/>
    </row>
    <row r="134">
      <c r="J134" s="74"/>
    </row>
    <row r="135">
      <c r="J135" s="74"/>
    </row>
    <row r="136">
      <c r="J136" s="74"/>
    </row>
    <row r="137">
      <c r="J137" s="74"/>
    </row>
    <row r="138">
      <c r="J138" s="74"/>
    </row>
    <row r="139">
      <c r="J139" s="74"/>
    </row>
    <row r="140">
      <c r="J140" s="74"/>
    </row>
    <row r="141">
      <c r="J141" s="74"/>
    </row>
    <row r="142">
      <c r="J142" s="74"/>
    </row>
    <row r="143">
      <c r="J143" s="74"/>
    </row>
    <row r="144">
      <c r="J144" s="74"/>
    </row>
    <row r="145">
      <c r="J145" s="74"/>
    </row>
    <row r="146">
      <c r="J146" s="74"/>
    </row>
    <row r="147">
      <c r="J147" s="74"/>
    </row>
    <row r="148">
      <c r="J148" s="74"/>
    </row>
    <row r="149">
      <c r="J149" s="74"/>
    </row>
    <row r="150">
      <c r="J150" s="74"/>
    </row>
    <row r="151">
      <c r="J151" s="74"/>
    </row>
    <row r="152">
      <c r="J152" s="74"/>
    </row>
    <row r="153">
      <c r="J153" s="74"/>
    </row>
    <row r="154">
      <c r="J154" s="74"/>
    </row>
    <row r="155">
      <c r="J155" s="74"/>
    </row>
    <row r="156">
      <c r="J156" s="74"/>
    </row>
    <row r="157">
      <c r="J157" s="74"/>
    </row>
    <row r="158">
      <c r="J158" s="74"/>
    </row>
    <row r="159">
      <c r="J159" s="74"/>
    </row>
    <row r="160">
      <c r="J160" s="74"/>
    </row>
    <row r="161">
      <c r="J161" s="74"/>
    </row>
    <row r="162">
      <c r="J162" s="74"/>
    </row>
    <row r="163">
      <c r="J163" s="74"/>
    </row>
    <row r="164">
      <c r="J164" s="74"/>
    </row>
    <row r="165">
      <c r="J165" s="74"/>
    </row>
    <row r="166">
      <c r="J166" s="74"/>
    </row>
    <row r="167">
      <c r="J167" s="74"/>
    </row>
    <row r="168">
      <c r="J168" s="74"/>
    </row>
    <row r="169">
      <c r="J169" s="74"/>
    </row>
    <row r="170">
      <c r="J170" s="74"/>
    </row>
    <row r="171">
      <c r="J171" s="74"/>
    </row>
    <row r="172">
      <c r="J172" s="74"/>
    </row>
    <row r="173">
      <c r="J173" s="74"/>
    </row>
    <row r="174">
      <c r="J174" s="74"/>
    </row>
    <row r="175">
      <c r="J175" s="74"/>
    </row>
    <row r="176">
      <c r="J176" s="74"/>
    </row>
    <row r="177">
      <c r="J177" s="74"/>
    </row>
    <row r="178">
      <c r="J178" s="74"/>
    </row>
    <row r="179">
      <c r="J179" s="74"/>
    </row>
    <row r="180">
      <c r="J180" s="74"/>
    </row>
    <row r="181">
      <c r="J181" s="74"/>
    </row>
    <row r="182">
      <c r="J182" s="74"/>
    </row>
    <row r="183">
      <c r="J183" s="74"/>
    </row>
    <row r="184">
      <c r="J184" s="74"/>
    </row>
    <row r="185">
      <c r="J185" s="74"/>
    </row>
    <row r="186">
      <c r="J186" s="74"/>
    </row>
    <row r="187">
      <c r="J187" s="74"/>
    </row>
    <row r="188">
      <c r="J188" s="74"/>
    </row>
    <row r="189">
      <c r="J189" s="74"/>
    </row>
    <row r="190">
      <c r="J190" s="74"/>
    </row>
    <row r="191">
      <c r="J191" s="74"/>
    </row>
    <row r="192">
      <c r="J192" s="74"/>
    </row>
    <row r="193">
      <c r="J193" s="74"/>
    </row>
    <row r="194">
      <c r="J194" s="74"/>
    </row>
    <row r="195">
      <c r="J195" s="74"/>
    </row>
    <row r="196">
      <c r="J196" s="74"/>
    </row>
    <row r="197">
      <c r="J197" s="74"/>
    </row>
    <row r="198">
      <c r="J198" s="74"/>
    </row>
    <row r="199">
      <c r="J199" s="74"/>
    </row>
    <row r="200">
      <c r="J200" s="74"/>
    </row>
    <row r="201">
      <c r="J201" s="74"/>
    </row>
    <row r="202">
      <c r="J202" s="74"/>
    </row>
    <row r="203">
      <c r="J203" s="74"/>
    </row>
    <row r="204">
      <c r="J204" s="74"/>
    </row>
    <row r="205">
      <c r="J205" s="74"/>
    </row>
    <row r="206">
      <c r="J206" s="74"/>
    </row>
    <row r="207">
      <c r="J207" s="74"/>
    </row>
    <row r="208">
      <c r="J208" s="74"/>
    </row>
    <row r="209">
      <c r="J209" s="74"/>
    </row>
    <row r="210">
      <c r="J210" s="74"/>
    </row>
    <row r="211">
      <c r="J211" s="74"/>
    </row>
    <row r="212">
      <c r="J212" s="74"/>
    </row>
    <row r="213">
      <c r="J213" s="74"/>
    </row>
    <row r="214">
      <c r="J214" s="74"/>
    </row>
    <row r="215">
      <c r="J215" s="74"/>
    </row>
    <row r="216">
      <c r="J216" s="74"/>
    </row>
    <row r="217">
      <c r="J217" s="74"/>
    </row>
    <row r="218">
      <c r="J218" s="74"/>
    </row>
    <row r="219">
      <c r="J219" s="74"/>
    </row>
    <row r="220">
      <c r="J220" s="74"/>
    </row>
    <row r="221">
      <c r="J221" s="74"/>
    </row>
    <row r="222">
      <c r="J222" s="74"/>
    </row>
    <row r="223">
      <c r="J223" s="74"/>
    </row>
    <row r="224">
      <c r="J224" s="74"/>
    </row>
    <row r="225">
      <c r="J225" s="74"/>
    </row>
    <row r="226">
      <c r="J226" s="74"/>
    </row>
    <row r="227">
      <c r="J227" s="74"/>
    </row>
    <row r="228">
      <c r="J228" s="74"/>
    </row>
    <row r="229">
      <c r="J229" s="74"/>
    </row>
    <row r="230">
      <c r="J230" s="74"/>
    </row>
    <row r="231">
      <c r="J231" s="74"/>
    </row>
    <row r="232">
      <c r="J232" s="74"/>
    </row>
    <row r="233">
      <c r="J233" s="74"/>
    </row>
    <row r="234">
      <c r="J234" s="74"/>
    </row>
    <row r="235">
      <c r="J235" s="74"/>
    </row>
    <row r="236">
      <c r="J236" s="74"/>
    </row>
    <row r="237">
      <c r="J237" s="74"/>
    </row>
    <row r="238">
      <c r="J238" s="74"/>
    </row>
    <row r="239">
      <c r="J239" s="74"/>
    </row>
    <row r="240">
      <c r="J240" s="74"/>
    </row>
    <row r="241">
      <c r="J241" s="74"/>
    </row>
    <row r="242">
      <c r="J242" s="74"/>
    </row>
    <row r="243">
      <c r="J243" s="74"/>
    </row>
    <row r="244">
      <c r="J244" s="74"/>
    </row>
    <row r="245">
      <c r="J245" s="74"/>
    </row>
    <row r="246">
      <c r="J246" s="74"/>
    </row>
    <row r="247">
      <c r="J247" s="74"/>
    </row>
    <row r="248">
      <c r="J248" s="74"/>
    </row>
    <row r="249">
      <c r="J249" s="74"/>
    </row>
    <row r="250">
      <c r="J250" s="74"/>
    </row>
    <row r="251">
      <c r="J251" s="74"/>
    </row>
    <row r="252">
      <c r="J252" s="74"/>
    </row>
    <row r="253">
      <c r="J253" s="74"/>
    </row>
    <row r="254">
      <c r="J254" s="74"/>
    </row>
    <row r="255">
      <c r="J255" s="74"/>
    </row>
    <row r="256">
      <c r="J256" s="74"/>
    </row>
    <row r="257">
      <c r="J257" s="74"/>
    </row>
    <row r="258">
      <c r="J258" s="74"/>
    </row>
    <row r="259">
      <c r="J259" s="74"/>
    </row>
    <row r="260">
      <c r="J260" s="74"/>
    </row>
    <row r="261">
      <c r="J261" s="74"/>
    </row>
    <row r="262">
      <c r="J262" s="74"/>
    </row>
    <row r="263">
      <c r="J263" s="74"/>
    </row>
    <row r="264">
      <c r="J264" s="74"/>
    </row>
    <row r="265">
      <c r="J265" s="74"/>
    </row>
    <row r="266">
      <c r="J266" s="74"/>
    </row>
    <row r="267">
      <c r="J267" s="74"/>
    </row>
    <row r="268">
      <c r="J268" s="74"/>
    </row>
    <row r="269">
      <c r="J269" s="74"/>
    </row>
    <row r="270">
      <c r="J270" s="74"/>
    </row>
    <row r="271">
      <c r="J271" s="74"/>
    </row>
    <row r="272">
      <c r="J272" s="74"/>
    </row>
    <row r="273">
      <c r="J273" s="74"/>
    </row>
    <row r="274">
      <c r="J274" s="74"/>
    </row>
    <row r="275">
      <c r="J275" s="74"/>
    </row>
    <row r="276">
      <c r="J276" s="74"/>
    </row>
    <row r="277">
      <c r="J277" s="74"/>
    </row>
    <row r="278">
      <c r="J278" s="74"/>
    </row>
    <row r="279">
      <c r="J279" s="74"/>
    </row>
    <row r="280">
      <c r="J280" s="74"/>
    </row>
    <row r="281">
      <c r="J281" s="74"/>
    </row>
    <row r="282">
      <c r="J282" s="74"/>
    </row>
    <row r="283">
      <c r="J283" s="74"/>
    </row>
    <row r="284">
      <c r="J284" s="74"/>
    </row>
    <row r="285">
      <c r="J285" s="74"/>
    </row>
    <row r="286">
      <c r="J286" s="74"/>
    </row>
    <row r="287">
      <c r="J287" s="74"/>
    </row>
    <row r="288">
      <c r="J288" s="74"/>
    </row>
    <row r="289">
      <c r="J289" s="74"/>
    </row>
    <row r="290">
      <c r="J290" s="74"/>
    </row>
    <row r="291">
      <c r="J291" s="74"/>
    </row>
    <row r="292">
      <c r="J292" s="74"/>
    </row>
    <row r="293">
      <c r="J293" s="74"/>
    </row>
    <row r="294">
      <c r="J294" s="74"/>
    </row>
    <row r="295">
      <c r="J295" s="74"/>
    </row>
    <row r="296">
      <c r="J296" s="74"/>
    </row>
    <row r="297">
      <c r="J297" s="74"/>
    </row>
    <row r="298">
      <c r="J298" s="74"/>
    </row>
    <row r="299">
      <c r="J299" s="74"/>
    </row>
    <row r="300">
      <c r="J300" s="74"/>
    </row>
    <row r="301">
      <c r="J301" s="74"/>
    </row>
    <row r="302">
      <c r="J302" s="74"/>
    </row>
    <row r="303">
      <c r="J303" s="74"/>
    </row>
    <row r="304">
      <c r="J304" s="74"/>
    </row>
    <row r="305">
      <c r="J305" s="74"/>
    </row>
    <row r="306">
      <c r="J306" s="74"/>
    </row>
    <row r="307">
      <c r="J307" s="74"/>
    </row>
    <row r="308">
      <c r="J308" s="74"/>
    </row>
    <row r="309">
      <c r="J309" s="74"/>
    </row>
    <row r="310">
      <c r="J310" s="74"/>
    </row>
    <row r="311">
      <c r="J311" s="74"/>
    </row>
    <row r="312">
      <c r="J312" s="74"/>
    </row>
    <row r="313">
      <c r="J313" s="74"/>
    </row>
    <row r="314">
      <c r="J314" s="74"/>
    </row>
    <row r="315">
      <c r="J315" s="74"/>
    </row>
    <row r="316">
      <c r="J316" s="74"/>
    </row>
    <row r="317">
      <c r="J317" s="74"/>
    </row>
    <row r="318">
      <c r="J318" s="74"/>
    </row>
    <row r="319">
      <c r="J319" s="74"/>
    </row>
    <row r="320">
      <c r="J320" s="74"/>
    </row>
    <row r="321">
      <c r="J321" s="74"/>
    </row>
    <row r="322">
      <c r="J322" s="74"/>
    </row>
    <row r="323">
      <c r="J323" s="74"/>
    </row>
    <row r="324">
      <c r="J324" s="74"/>
    </row>
    <row r="325">
      <c r="J325" s="74"/>
    </row>
    <row r="326">
      <c r="J326" s="74"/>
    </row>
    <row r="327">
      <c r="J327" s="74"/>
    </row>
    <row r="328">
      <c r="J328" s="74"/>
    </row>
    <row r="329">
      <c r="J329" s="74"/>
    </row>
    <row r="330">
      <c r="J330" s="74"/>
    </row>
    <row r="331">
      <c r="J331" s="74"/>
    </row>
    <row r="332">
      <c r="J332" s="74"/>
    </row>
    <row r="333">
      <c r="J333" s="74"/>
    </row>
    <row r="334">
      <c r="J334" s="74"/>
    </row>
    <row r="335">
      <c r="J335" s="74"/>
    </row>
    <row r="336">
      <c r="J336" s="74"/>
    </row>
    <row r="337">
      <c r="J337" s="74"/>
    </row>
    <row r="338">
      <c r="J338" s="74"/>
    </row>
    <row r="339">
      <c r="J339" s="74"/>
    </row>
    <row r="340">
      <c r="J340" s="74"/>
    </row>
    <row r="341">
      <c r="J341" s="74"/>
    </row>
    <row r="342">
      <c r="J342" s="74"/>
    </row>
    <row r="343">
      <c r="J343" s="74"/>
    </row>
    <row r="344">
      <c r="J344" s="74"/>
    </row>
    <row r="345">
      <c r="J345" s="74"/>
    </row>
    <row r="346">
      <c r="J346" s="74"/>
    </row>
    <row r="347">
      <c r="J347" s="74"/>
    </row>
    <row r="348">
      <c r="J348" s="74"/>
    </row>
    <row r="349">
      <c r="J349" s="74"/>
    </row>
    <row r="350">
      <c r="J350" s="74"/>
    </row>
    <row r="351">
      <c r="J351" s="74"/>
    </row>
    <row r="352">
      <c r="J352" s="74"/>
    </row>
    <row r="353">
      <c r="J353" s="74"/>
    </row>
    <row r="354">
      <c r="J354" s="74"/>
    </row>
    <row r="355">
      <c r="J355" s="74"/>
    </row>
    <row r="356">
      <c r="J356" s="74"/>
    </row>
    <row r="357">
      <c r="J357" s="74"/>
    </row>
    <row r="358">
      <c r="J358" s="74"/>
    </row>
    <row r="359">
      <c r="J359" s="74"/>
    </row>
    <row r="360">
      <c r="J360" s="74"/>
    </row>
    <row r="361">
      <c r="J361" s="74"/>
    </row>
    <row r="362">
      <c r="J362" s="74"/>
    </row>
    <row r="363">
      <c r="J363" s="74"/>
    </row>
    <row r="364">
      <c r="J364" s="74"/>
    </row>
    <row r="365">
      <c r="J365" s="74"/>
    </row>
    <row r="366">
      <c r="J366" s="74"/>
    </row>
    <row r="367">
      <c r="J367" s="74"/>
    </row>
    <row r="368">
      <c r="J368" s="74"/>
    </row>
    <row r="369">
      <c r="J369" s="74"/>
    </row>
    <row r="370">
      <c r="J370" s="74"/>
    </row>
    <row r="371">
      <c r="J371" s="74"/>
    </row>
    <row r="372">
      <c r="J372" s="74"/>
    </row>
    <row r="373">
      <c r="J373" s="74"/>
    </row>
    <row r="374">
      <c r="J374" s="74"/>
    </row>
    <row r="375">
      <c r="J375" s="74"/>
    </row>
    <row r="376">
      <c r="J376" s="74"/>
    </row>
    <row r="377">
      <c r="J377" s="74"/>
    </row>
    <row r="378">
      <c r="J378" s="74"/>
    </row>
    <row r="379">
      <c r="J379" s="74"/>
    </row>
    <row r="380">
      <c r="J380" s="74"/>
    </row>
    <row r="381">
      <c r="J381" s="74"/>
    </row>
    <row r="382">
      <c r="J382" s="74"/>
    </row>
    <row r="383">
      <c r="J383" s="74"/>
    </row>
    <row r="384">
      <c r="J384" s="74"/>
    </row>
    <row r="385">
      <c r="J385" s="74"/>
    </row>
    <row r="386">
      <c r="J386" s="74"/>
    </row>
    <row r="387">
      <c r="J387" s="74"/>
    </row>
    <row r="388">
      <c r="J388" s="74"/>
    </row>
    <row r="389">
      <c r="J389" s="74"/>
    </row>
    <row r="390">
      <c r="J390" s="74"/>
    </row>
    <row r="391">
      <c r="J391" s="74"/>
    </row>
    <row r="392">
      <c r="J392" s="74"/>
    </row>
    <row r="393">
      <c r="J393" s="74"/>
    </row>
    <row r="394">
      <c r="J394" s="74"/>
    </row>
    <row r="395">
      <c r="J395" s="74"/>
    </row>
    <row r="396">
      <c r="J396" s="74"/>
    </row>
    <row r="397">
      <c r="J397" s="74"/>
    </row>
    <row r="398">
      <c r="J398" s="74"/>
    </row>
    <row r="399">
      <c r="J399" s="74"/>
    </row>
    <row r="400">
      <c r="J400" s="74"/>
    </row>
    <row r="401">
      <c r="J401" s="74"/>
    </row>
    <row r="402">
      <c r="J402" s="74"/>
    </row>
    <row r="403">
      <c r="J403" s="74"/>
    </row>
    <row r="404">
      <c r="J404" s="74"/>
    </row>
    <row r="405">
      <c r="J405" s="74"/>
    </row>
    <row r="406">
      <c r="J406" s="74"/>
    </row>
    <row r="407">
      <c r="J407" s="74"/>
    </row>
    <row r="408">
      <c r="J408" s="74"/>
    </row>
    <row r="409">
      <c r="J409" s="74"/>
    </row>
    <row r="410">
      <c r="J410" s="74"/>
    </row>
    <row r="411">
      <c r="J411" s="74"/>
    </row>
    <row r="412">
      <c r="J412" s="74"/>
    </row>
    <row r="413">
      <c r="J413" s="74"/>
    </row>
    <row r="414">
      <c r="J414" s="74"/>
    </row>
    <row r="415">
      <c r="J415" s="74"/>
    </row>
    <row r="416">
      <c r="J416" s="74"/>
    </row>
    <row r="417">
      <c r="J417" s="74"/>
    </row>
    <row r="418">
      <c r="J418" s="74"/>
    </row>
    <row r="419">
      <c r="J419" s="74"/>
    </row>
    <row r="420">
      <c r="J420" s="74"/>
    </row>
    <row r="421">
      <c r="J421" s="74"/>
    </row>
    <row r="422">
      <c r="J422" s="74"/>
    </row>
    <row r="423">
      <c r="J423" s="74"/>
    </row>
    <row r="424">
      <c r="J424" s="74"/>
    </row>
    <row r="425">
      <c r="J425" s="74"/>
    </row>
    <row r="426">
      <c r="J426" s="74"/>
    </row>
    <row r="427">
      <c r="J427" s="74"/>
    </row>
    <row r="428">
      <c r="J428" s="74"/>
    </row>
    <row r="429">
      <c r="J429" s="74"/>
    </row>
    <row r="430">
      <c r="J430" s="74"/>
    </row>
    <row r="431">
      <c r="J431" s="74"/>
    </row>
    <row r="432">
      <c r="J432" s="74"/>
    </row>
    <row r="433">
      <c r="J433" s="74"/>
    </row>
    <row r="434">
      <c r="J434" s="74"/>
    </row>
    <row r="435">
      <c r="J435" s="74"/>
    </row>
    <row r="436">
      <c r="J436" s="74"/>
    </row>
    <row r="437">
      <c r="J437" s="74"/>
    </row>
    <row r="438">
      <c r="J438" s="74"/>
    </row>
    <row r="439">
      <c r="J439" s="74"/>
    </row>
    <row r="440">
      <c r="J440" s="74"/>
    </row>
    <row r="441">
      <c r="J441" s="74"/>
    </row>
    <row r="442">
      <c r="J442" s="74"/>
    </row>
    <row r="443">
      <c r="J443" s="74"/>
    </row>
    <row r="444">
      <c r="J444" s="74"/>
    </row>
    <row r="445">
      <c r="J445" s="74"/>
    </row>
    <row r="446">
      <c r="J446" s="74"/>
    </row>
    <row r="447">
      <c r="J447" s="74"/>
    </row>
    <row r="448">
      <c r="J448" s="74"/>
    </row>
    <row r="449">
      <c r="J449" s="74"/>
    </row>
    <row r="450">
      <c r="J450" s="74"/>
    </row>
    <row r="451">
      <c r="J451" s="74"/>
    </row>
    <row r="452">
      <c r="J452" s="74"/>
    </row>
    <row r="453">
      <c r="J453" s="74"/>
    </row>
    <row r="454">
      <c r="J454" s="74"/>
    </row>
    <row r="455">
      <c r="J455" s="74"/>
    </row>
    <row r="456">
      <c r="J456" s="74"/>
    </row>
    <row r="457">
      <c r="J457" s="74"/>
    </row>
    <row r="458">
      <c r="J458" s="74"/>
    </row>
    <row r="459">
      <c r="J459" s="74"/>
    </row>
    <row r="460">
      <c r="J460" s="74"/>
    </row>
    <row r="461">
      <c r="J461" s="74"/>
    </row>
    <row r="462">
      <c r="J462" s="74"/>
    </row>
    <row r="463">
      <c r="J463" s="74"/>
    </row>
    <row r="464">
      <c r="J464" s="74"/>
    </row>
    <row r="465">
      <c r="J465" s="74"/>
    </row>
    <row r="466">
      <c r="J466" s="74"/>
    </row>
    <row r="467">
      <c r="J467" s="74"/>
    </row>
    <row r="468">
      <c r="J468" s="74"/>
    </row>
    <row r="469">
      <c r="J469" s="74"/>
    </row>
    <row r="470">
      <c r="J470" s="74"/>
    </row>
    <row r="471">
      <c r="J471" s="74"/>
    </row>
    <row r="472">
      <c r="J472" s="74"/>
    </row>
    <row r="473">
      <c r="J473" s="74"/>
    </row>
    <row r="474">
      <c r="J474" s="74"/>
    </row>
    <row r="475">
      <c r="J475" s="74"/>
    </row>
    <row r="476">
      <c r="J476" s="74"/>
    </row>
    <row r="477">
      <c r="J477" s="74"/>
    </row>
    <row r="478">
      <c r="J478" s="74"/>
    </row>
    <row r="479">
      <c r="J479" s="74"/>
    </row>
    <row r="480">
      <c r="J480" s="74"/>
    </row>
    <row r="481">
      <c r="J481" s="74"/>
    </row>
    <row r="482">
      <c r="J482" s="74"/>
    </row>
    <row r="483">
      <c r="J483" s="74"/>
    </row>
    <row r="484">
      <c r="J484" s="74"/>
    </row>
    <row r="485">
      <c r="J485" s="74"/>
    </row>
    <row r="486">
      <c r="J486" s="74"/>
    </row>
    <row r="487">
      <c r="J487" s="74"/>
    </row>
    <row r="488">
      <c r="J488" s="74"/>
    </row>
    <row r="489">
      <c r="J489" s="74"/>
    </row>
    <row r="490">
      <c r="J490" s="74"/>
    </row>
    <row r="491">
      <c r="J491" s="74"/>
    </row>
    <row r="492">
      <c r="J492" s="74"/>
    </row>
    <row r="493">
      <c r="J493" s="74"/>
    </row>
    <row r="494">
      <c r="J494" s="74"/>
    </row>
    <row r="495">
      <c r="J495" s="74"/>
    </row>
    <row r="496">
      <c r="J496" s="74"/>
    </row>
    <row r="497">
      <c r="J497" s="74"/>
    </row>
    <row r="498">
      <c r="J498" s="74"/>
    </row>
    <row r="499">
      <c r="J499" s="74"/>
    </row>
    <row r="500">
      <c r="J500" s="74"/>
    </row>
    <row r="501">
      <c r="J501" s="74"/>
    </row>
    <row r="502">
      <c r="J502" s="74"/>
    </row>
    <row r="503">
      <c r="J503" s="74"/>
    </row>
    <row r="504">
      <c r="J504" s="74"/>
    </row>
    <row r="505">
      <c r="J505" s="74"/>
    </row>
    <row r="506">
      <c r="J506" s="74"/>
    </row>
    <row r="507">
      <c r="J507" s="74"/>
    </row>
    <row r="508">
      <c r="J508" s="74"/>
    </row>
    <row r="509">
      <c r="J509" s="74"/>
    </row>
    <row r="510">
      <c r="J510" s="74"/>
    </row>
    <row r="511">
      <c r="J511" s="74"/>
    </row>
    <row r="512">
      <c r="J512" s="74"/>
    </row>
    <row r="513">
      <c r="J513" s="74"/>
    </row>
    <row r="514">
      <c r="J514" s="74"/>
    </row>
    <row r="515">
      <c r="J515" s="74"/>
    </row>
    <row r="516">
      <c r="J516" s="74"/>
    </row>
    <row r="517">
      <c r="J517" s="74"/>
    </row>
    <row r="518">
      <c r="J518" s="74"/>
    </row>
    <row r="519">
      <c r="J519" s="74"/>
    </row>
    <row r="520">
      <c r="J520" s="74"/>
    </row>
    <row r="521">
      <c r="J521" s="74"/>
    </row>
    <row r="522">
      <c r="J522" s="74"/>
    </row>
    <row r="523">
      <c r="J523" s="74"/>
    </row>
    <row r="524">
      <c r="J524" s="74"/>
    </row>
    <row r="525">
      <c r="J525" s="74"/>
    </row>
    <row r="526">
      <c r="J526" s="74"/>
    </row>
    <row r="527">
      <c r="J527" s="74"/>
    </row>
    <row r="528">
      <c r="J528" s="74"/>
    </row>
    <row r="529">
      <c r="J529" s="74"/>
    </row>
    <row r="530">
      <c r="J530" s="74"/>
    </row>
    <row r="531">
      <c r="J531" s="74"/>
    </row>
    <row r="532">
      <c r="J532" s="74"/>
    </row>
    <row r="533">
      <c r="J533" s="74"/>
    </row>
    <row r="534">
      <c r="J534" s="74"/>
    </row>
    <row r="535">
      <c r="J535" s="74"/>
    </row>
    <row r="536">
      <c r="J536" s="74"/>
    </row>
    <row r="537">
      <c r="J537" s="74"/>
    </row>
    <row r="538">
      <c r="J538" s="74"/>
    </row>
    <row r="539">
      <c r="J539" s="74"/>
    </row>
    <row r="540">
      <c r="J540" s="74"/>
    </row>
    <row r="541">
      <c r="J541" s="74"/>
    </row>
    <row r="542">
      <c r="J542" s="74"/>
    </row>
    <row r="543">
      <c r="J543" s="74"/>
    </row>
    <row r="544">
      <c r="J544" s="74"/>
    </row>
    <row r="545">
      <c r="J545" s="74"/>
    </row>
    <row r="546">
      <c r="J546" s="74"/>
    </row>
    <row r="547">
      <c r="J547" s="74"/>
    </row>
    <row r="548">
      <c r="J548" s="74"/>
    </row>
    <row r="549">
      <c r="J549" s="74"/>
    </row>
    <row r="550">
      <c r="J550" s="74"/>
    </row>
    <row r="551">
      <c r="J551" s="74"/>
    </row>
    <row r="552">
      <c r="J552" s="74"/>
    </row>
    <row r="553">
      <c r="J553" s="74"/>
    </row>
    <row r="554">
      <c r="J554" s="74"/>
    </row>
    <row r="555">
      <c r="J555" s="74"/>
    </row>
    <row r="556">
      <c r="J556" s="74"/>
    </row>
    <row r="557">
      <c r="J557" s="74"/>
    </row>
    <row r="558">
      <c r="J558" s="74"/>
    </row>
    <row r="559">
      <c r="J559" s="74"/>
    </row>
    <row r="560">
      <c r="J560" s="74"/>
    </row>
    <row r="561">
      <c r="J561" s="74"/>
    </row>
    <row r="562">
      <c r="J562" s="74"/>
    </row>
    <row r="563">
      <c r="J563" s="74"/>
    </row>
    <row r="564">
      <c r="J564" s="74"/>
    </row>
    <row r="565">
      <c r="J565" s="74"/>
    </row>
    <row r="566">
      <c r="J566" s="74"/>
    </row>
    <row r="567">
      <c r="J567" s="74"/>
    </row>
    <row r="568">
      <c r="J568" s="74"/>
    </row>
    <row r="569">
      <c r="J569" s="74"/>
    </row>
    <row r="570">
      <c r="J570" s="74"/>
    </row>
    <row r="571">
      <c r="J571" s="74"/>
    </row>
    <row r="572">
      <c r="J572" s="74"/>
    </row>
    <row r="573">
      <c r="J573" s="74"/>
    </row>
    <row r="574">
      <c r="J574" s="74"/>
    </row>
    <row r="575">
      <c r="J575" s="74"/>
    </row>
    <row r="576">
      <c r="J576" s="74"/>
    </row>
    <row r="577">
      <c r="J577" s="74"/>
    </row>
    <row r="578">
      <c r="J578" s="74"/>
    </row>
    <row r="579">
      <c r="J579" s="74"/>
    </row>
    <row r="580">
      <c r="J580" s="74"/>
    </row>
    <row r="581">
      <c r="J581" s="74"/>
    </row>
    <row r="582">
      <c r="J582" s="74"/>
    </row>
    <row r="583">
      <c r="J583" s="74"/>
    </row>
    <row r="584">
      <c r="J584" s="74"/>
    </row>
    <row r="585">
      <c r="J585" s="74"/>
    </row>
    <row r="586">
      <c r="J586" s="74"/>
    </row>
    <row r="587">
      <c r="J587" s="74"/>
    </row>
    <row r="588">
      <c r="J588" s="74"/>
    </row>
    <row r="589">
      <c r="J589" s="74"/>
    </row>
    <row r="590">
      <c r="J590" s="74"/>
    </row>
    <row r="591">
      <c r="J591" s="74"/>
    </row>
    <row r="592">
      <c r="J592" s="74"/>
    </row>
    <row r="593">
      <c r="J593" s="74"/>
    </row>
    <row r="594">
      <c r="J594" s="74"/>
    </row>
    <row r="595">
      <c r="J595" s="74"/>
    </row>
    <row r="596">
      <c r="J596" s="74"/>
    </row>
    <row r="597">
      <c r="J597" s="74"/>
    </row>
    <row r="598">
      <c r="J598" s="74"/>
    </row>
    <row r="599">
      <c r="J599" s="74"/>
    </row>
    <row r="600">
      <c r="J600" s="74"/>
    </row>
    <row r="601">
      <c r="J601" s="74"/>
    </row>
    <row r="602">
      <c r="J602" s="74"/>
    </row>
    <row r="603">
      <c r="J603" s="74"/>
    </row>
    <row r="604">
      <c r="J604" s="74"/>
    </row>
    <row r="605">
      <c r="J605" s="74"/>
    </row>
    <row r="606">
      <c r="J606" s="74"/>
    </row>
    <row r="607">
      <c r="J607" s="74"/>
    </row>
    <row r="608">
      <c r="J608" s="74"/>
    </row>
    <row r="609">
      <c r="J609" s="74"/>
    </row>
    <row r="610">
      <c r="J610" s="74"/>
    </row>
    <row r="611">
      <c r="J611" s="74"/>
    </row>
    <row r="612">
      <c r="J612" s="74"/>
    </row>
    <row r="613">
      <c r="J613" s="74"/>
    </row>
    <row r="614">
      <c r="J614" s="74"/>
    </row>
    <row r="615">
      <c r="J615" s="74"/>
    </row>
    <row r="616">
      <c r="J616" s="74"/>
    </row>
    <row r="617">
      <c r="J617" s="74"/>
    </row>
    <row r="618">
      <c r="J618" s="74"/>
    </row>
    <row r="619">
      <c r="J619" s="74"/>
    </row>
    <row r="620">
      <c r="J620" s="74"/>
    </row>
    <row r="621">
      <c r="J621" s="74"/>
    </row>
    <row r="622">
      <c r="J622" s="74"/>
    </row>
    <row r="623">
      <c r="J623" s="74"/>
    </row>
    <row r="624">
      <c r="J624" s="74"/>
    </row>
    <row r="625">
      <c r="J625" s="74"/>
    </row>
    <row r="626">
      <c r="J626" s="74"/>
    </row>
    <row r="627">
      <c r="J627" s="74"/>
    </row>
    <row r="628">
      <c r="J628" s="74"/>
    </row>
    <row r="629">
      <c r="J629" s="74"/>
    </row>
    <row r="630">
      <c r="J630" s="74"/>
    </row>
    <row r="631">
      <c r="J631" s="74"/>
    </row>
    <row r="632">
      <c r="J632" s="74"/>
    </row>
    <row r="633">
      <c r="J633" s="74"/>
    </row>
    <row r="634">
      <c r="J634" s="74"/>
    </row>
    <row r="635">
      <c r="J635" s="74"/>
    </row>
    <row r="636">
      <c r="J636" s="74"/>
    </row>
    <row r="637">
      <c r="J637" s="74"/>
    </row>
    <row r="638">
      <c r="J638" s="74"/>
    </row>
    <row r="639">
      <c r="J639" s="74"/>
    </row>
    <row r="640">
      <c r="J640" s="74"/>
    </row>
    <row r="641">
      <c r="J641" s="74"/>
    </row>
    <row r="642">
      <c r="J642" s="74"/>
    </row>
    <row r="643">
      <c r="J643" s="74"/>
    </row>
    <row r="644">
      <c r="J644" s="74"/>
    </row>
    <row r="645">
      <c r="J645" s="74"/>
    </row>
    <row r="646">
      <c r="J646" s="74"/>
    </row>
    <row r="647">
      <c r="J647" s="74"/>
    </row>
    <row r="648">
      <c r="J648" s="74"/>
    </row>
    <row r="649">
      <c r="J649" s="74"/>
    </row>
    <row r="650">
      <c r="J650" s="74"/>
    </row>
    <row r="651">
      <c r="J651" s="74"/>
    </row>
    <row r="652">
      <c r="J652" s="74"/>
    </row>
    <row r="653">
      <c r="J653" s="74"/>
    </row>
    <row r="654">
      <c r="J654" s="74"/>
    </row>
    <row r="655">
      <c r="J655" s="74"/>
    </row>
    <row r="656">
      <c r="J656" s="74"/>
    </row>
    <row r="657">
      <c r="J657" s="74"/>
    </row>
    <row r="658">
      <c r="J658" s="74"/>
    </row>
    <row r="659">
      <c r="J659" s="74"/>
    </row>
    <row r="660">
      <c r="J660" s="74"/>
    </row>
    <row r="661">
      <c r="J661" s="74"/>
    </row>
    <row r="662">
      <c r="J662" s="74"/>
    </row>
    <row r="663">
      <c r="J663" s="74"/>
    </row>
    <row r="664">
      <c r="J664" s="74"/>
    </row>
    <row r="665">
      <c r="J665" s="74"/>
    </row>
    <row r="666">
      <c r="J666" s="74"/>
    </row>
    <row r="667">
      <c r="J667" s="74"/>
    </row>
    <row r="668">
      <c r="J668" s="74"/>
    </row>
    <row r="669">
      <c r="J669" s="74"/>
    </row>
    <row r="670">
      <c r="J670" s="74"/>
    </row>
    <row r="671">
      <c r="J671" s="74"/>
    </row>
    <row r="672">
      <c r="J672" s="74"/>
    </row>
    <row r="673">
      <c r="J673" s="74"/>
    </row>
    <row r="674">
      <c r="J674" s="74"/>
    </row>
    <row r="675">
      <c r="J675" s="74"/>
    </row>
    <row r="676">
      <c r="J676" s="74"/>
    </row>
    <row r="677">
      <c r="J677" s="74"/>
    </row>
    <row r="678">
      <c r="J678" s="74"/>
    </row>
    <row r="679">
      <c r="J679" s="74"/>
    </row>
    <row r="680">
      <c r="J680" s="74"/>
    </row>
    <row r="681">
      <c r="J681" s="74"/>
    </row>
    <row r="682">
      <c r="J682" s="74"/>
    </row>
    <row r="683">
      <c r="J683" s="74"/>
    </row>
    <row r="684">
      <c r="J684" s="74"/>
    </row>
    <row r="685">
      <c r="J685" s="74"/>
    </row>
    <row r="686">
      <c r="J686" s="74"/>
    </row>
    <row r="687">
      <c r="J687" s="74"/>
    </row>
    <row r="688">
      <c r="J688" s="74"/>
    </row>
    <row r="689">
      <c r="J689" s="74"/>
    </row>
    <row r="690">
      <c r="J690" s="74"/>
    </row>
    <row r="691">
      <c r="J691" s="74"/>
    </row>
    <row r="692">
      <c r="J692" s="74"/>
    </row>
    <row r="693">
      <c r="J693" s="74"/>
    </row>
    <row r="694">
      <c r="J694" s="74"/>
    </row>
    <row r="695">
      <c r="J695" s="74"/>
    </row>
    <row r="696">
      <c r="J696" s="74"/>
    </row>
    <row r="697">
      <c r="J697" s="74"/>
    </row>
    <row r="698">
      <c r="J698" s="74"/>
    </row>
    <row r="699">
      <c r="J699" s="74"/>
    </row>
    <row r="700">
      <c r="J700" s="74"/>
    </row>
    <row r="701">
      <c r="J701" s="74"/>
    </row>
    <row r="702">
      <c r="J702" s="74"/>
    </row>
    <row r="703">
      <c r="J703" s="74"/>
    </row>
    <row r="704">
      <c r="J704" s="74"/>
    </row>
    <row r="705">
      <c r="J705" s="74"/>
    </row>
    <row r="706">
      <c r="J706" s="74"/>
    </row>
    <row r="707">
      <c r="J707" s="74"/>
    </row>
    <row r="708">
      <c r="J708" s="74"/>
    </row>
    <row r="709">
      <c r="J709" s="74"/>
    </row>
    <row r="710">
      <c r="J710" s="74"/>
    </row>
    <row r="711">
      <c r="J711" s="74"/>
    </row>
    <row r="712">
      <c r="J712" s="74"/>
    </row>
    <row r="713">
      <c r="J713" s="74"/>
    </row>
    <row r="714">
      <c r="J714" s="74"/>
    </row>
    <row r="715">
      <c r="J715" s="74"/>
    </row>
    <row r="716">
      <c r="J716" s="74"/>
    </row>
    <row r="717">
      <c r="J717" s="74"/>
    </row>
    <row r="718">
      <c r="J718" s="74"/>
    </row>
    <row r="719">
      <c r="J719" s="74"/>
    </row>
    <row r="720">
      <c r="J720" s="74"/>
    </row>
    <row r="721">
      <c r="J721" s="74"/>
    </row>
    <row r="722">
      <c r="J722" s="74"/>
    </row>
    <row r="723">
      <c r="J723" s="74"/>
    </row>
    <row r="724">
      <c r="J724" s="74"/>
    </row>
    <row r="725">
      <c r="J725" s="74"/>
    </row>
    <row r="726">
      <c r="J726" s="74"/>
    </row>
    <row r="727">
      <c r="J727" s="74"/>
    </row>
    <row r="728">
      <c r="J728" s="74"/>
    </row>
    <row r="729">
      <c r="J729" s="74"/>
    </row>
    <row r="730">
      <c r="J730" s="74"/>
    </row>
    <row r="731">
      <c r="J731" s="74"/>
    </row>
    <row r="732">
      <c r="J732" s="74"/>
    </row>
    <row r="733">
      <c r="J733" s="74"/>
    </row>
    <row r="734">
      <c r="J734" s="74"/>
    </row>
    <row r="735">
      <c r="J735" s="74"/>
    </row>
    <row r="736">
      <c r="J736" s="74"/>
    </row>
    <row r="737">
      <c r="J737" s="74"/>
    </row>
    <row r="738">
      <c r="J738" s="74"/>
    </row>
    <row r="739">
      <c r="J739" s="74"/>
    </row>
    <row r="740">
      <c r="J740" s="74"/>
    </row>
    <row r="741">
      <c r="J741" s="74"/>
    </row>
    <row r="742">
      <c r="J742" s="74"/>
    </row>
    <row r="743">
      <c r="J743" s="74"/>
    </row>
    <row r="744">
      <c r="J744" s="74"/>
    </row>
    <row r="745">
      <c r="J745" s="74"/>
    </row>
    <row r="746">
      <c r="J746" s="74"/>
    </row>
    <row r="747">
      <c r="J747" s="74"/>
    </row>
    <row r="748">
      <c r="J748" s="74"/>
    </row>
    <row r="749">
      <c r="J749" s="74"/>
    </row>
    <row r="750">
      <c r="J750" s="74"/>
    </row>
    <row r="751">
      <c r="J751" s="74"/>
    </row>
    <row r="752">
      <c r="J752" s="74"/>
    </row>
    <row r="753">
      <c r="J753" s="74"/>
    </row>
    <row r="754">
      <c r="J754" s="74"/>
    </row>
    <row r="755">
      <c r="J755" s="74"/>
    </row>
    <row r="756">
      <c r="J756" s="74"/>
    </row>
    <row r="757">
      <c r="J757" s="74"/>
    </row>
    <row r="758">
      <c r="J758" s="74"/>
    </row>
    <row r="759">
      <c r="J759" s="74"/>
    </row>
    <row r="760">
      <c r="J760" s="74"/>
    </row>
    <row r="761">
      <c r="J761" s="74"/>
    </row>
    <row r="762">
      <c r="J762" s="74"/>
    </row>
    <row r="763">
      <c r="J763" s="74"/>
    </row>
    <row r="764">
      <c r="J764" s="74"/>
    </row>
    <row r="765">
      <c r="J765" s="74"/>
    </row>
    <row r="766">
      <c r="J766" s="74"/>
    </row>
    <row r="767">
      <c r="J767" s="74"/>
    </row>
    <row r="768">
      <c r="J768" s="74"/>
    </row>
    <row r="769">
      <c r="J769" s="74"/>
    </row>
    <row r="770">
      <c r="J770" s="74"/>
    </row>
    <row r="771">
      <c r="J771" s="74"/>
    </row>
    <row r="772">
      <c r="J772" s="74"/>
    </row>
    <row r="773">
      <c r="J773" s="74"/>
    </row>
    <row r="774">
      <c r="J774" s="74"/>
    </row>
    <row r="775">
      <c r="J775" s="74"/>
    </row>
    <row r="776">
      <c r="J776" s="74"/>
    </row>
    <row r="777">
      <c r="J777" s="74"/>
    </row>
    <row r="778">
      <c r="J778" s="74"/>
    </row>
    <row r="779">
      <c r="J779" s="74"/>
    </row>
    <row r="780">
      <c r="J780" s="74"/>
    </row>
    <row r="781">
      <c r="J781" s="74"/>
    </row>
    <row r="782">
      <c r="J782" s="74"/>
    </row>
    <row r="783">
      <c r="J783" s="74"/>
    </row>
    <row r="784">
      <c r="J784" s="74"/>
    </row>
    <row r="785">
      <c r="J785" s="74"/>
    </row>
    <row r="786">
      <c r="J786" s="74"/>
    </row>
    <row r="787">
      <c r="J787" s="74"/>
    </row>
    <row r="788">
      <c r="J788" s="74"/>
    </row>
    <row r="789">
      <c r="J789" s="74"/>
    </row>
    <row r="790">
      <c r="J790" s="74"/>
    </row>
    <row r="791">
      <c r="J791" s="74"/>
    </row>
    <row r="792">
      <c r="J792" s="74"/>
    </row>
    <row r="793">
      <c r="J793" s="74"/>
    </row>
    <row r="794">
      <c r="J794" s="74"/>
    </row>
    <row r="795">
      <c r="J795" s="74"/>
    </row>
    <row r="796">
      <c r="J796" s="74"/>
    </row>
    <row r="797">
      <c r="J797" s="74"/>
    </row>
    <row r="798">
      <c r="J798" s="74"/>
    </row>
    <row r="799">
      <c r="J799" s="74"/>
    </row>
    <row r="800">
      <c r="J800" s="74"/>
    </row>
    <row r="801">
      <c r="J801" s="74"/>
    </row>
    <row r="802">
      <c r="J802" s="74"/>
    </row>
    <row r="803">
      <c r="J803" s="74"/>
    </row>
    <row r="804">
      <c r="J804" s="74"/>
    </row>
    <row r="805">
      <c r="J805" s="74"/>
    </row>
    <row r="806">
      <c r="J806" s="74"/>
    </row>
    <row r="807">
      <c r="J807" s="74"/>
    </row>
    <row r="808">
      <c r="J808" s="74"/>
    </row>
    <row r="809">
      <c r="J809" s="74"/>
    </row>
    <row r="810">
      <c r="J810" s="74"/>
    </row>
    <row r="811">
      <c r="J811" s="74"/>
    </row>
    <row r="812">
      <c r="J812" s="74"/>
    </row>
    <row r="813">
      <c r="J813" s="74"/>
    </row>
    <row r="814">
      <c r="J814" s="74"/>
    </row>
    <row r="815">
      <c r="J815" s="74"/>
    </row>
    <row r="816">
      <c r="J816" s="74"/>
    </row>
    <row r="817">
      <c r="J817" s="74"/>
    </row>
    <row r="818">
      <c r="J818" s="74"/>
    </row>
    <row r="819">
      <c r="J819" s="74"/>
    </row>
    <row r="820">
      <c r="J820" s="74"/>
    </row>
    <row r="821">
      <c r="J821" s="74"/>
    </row>
    <row r="822">
      <c r="J822" s="74"/>
    </row>
    <row r="823">
      <c r="J823" s="74"/>
    </row>
    <row r="824">
      <c r="J824" s="74"/>
    </row>
    <row r="825">
      <c r="J825" s="74"/>
    </row>
    <row r="826">
      <c r="J826" s="74"/>
    </row>
    <row r="827">
      <c r="J827" s="74"/>
    </row>
    <row r="828">
      <c r="J828" s="74"/>
    </row>
    <row r="829">
      <c r="J829" s="74"/>
    </row>
    <row r="830">
      <c r="J830" s="74"/>
    </row>
    <row r="831">
      <c r="J831" s="74"/>
    </row>
    <row r="832">
      <c r="J832" s="74"/>
    </row>
    <row r="833">
      <c r="J833" s="74"/>
    </row>
    <row r="834">
      <c r="J834" s="74"/>
    </row>
    <row r="835">
      <c r="J835" s="74"/>
    </row>
    <row r="836">
      <c r="J836" s="74"/>
    </row>
    <row r="837">
      <c r="J837" s="74"/>
    </row>
    <row r="838">
      <c r="J838" s="74"/>
    </row>
    <row r="839">
      <c r="J839" s="74"/>
    </row>
    <row r="840">
      <c r="J840" s="74"/>
    </row>
    <row r="841">
      <c r="J841" s="74"/>
    </row>
    <row r="842">
      <c r="J842" s="74"/>
    </row>
    <row r="843">
      <c r="J843" s="74"/>
    </row>
    <row r="844">
      <c r="J844" s="74"/>
    </row>
    <row r="845">
      <c r="J845" s="74"/>
    </row>
    <row r="846">
      <c r="J846" s="74"/>
    </row>
    <row r="847">
      <c r="J847" s="74"/>
    </row>
    <row r="848">
      <c r="J848" s="74"/>
    </row>
    <row r="849">
      <c r="J849" s="74"/>
    </row>
    <row r="850">
      <c r="J850" s="74"/>
    </row>
    <row r="851">
      <c r="J851" s="74"/>
    </row>
    <row r="852">
      <c r="J852" s="74"/>
    </row>
    <row r="853">
      <c r="J853" s="74"/>
    </row>
    <row r="854">
      <c r="J854" s="74"/>
    </row>
    <row r="855">
      <c r="J855" s="74"/>
    </row>
    <row r="856">
      <c r="J856" s="74"/>
    </row>
    <row r="857">
      <c r="J857" s="74"/>
    </row>
    <row r="858">
      <c r="J858" s="74"/>
    </row>
    <row r="859">
      <c r="J859" s="74"/>
    </row>
    <row r="860">
      <c r="J860" s="74"/>
    </row>
    <row r="861">
      <c r="J861" s="74"/>
    </row>
    <row r="862">
      <c r="J862" s="74"/>
    </row>
    <row r="863">
      <c r="J863" s="74"/>
    </row>
    <row r="864">
      <c r="J864" s="74"/>
    </row>
    <row r="865">
      <c r="J865" s="74"/>
    </row>
    <row r="866">
      <c r="J866" s="74"/>
    </row>
    <row r="867">
      <c r="J867" s="74"/>
    </row>
    <row r="868">
      <c r="J868" s="74"/>
    </row>
    <row r="869">
      <c r="J869" s="74"/>
    </row>
    <row r="870">
      <c r="J870" s="74"/>
    </row>
    <row r="871">
      <c r="J871" s="74"/>
    </row>
    <row r="872">
      <c r="J872" s="74"/>
    </row>
    <row r="873">
      <c r="J873" s="74"/>
    </row>
    <row r="874">
      <c r="J874" s="74"/>
    </row>
    <row r="875">
      <c r="J875" s="74"/>
    </row>
    <row r="876">
      <c r="J876" s="74"/>
    </row>
    <row r="877">
      <c r="J877" s="74"/>
    </row>
    <row r="878">
      <c r="J878" s="74"/>
    </row>
    <row r="879">
      <c r="J879" s="74"/>
    </row>
    <row r="880">
      <c r="J880" s="74"/>
    </row>
    <row r="881">
      <c r="J881" s="74"/>
    </row>
    <row r="882">
      <c r="J882" s="74"/>
    </row>
    <row r="883">
      <c r="J883" s="74"/>
    </row>
    <row r="884">
      <c r="J884" s="74"/>
    </row>
    <row r="885">
      <c r="J885" s="74"/>
    </row>
    <row r="886">
      <c r="J886" s="74"/>
    </row>
    <row r="887">
      <c r="J887" s="74"/>
    </row>
    <row r="888">
      <c r="J888" s="74"/>
    </row>
    <row r="889">
      <c r="J889" s="74"/>
    </row>
    <row r="890">
      <c r="J890" s="74"/>
    </row>
    <row r="891">
      <c r="J891" s="74"/>
    </row>
    <row r="892">
      <c r="J892" s="74"/>
    </row>
    <row r="893">
      <c r="J893" s="74"/>
    </row>
    <row r="894">
      <c r="J894" s="74"/>
    </row>
    <row r="895">
      <c r="J895" s="74"/>
    </row>
    <row r="896">
      <c r="J896" s="74"/>
    </row>
    <row r="897">
      <c r="J897" s="74"/>
    </row>
    <row r="898">
      <c r="J898" s="74"/>
    </row>
    <row r="899">
      <c r="J899" s="74"/>
    </row>
    <row r="900">
      <c r="J900" s="74"/>
    </row>
    <row r="901">
      <c r="J901" s="74"/>
    </row>
    <row r="902">
      <c r="J902" s="74"/>
    </row>
    <row r="903">
      <c r="J903" s="74"/>
    </row>
    <row r="904">
      <c r="J904" s="74"/>
    </row>
    <row r="905">
      <c r="J905" s="74"/>
    </row>
    <row r="906">
      <c r="J906" s="74"/>
    </row>
    <row r="907">
      <c r="J907" s="74"/>
    </row>
    <row r="908">
      <c r="J908" s="74"/>
    </row>
    <row r="909">
      <c r="J909" s="74"/>
    </row>
    <row r="910">
      <c r="J910" s="74"/>
    </row>
    <row r="911">
      <c r="J911" s="74"/>
    </row>
    <row r="912">
      <c r="J912" s="74"/>
    </row>
    <row r="913">
      <c r="J913" s="74"/>
    </row>
    <row r="914">
      <c r="J914" s="74"/>
    </row>
    <row r="915">
      <c r="J915" s="74"/>
    </row>
    <row r="916">
      <c r="J916" s="74"/>
    </row>
    <row r="917">
      <c r="J917" s="74"/>
    </row>
    <row r="918">
      <c r="J918" s="74"/>
    </row>
    <row r="919">
      <c r="J919" s="74"/>
    </row>
    <row r="920">
      <c r="J920" s="74"/>
    </row>
    <row r="921">
      <c r="J921" s="74"/>
    </row>
    <row r="922">
      <c r="J922" s="74"/>
    </row>
    <row r="923">
      <c r="J923" s="74"/>
    </row>
    <row r="924">
      <c r="J924" s="74"/>
    </row>
    <row r="925">
      <c r="J925" s="74"/>
    </row>
    <row r="926">
      <c r="J926" s="74"/>
    </row>
    <row r="927">
      <c r="J927" s="74"/>
    </row>
    <row r="928">
      <c r="J928" s="74"/>
    </row>
    <row r="929">
      <c r="J929" s="74"/>
    </row>
    <row r="930">
      <c r="J930" s="74"/>
    </row>
    <row r="931">
      <c r="J931" s="74"/>
    </row>
    <row r="932">
      <c r="J932" s="74"/>
    </row>
    <row r="933">
      <c r="J933" s="74"/>
    </row>
    <row r="934">
      <c r="J934" s="74"/>
    </row>
    <row r="935">
      <c r="J935" s="74"/>
    </row>
    <row r="936">
      <c r="J936" s="74"/>
    </row>
    <row r="937">
      <c r="J937" s="74"/>
    </row>
    <row r="938">
      <c r="J938" s="74"/>
    </row>
    <row r="939">
      <c r="J939" s="74"/>
    </row>
    <row r="940">
      <c r="J940" s="74"/>
    </row>
    <row r="941">
      <c r="J941" s="74"/>
    </row>
    <row r="942">
      <c r="J942" s="74"/>
    </row>
    <row r="943">
      <c r="J943" s="74"/>
    </row>
    <row r="944">
      <c r="J944" s="74"/>
    </row>
    <row r="945">
      <c r="J945" s="74"/>
    </row>
    <row r="946">
      <c r="J946" s="74"/>
    </row>
    <row r="947">
      <c r="J947" s="74"/>
    </row>
    <row r="948">
      <c r="J948" s="74"/>
    </row>
    <row r="949">
      <c r="J949" s="74"/>
    </row>
    <row r="950">
      <c r="J950" s="74"/>
    </row>
    <row r="951">
      <c r="J951" s="74"/>
    </row>
    <row r="952">
      <c r="J952" s="74"/>
    </row>
    <row r="953">
      <c r="J953" s="74"/>
    </row>
    <row r="954">
      <c r="J954" s="74"/>
    </row>
    <row r="955">
      <c r="J955" s="74"/>
    </row>
    <row r="956">
      <c r="J956" s="74"/>
    </row>
    <row r="957">
      <c r="J957" s="74"/>
    </row>
    <row r="958">
      <c r="J958" s="74"/>
    </row>
    <row r="959">
      <c r="J959" s="74"/>
    </row>
    <row r="960">
      <c r="J960" s="74"/>
    </row>
    <row r="961">
      <c r="J961" s="74"/>
    </row>
    <row r="962">
      <c r="J962" s="74"/>
    </row>
    <row r="963">
      <c r="J963" s="74"/>
    </row>
    <row r="964">
      <c r="J964" s="74"/>
    </row>
    <row r="965">
      <c r="J965" s="74"/>
    </row>
    <row r="966">
      <c r="J966" s="74"/>
    </row>
    <row r="967">
      <c r="J967" s="74"/>
    </row>
    <row r="968">
      <c r="J968" s="74"/>
    </row>
    <row r="969">
      <c r="J969" s="74"/>
    </row>
    <row r="970">
      <c r="J970" s="74"/>
    </row>
    <row r="971">
      <c r="J971" s="74"/>
    </row>
    <row r="972">
      <c r="J972" s="74"/>
    </row>
    <row r="973">
      <c r="J973" s="74"/>
    </row>
    <row r="974">
      <c r="J974" s="74"/>
    </row>
    <row r="975">
      <c r="J975" s="74"/>
    </row>
    <row r="976">
      <c r="J976" s="74"/>
    </row>
    <row r="977">
      <c r="J977" s="74"/>
    </row>
    <row r="978">
      <c r="J978" s="74"/>
    </row>
    <row r="979">
      <c r="J979" s="74"/>
    </row>
    <row r="980">
      <c r="J980" s="74"/>
    </row>
    <row r="981">
      <c r="J981" s="74"/>
    </row>
    <row r="982">
      <c r="J982" s="74"/>
    </row>
    <row r="983">
      <c r="J983" s="74"/>
    </row>
    <row r="984">
      <c r="J984" s="74"/>
    </row>
    <row r="985">
      <c r="J985" s="74"/>
    </row>
    <row r="986">
      <c r="J986" s="74"/>
    </row>
    <row r="987">
      <c r="J987" s="74"/>
    </row>
    <row r="988">
      <c r="J988" s="74"/>
    </row>
    <row r="989">
      <c r="J989" s="74"/>
    </row>
    <row r="990">
      <c r="J990" s="74"/>
    </row>
    <row r="991">
      <c r="J991" s="74"/>
    </row>
    <row r="992">
      <c r="J992" s="74"/>
    </row>
    <row r="993">
      <c r="J993" s="74"/>
    </row>
    <row r="994">
      <c r="J994" s="74"/>
    </row>
    <row r="995">
      <c r="J995" s="74"/>
    </row>
    <row r="996">
      <c r="J996" s="74"/>
    </row>
    <row r="997">
      <c r="J997" s="74"/>
    </row>
    <row r="998">
      <c r="J998" s="74"/>
    </row>
    <row r="999">
      <c r="J999" s="74"/>
    </row>
    <row r="1000">
      <c r="J1000" s="74"/>
    </row>
    <row r="1001">
      <c r="J1001" s="74"/>
    </row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3.5"/>
  </cols>
  <sheetData>
    <row r="1">
      <c r="A1" s="70" t="s">
        <v>40</v>
      </c>
      <c r="B1" s="70" t="s">
        <v>35</v>
      </c>
      <c r="C1" s="75" t="s">
        <v>870</v>
      </c>
      <c r="D1" s="76" t="s">
        <v>871</v>
      </c>
      <c r="E1" s="71" t="s">
        <v>872</v>
      </c>
      <c r="F1" s="4"/>
      <c r="G1" s="4"/>
      <c r="H1" s="4"/>
      <c r="I1" s="70" t="s">
        <v>40</v>
      </c>
      <c r="J1" s="77" t="s">
        <v>74</v>
      </c>
      <c r="K1" s="2" t="s">
        <v>870</v>
      </c>
      <c r="L1" s="76" t="s">
        <v>871</v>
      </c>
      <c r="M1" s="71" t="s">
        <v>872</v>
      </c>
      <c r="N1" s="4"/>
      <c r="O1" s="4"/>
      <c r="P1" s="4"/>
      <c r="Q1" s="70" t="s">
        <v>40</v>
      </c>
      <c r="R1" s="71" t="s">
        <v>873</v>
      </c>
      <c r="S1" s="71" t="s">
        <v>874</v>
      </c>
      <c r="T1" s="71" t="s">
        <v>875</v>
      </c>
      <c r="U1" s="71" t="s">
        <v>876</v>
      </c>
      <c r="V1" s="4"/>
      <c r="W1" s="4"/>
      <c r="X1" s="4"/>
      <c r="Y1" s="4"/>
      <c r="Z1" s="4"/>
      <c r="AA1" s="4"/>
    </row>
    <row r="2">
      <c r="A2" s="78" t="s">
        <v>42</v>
      </c>
      <c r="B2" s="79">
        <v>1.083331809E7</v>
      </c>
      <c r="C2" s="80">
        <f t="shared" ref="C2:C13" si="1">B2/ SUM($B$2:$B$13)</f>
        <v>0.2777795844</v>
      </c>
      <c r="D2" s="80">
        <f t="shared" ref="D2:D13" si="2"> SUM($C$2:C2)</f>
        <v>0.2777795844</v>
      </c>
      <c r="E2" s="78" t="s">
        <v>877</v>
      </c>
      <c r="I2" s="78" t="s">
        <v>31</v>
      </c>
      <c r="J2" s="81">
        <v>3.421131735E7</v>
      </c>
      <c r="K2" s="82">
        <f t="shared" ref="K2:K13" si="3">J2 / SUM($J$2:$J$13)</f>
        <v>0.2504480132</v>
      </c>
      <c r="L2" s="82">
        <f t="shared" ref="L2:L13" si="4">SUM($K$2:K2)</f>
        <v>0.2504480132</v>
      </c>
      <c r="M2" s="78" t="str">
        <f t="shared" ref="M2:M13" si="5">IF(L2&lt;=0.8,"A",IF(L2&lt;=0.95,"B","C"))</f>
        <v>A</v>
      </c>
      <c r="Q2" s="83" t="s">
        <v>42</v>
      </c>
      <c r="R2" s="8" t="str">
        <f t="shared" ref="R2:R13" si="6">VLOOKUP(A2,$A$2:$E$13,5,FALSE)</f>
        <v>A</v>
      </c>
      <c r="S2" s="8" t="str">
        <f t="shared" ref="S2:S13" si="7">VLOOKUP(A2,$I$2:$M$13,5,FALSE)</f>
        <v>A</v>
      </c>
      <c r="T2" s="33">
        <f t="shared" ref="T2:T13" si="8">VLOOKUP(Q2,$A$2:$E$13,2,FALSE)</f>
        <v>10833318.09</v>
      </c>
      <c r="U2" s="13">
        <f t="shared" ref="U2:U13" si="9">VLOOKUP(Q2,$I$2:$M$13,2,FALSE)</f>
        <v>27240620.4</v>
      </c>
    </row>
    <row r="3">
      <c r="A3" s="78" t="s">
        <v>31</v>
      </c>
      <c r="B3" s="79">
        <v>6632543.75</v>
      </c>
      <c r="C3" s="80">
        <f t="shared" si="1"/>
        <v>0.1700665697</v>
      </c>
      <c r="D3" s="80">
        <f t="shared" si="2"/>
        <v>0.4478461541</v>
      </c>
      <c r="E3" s="78" t="s">
        <v>877</v>
      </c>
      <c r="I3" s="78" t="s">
        <v>42</v>
      </c>
      <c r="J3" s="81">
        <v>2.72406204E7</v>
      </c>
      <c r="K3" s="82">
        <f t="shared" si="3"/>
        <v>0.199418198</v>
      </c>
      <c r="L3" s="82">
        <f t="shared" si="4"/>
        <v>0.4498662111</v>
      </c>
      <c r="M3" s="78" t="str">
        <f t="shared" si="5"/>
        <v>A</v>
      </c>
      <c r="Q3" s="83" t="s">
        <v>31</v>
      </c>
      <c r="R3" s="8" t="str">
        <f t="shared" si="6"/>
        <v>A</v>
      </c>
      <c r="S3" s="8" t="str">
        <f t="shared" si="7"/>
        <v>A</v>
      </c>
      <c r="T3" s="33">
        <f t="shared" si="8"/>
        <v>6632543.75</v>
      </c>
      <c r="U3" s="13">
        <f t="shared" si="9"/>
        <v>34211317.35</v>
      </c>
    </row>
    <row r="4">
      <c r="A4" s="78" t="s">
        <v>18</v>
      </c>
      <c r="B4" s="79">
        <v>5500910.159999999</v>
      </c>
      <c r="C4" s="80">
        <f t="shared" si="1"/>
        <v>0.1410500943</v>
      </c>
      <c r="D4" s="80">
        <f t="shared" si="2"/>
        <v>0.5888962484</v>
      </c>
      <c r="E4" s="78" t="s">
        <v>877</v>
      </c>
      <c r="I4" s="78" t="s">
        <v>18</v>
      </c>
      <c r="J4" s="81">
        <v>2.218121784E7</v>
      </c>
      <c r="K4" s="82">
        <f t="shared" si="3"/>
        <v>0.1623802405</v>
      </c>
      <c r="L4" s="82">
        <f t="shared" si="4"/>
        <v>0.6122464516</v>
      </c>
      <c r="M4" s="78" t="str">
        <f t="shared" si="5"/>
        <v>A</v>
      </c>
      <c r="Q4" s="83" t="s">
        <v>18</v>
      </c>
      <c r="R4" s="8" t="str">
        <f t="shared" si="6"/>
        <v>A</v>
      </c>
      <c r="S4" s="8" t="str">
        <f t="shared" si="7"/>
        <v>A</v>
      </c>
      <c r="T4" s="33">
        <f t="shared" si="8"/>
        <v>5500910.16</v>
      </c>
      <c r="U4" s="13">
        <f t="shared" si="9"/>
        <v>22181217.84</v>
      </c>
    </row>
    <row r="5">
      <c r="A5" s="78" t="s">
        <v>37</v>
      </c>
      <c r="B5" s="79">
        <v>4088851.5600000005</v>
      </c>
      <c r="C5" s="80">
        <f t="shared" si="1"/>
        <v>0.1048431771</v>
      </c>
      <c r="D5" s="80">
        <f t="shared" si="2"/>
        <v>0.6937394254</v>
      </c>
      <c r="E5" s="78" t="s">
        <v>877</v>
      </c>
      <c r="I5" s="78" t="s">
        <v>13</v>
      </c>
      <c r="J5" s="81">
        <v>1.844587458E7</v>
      </c>
      <c r="K5" s="82">
        <f t="shared" si="3"/>
        <v>0.1350352163</v>
      </c>
      <c r="L5" s="82">
        <f t="shared" si="4"/>
        <v>0.7472816679</v>
      </c>
      <c r="M5" s="78" t="str">
        <f t="shared" si="5"/>
        <v>A</v>
      </c>
      <c r="Q5" s="83" t="s">
        <v>37</v>
      </c>
      <c r="R5" s="8" t="str">
        <f t="shared" si="6"/>
        <v>A</v>
      </c>
      <c r="S5" s="8" t="str">
        <f t="shared" si="7"/>
        <v>B</v>
      </c>
      <c r="T5" s="33">
        <f t="shared" si="8"/>
        <v>4088851.56</v>
      </c>
      <c r="U5" s="13">
        <f t="shared" si="9"/>
        <v>11314417.32</v>
      </c>
    </row>
    <row r="6">
      <c r="A6" s="78" t="s">
        <v>22</v>
      </c>
      <c r="B6" s="79">
        <v>2953663.3099999996</v>
      </c>
      <c r="C6" s="80">
        <f t="shared" si="1"/>
        <v>0.07573555579</v>
      </c>
      <c r="D6" s="80">
        <f t="shared" si="2"/>
        <v>0.7694749812</v>
      </c>
      <c r="E6" s="78" t="s">
        <v>877</v>
      </c>
      <c r="I6" s="8" t="s">
        <v>37</v>
      </c>
      <c r="J6" s="13">
        <v>1.1314417320000002E7</v>
      </c>
      <c r="K6" s="73">
        <f t="shared" si="3"/>
        <v>0.08282853621</v>
      </c>
      <c r="L6" s="73">
        <f t="shared" si="4"/>
        <v>0.8301102041</v>
      </c>
      <c r="M6" s="8" t="str">
        <f t="shared" si="5"/>
        <v>B</v>
      </c>
      <c r="Q6" s="83" t="s">
        <v>22</v>
      </c>
      <c r="R6" s="8" t="str">
        <f t="shared" si="6"/>
        <v>A</v>
      </c>
      <c r="S6" s="8" t="str">
        <f t="shared" si="7"/>
        <v>B</v>
      </c>
      <c r="T6" s="33">
        <f t="shared" si="8"/>
        <v>2953663.31</v>
      </c>
      <c r="U6" s="13">
        <f t="shared" si="9"/>
        <v>7208005.22</v>
      </c>
    </row>
    <row r="7">
      <c r="A7" s="8" t="s">
        <v>13</v>
      </c>
      <c r="B7" s="33">
        <v>2500898.399999999</v>
      </c>
      <c r="C7" s="84">
        <f t="shared" si="1"/>
        <v>0.06412610729</v>
      </c>
      <c r="D7" s="84">
        <f t="shared" si="2"/>
        <v>0.8336010885</v>
      </c>
      <c r="E7" s="8" t="s">
        <v>878</v>
      </c>
      <c r="I7" s="8" t="s">
        <v>22</v>
      </c>
      <c r="J7" s="13">
        <v>7208005.220000001</v>
      </c>
      <c r="K7" s="73">
        <f t="shared" si="3"/>
        <v>0.05276705856</v>
      </c>
      <c r="L7" s="73">
        <f t="shared" si="4"/>
        <v>0.8828772627</v>
      </c>
      <c r="M7" s="8" t="str">
        <f t="shared" si="5"/>
        <v>B</v>
      </c>
      <c r="Q7" s="8" t="s">
        <v>13</v>
      </c>
      <c r="R7" s="8" t="str">
        <f t="shared" si="6"/>
        <v>B</v>
      </c>
      <c r="S7" s="8" t="str">
        <f t="shared" si="7"/>
        <v>A</v>
      </c>
      <c r="T7" s="33">
        <f t="shared" si="8"/>
        <v>2500898.4</v>
      </c>
      <c r="U7" s="13">
        <f t="shared" si="9"/>
        <v>18445874.58</v>
      </c>
    </row>
    <row r="8">
      <c r="A8" s="8" t="s">
        <v>36</v>
      </c>
      <c r="B8" s="33">
        <v>2204971.72</v>
      </c>
      <c r="C8" s="84">
        <f t="shared" si="1"/>
        <v>0.05653818367</v>
      </c>
      <c r="D8" s="84">
        <f t="shared" si="2"/>
        <v>0.8901392722</v>
      </c>
      <c r="E8" s="8" t="s">
        <v>878</v>
      </c>
      <c r="I8" s="8" t="s">
        <v>36</v>
      </c>
      <c r="J8" s="13">
        <v>5871950.56</v>
      </c>
      <c r="K8" s="73">
        <f t="shared" si="3"/>
        <v>0.0429863117</v>
      </c>
      <c r="L8" s="73">
        <f t="shared" si="4"/>
        <v>0.9258635744</v>
      </c>
      <c r="M8" s="8" t="str">
        <f t="shared" si="5"/>
        <v>B</v>
      </c>
      <c r="Q8" s="8" t="s">
        <v>36</v>
      </c>
      <c r="R8" s="8" t="str">
        <f t="shared" si="6"/>
        <v>B</v>
      </c>
      <c r="S8" s="8" t="str">
        <f t="shared" si="7"/>
        <v>B</v>
      </c>
      <c r="T8" s="33">
        <f t="shared" si="8"/>
        <v>2204971.72</v>
      </c>
      <c r="U8" s="13">
        <f t="shared" si="9"/>
        <v>5871950.56</v>
      </c>
    </row>
    <row r="9">
      <c r="A9" s="8" t="s">
        <v>39</v>
      </c>
      <c r="B9" s="33">
        <v>1777615.2</v>
      </c>
      <c r="C9" s="84">
        <f t="shared" si="1"/>
        <v>0.0455802375</v>
      </c>
      <c r="D9" s="84">
        <f t="shared" si="2"/>
        <v>0.9357195097</v>
      </c>
      <c r="E9" s="8" t="s">
        <v>878</v>
      </c>
      <c r="I9" s="8" t="s">
        <v>46</v>
      </c>
      <c r="J9" s="13">
        <v>3841267.3000000003</v>
      </c>
      <c r="K9" s="73">
        <f t="shared" si="3"/>
        <v>0.02812045363</v>
      </c>
      <c r="L9" s="73">
        <f t="shared" si="4"/>
        <v>0.953984028</v>
      </c>
      <c r="M9" s="8" t="str">
        <f t="shared" si="5"/>
        <v>C</v>
      </c>
      <c r="Q9" s="8" t="s">
        <v>39</v>
      </c>
      <c r="R9" s="8" t="str">
        <f t="shared" si="6"/>
        <v>B</v>
      </c>
      <c r="S9" s="8" t="str">
        <f t="shared" si="7"/>
        <v>C</v>
      </c>
      <c r="T9" s="33">
        <f t="shared" si="8"/>
        <v>1777615.2</v>
      </c>
      <c r="U9" s="13">
        <f t="shared" si="9"/>
        <v>2645122.4</v>
      </c>
    </row>
    <row r="10">
      <c r="A10" s="8" t="s">
        <v>46</v>
      </c>
      <c r="B10" s="33">
        <v>1267739.6400000004</v>
      </c>
      <c r="C10" s="84">
        <f t="shared" si="1"/>
        <v>0.03250640177</v>
      </c>
      <c r="D10" s="84">
        <f t="shared" si="2"/>
        <v>0.9682259115</v>
      </c>
      <c r="E10" s="8" t="s">
        <v>305</v>
      </c>
      <c r="I10" s="8" t="s">
        <v>39</v>
      </c>
      <c r="J10" s="13">
        <v>2645122.4000000004</v>
      </c>
      <c r="K10" s="73">
        <f t="shared" si="3"/>
        <v>0.01936393278</v>
      </c>
      <c r="L10" s="73">
        <f t="shared" si="4"/>
        <v>0.9733479608</v>
      </c>
      <c r="M10" s="8" t="str">
        <f t="shared" si="5"/>
        <v>C</v>
      </c>
      <c r="Q10" s="8" t="s">
        <v>46</v>
      </c>
      <c r="R10" s="8" t="str">
        <f t="shared" si="6"/>
        <v>C</v>
      </c>
      <c r="S10" s="8" t="str">
        <f t="shared" si="7"/>
        <v>C</v>
      </c>
      <c r="T10" s="33">
        <f t="shared" si="8"/>
        <v>1267739.64</v>
      </c>
      <c r="U10" s="13">
        <f t="shared" si="9"/>
        <v>3841267.3</v>
      </c>
    </row>
    <row r="11">
      <c r="A11" s="8" t="s">
        <v>50</v>
      </c>
      <c r="B11" s="33">
        <v>648828.4600000001</v>
      </c>
      <c r="C11" s="84">
        <f t="shared" si="1"/>
        <v>0.01663675879</v>
      </c>
      <c r="D11" s="84">
        <f t="shared" si="2"/>
        <v>0.9848626703</v>
      </c>
      <c r="E11" s="8" t="s">
        <v>305</v>
      </c>
      <c r="I11" s="8" t="s">
        <v>50</v>
      </c>
      <c r="J11" s="13">
        <v>2116071.4299999997</v>
      </c>
      <c r="K11" s="73">
        <f t="shared" si="3"/>
        <v>0.0154909523</v>
      </c>
      <c r="L11" s="73">
        <f t="shared" si="4"/>
        <v>0.9888389131</v>
      </c>
      <c r="M11" s="8" t="str">
        <f t="shared" si="5"/>
        <v>C</v>
      </c>
      <c r="Q11" s="8" t="s">
        <v>50</v>
      </c>
      <c r="R11" s="8" t="str">
        <f t="shared" si="6"/>
        <v>C</v>
      </c>
      <c r="S11" s="8" t="str">
        <f t="shared" si="7"/>
        <v>C</v>
      </c>
      <c r="T11" s="33">
        <f t="shared" si="8"/>
        <v>648828.46</v>
      </c>
      <c r="U11" s="13">
        <f t="shared" si="9"/>
        <v>2116071.43</v>
      </c>
    </row>
    <row r="12">
      <c r="A12" s="8" t="s">
        <v>27</v>
      </c>
      <c r="B12" s="33">
        <v>491054.3699999999</v>
      </c>
      <c r="C12" s="84">
        <f t="shared" si="1"/>
        <v>0.0125912373</v>
      </c>
      <c r="D12" s="84">
        <f t="shared" si="2"/>
        <v>0.9974539076</v>
      </c>
      <c r="E12" s="8" t="s">
        <v>305</v>
      </c>
      <c r="I12" s="8" t="s">
        <v>27</v>
      </c>
      <c r="J12" s="13">
        <v>1140195.0999999999</v>
      </c>
      <c r="K12" s="73">
        <f t="shared" si="3"/>
        <v>0.008346933691</v>
      </c>
      <c r="L12" s="73">
        <f t="shared" si="4"/>
        <v>0.9971858468</v>
      </c>
      <c r="M12" s="8" t="str">
        <f t="shared" si="5"/>
        <v>C</v>
      </c>
      <c r="Q12" s="8" t="s">
        <v>27</v>
      </c>
      <c r="R12" s="8" t="str">
        <f t="shared" si="6"/>
        <v>C</v>
      </c>
      <c r="S12" s="8" t="str">
        <f t="shared" si="7"/>
        <v>C</v>
      </c>
      <c r="T12" s="33">
        <f t="shared" si="8"/>
        <v>491054.37</v>
      </c>
      <c r="U12" s="13">
        <f t="shared" si="9"/>
        <v>1140195.1</v>
      </c>
    </row>
    <row r="13">
      <c r="A13" s="8" t="s">
        <v>33</v>
      </c>
      <c r="B13" s="33">
        <v>99296.82000000002</v>
      </c>
      <c r="C13" s="84">
        <f t="shared" si="1"/>
        <v>0.002546092449</v>
      </c>
      <c r="D13" s="84">
        <f t="shared" si="2"/>
        <v>1</v>
      </c>
      <c r="E13" s="8" t="s">
        <v>305</v>
      </c>
      <c r="I13" s="8" t="s">
        <v>33</v>
      </c>
      <c r="J13" s="13">
        <v>384414.66000000003</v>
      </c>
      <c r="K13" s="73">
        <f t="shared" si="3"/>
        <v>0.002814153189</v>
      </c>
      <c r="L13" s="73">
        <f t="shared" si="4"/>
        <v>1</v>
      </c>
      <c r="M13" s="8" t="str">
        <f t="shared" si="5"/>
        <v>C</v>
      </c>
      <c r="Q13" s="8" t="s">
        <v>33</v>
      </c>
      <c r="R13" s="8" t="str">
        <f t="shared" si="6"/>
        <v>C</v>
      </c>
      <c r="S13" s="8" t="str">
        <f t="shared" si="7"/>
        <v>C</v>
      </c>
      <c r="T13" s="33">
        <f t="shared" si="8"/>
        <v>99296.82</v>
      </c>
      <c r="U13" s="13">
        <f t="shared" si="9"/>
        <v>384414.66</v>
      </c>
    </row>
    <row r="15">
      <c r="A15" s="66" t="s">
        <v>879</v>
      </c>
      <c r="B15" s="85">
        <f t="shared" ref="B15:C15" si="10">SUM(B2:B13)</f>
        <v>38999691.48</v>
      </c>
      <c r="C15" s="86">
        <f t="shared" si="10"/>
        <v>1</v>
      </c>
      <c r="H15" s="87"/>
      <c r="I15" s="66" t="s">
        <v>880</v>
      </c>
      <c r="J15" s="88">
        <f t="shared" ref="J15:K15" si="11">SUM(J2:J13)</f>
        <v>136600474.2</v>
      </c>
      <c r="K15" s="86">
        <f t="shared" si="11"/>
        <v>1</v>
      </c>
    </row>
    <row r="19">
      <c r="W19" s="11" t="s">
        <v>881</v>
      </c>
      <c r="X19" s="42"/>
      <c r="Y19" s="42"/>
      <c r="Z19" s="43"/>
    </row>
    <row r="20">
      <c r="W20" s="47" t="s">
        <v>882</v>
      </c>
      <c r="Z20" s="45"/>
    </row>
    <row r="21">
      <c r="W21" s="47" t="s">
        <v>883</v>
      </c>
      <c r="Z21" s="45"/>
    </row>
    <row r="22">
      <c r="W22" s="47" t="s">
        <v>883</v>
      </c>
      <c r="Z22" s="45"/>
    </row>
    <row r="23">
      <c r="W23" s="51" t="s">
        <v>884</v>
      </c>
      <c r="X23" s="49"/>
      <c r="Y23" s="49"/>
      <c r="Z23" s="50"/>
    </row>
    <row r="41">
      <c r="A41" s="70" t="s">
        <v>40</v>
      </c>
      <c r="B41" s="89" t="s">
        <v>831</v>
      </c>
      <c r="C41" s="71" t="s">
        <v>870</v>
      </c>
      <c r="D41" s="72" t="s">
        <v>871</v>
      </c>
      <c r="E41" s="71" t="s">
        <v>872</v>
      </c>
    </row>
    <row r="42">
      <c r="A42" s="78" t="s">
        <v>31</v>
      </c>
      <c r="B42" s="90">
        <v>2.7578773600000005E7</v>
      </c>
      <c r="C42" s="82">
        <f t="shared" ref="C42:C53" si="12">B42/SUM($B$42:$B$53)</f>
        <v>0.2825671357</v>
      </c>
      <c r="D42" s="82">
        <f t="shared" ref="D42:D53" si="13"> SUM($C$42:C42)</f>
        <v>0.2825671357</v>
      </c>
      <c r="E42" s="78" t="str">
        <f t="shared" ref="E42:E53" si="14">IF(D2&lt;=0.8,"A",IF(D2&lt;=0.95,"B","C"))</f>
        <v>A</v>
      </c>
    </row>
    <row r="43">
      <c r="A43" s="78" t="s">
        <v>18</v>
      </c>
      <c r="B43" s="90">
        <v>1.668030768E7</v>
      </c>
      <c r="C43" s="82">
        <f t="shared" si="12"/>
        <v>0.1709034213</v>
      </c>
      <c r="D43" s="82">
        <f t="shared" si="13"/>
        <v>0.4534705569</v>
      </c>
      <c r="E43" s="78" t="str">
        <f t="shared" si="14"/>
        <v>A</v>
      </c>
    </row>
    <row r="44">
      <c r="A44" s="78" t="s">
        <v>42</v>
      </c>
      <c r="B44" s="90">
        <v>1.6407302309999999E7</v>
      </c>
      <c r="C44" s="82">
        <f t="shared" si="12"/>
        <v>0.1681062575</v>
      </c>
      <c r="D44" s="82">
        <f t="shared" si="13"/>
        <v>0.6215768145</v>
      </c>
      <c r="E44" s="78" t="str">
        <f t="shared" si="14"/>
        <v>A</v>
      </c>
    </row>
    <row r="45">
      <c r="A45" s="78" t="s">
        <v>39</v>
      </c>
      <c r="B45" s="90">
        <v>1.5944976180000002E7</v>
      </c>
      <c r="C45" s="82">
        <f t="shared" si="12"/>
        <v>0.1633693475</v>
      </c>
      <c r="D45" s="82">
        <f t="shared" si="13"/>
        <v>0.784946162</v>
      </c>
      <c r="E45" s="78" t="str">
        <f t="shared" si="14"/>
        <v>A</v>
      </c>
    </row>
    <row r="46">
      <c r="A46" s="78" t="s">
        <v>46</v>
      </c>
      <c r="B46" s="90">
        <v>7225565.760000001</v>
      </c>
      <c r="C46" s="82">
        <f t="shared" si="12"/>
        <v>0.07403184238</v>
      </c>
      <c r="D46" s="82">
        <f t="shared" si="13"/>
        <v>0.8589780044</v>
      </c>
      <c r="E46" s="78" t="str">
        <f t="shared" si="14"/>
        <v>A</v>
      </c>
    </row>
    <row r="47">
      <c r="A47" s="8" t="s">
        <v>36</v>
      </c>
      <c r="B47" s="91">
        <v>4254341.91</v>
      </c>
      <c r="C47" s="73">
        <f t="shared" si="12"/>
        <v>0.0435892192</v>
      </c>
      <c r="D47" s="73">
        <f t="shared" si="13"/>
        <v>0.9025672236</v>
      </c>
      <c r="E47" s="8" t="str">
        <f t="shared" si="14"/>
        <v>B</v>
      </c>
    </row>
    <row r="48">
      <c r="A48" s="8" t="s">
        <v>37</v>
      </c>
      <c r="B48" s="91">
        <v>3666978.84</v>
      </c>
      <c r="C48" s="73">
        <f t="shared" si="12"/>
        <v>0.03757120321</v>
      </c>
      <c r="D48" s="73">
        <f t="shared" si="13"/>
        <v>0.9401384268</v>
      </c>
      <c r="E48" s="8" t="str">
        <f t="shared" si="14"/>
        <v>B</v>
      </c>
    </row>
    <row r="49">
      <c r="A49" s="8" t="s">
        <v>27</v>
      </c>
      <c r="B49" s="91">
        <v>2573527.6599999997</v>
      </c>
      <c r="C49" s="73">
        <f t="shared" si="12"/>
        <v>0.02636789982</v>
      </c>
      <c r="D49" s="73">
        <f t="shared" si="13"/>
        <v>0.9665063266</v>
      </c>
      <c r="E49" s="8" t="str">
        <f t="shared" si="14"/>
        <v>B</v>
      </c>
    </row>
    <row r="50">
      <c r="A50" s="8" t="s">
        <v>50</v>
      </c>
      <c r="B50" s="91">
        <v>1467242.9700000002</v>
      </c>
      <c r="C50" s="73">
        <f t="shared" si="12"/>
        <v>0.0150331066</v>
      </c>
      <c r="D50" s="73">
        <f t="shared" si="13"/>
        <v>0.9815394332</v>
      </c>
      <c r="E50" s="8" t="str">
        <f t="shared" si="14"/>
        <v>C</v>
      </c>
    </row>
    <row r="51">
      <c r="A51" s="8" t="s">
        <v>22</v>
      </c>
      <c r="B51" s="91">
        <v>867507.2000000001</v>
      </c>
      <c r="C51" s="73">
        <f t="shared" si="12"/>
        <v>0.008888322165</v>
      </c>
      <c r="D51" s="73">
        <f t="shared" si="13"/>
        <v>0.9904277553</v>
      </c>
      <c r="E51" s="8" t="str">
        <f t="shared" si="14"/>
        <v>C</v>
      </c>
    </row>
    <row r="52">
      <c r="A52" s="8" t="s">
        <v>13</v>
      </c>
      <c r="B52" s="91">
        <v>649140.73</v>
      </c>
      <c r="C52" s="73">
        <f t="shared" si="12"/>
        <v>0.006650978734</v>
      </c>
      <c r="D52" s="73">
        <f t="shared" si="13"/>
        <v>0.9970787341</v>
      </c>
      <c r="E52" s="8" t="str">
        <f t="shared" si="14"/>
        <v>C</v>
      </c>
    </row>
    <row r="53">
      <c r="A53" s="8" t="s">
        <v>33</v>
      </c>
      <c r="B53" s="91">
        <v>285117.83999999997</v>
      </c>
      <c r="C53" s="73">
        <f t="shared" si="12"/>
        <v>0.002921265918</v>
      </c>
      <c r="D53" s="73">
        <f t="shared" si="13"/>
        <v>1</v>
      </c>
      <c r="E53" s="8" t="str">
        <f t="shared" si="14"/>
        <v>C</v>
      </c>
    </row>
    <row r="55">
      <c r="A55" s="66" t="s">
        <v>880</v>
      </c>
      <c r="B55" s="92">
        <f t="shared" ref="B55:C55" si="15">SUM(B42:B53)</f>
        <v>97600782.68</v>
      </c>
      <c r="C55" s="86">
        <f t="shared" si="15"/>
        <v>1</v>
      </c>
    </row>
  </sheetData>
  <drawing r:id="rId4"/>
  <legacyDrawing r:id="rId5"/>
</worksheet>
</file>